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financ\documento\"/>
    </mc:Choice>
  </mc:AlternateContent>
  <xr:revisionPtr revIDLastSave="0" documentId="8_{8E09F1E1-2C67-4A87-81A9-57E6DADDB5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CREDENCIAMENTO'!$A$5:$T$202</definedName>
    <definedName name="_xlnm._FilterDatabase" localSheetId="8" hidden="1">'ATESTADO C'!$A$17:$Z$17</definedName>
    <definedName name="_xlnm._FilterDatabase" localSheetId="12" hidden="1">'ATESTE-LIQ'!$A$1:$AT$42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CREDENCIAMENTO'!#REF!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CREDENCIAMENTO'!$Q$6:$T$3059</definedName>
    <definedName name="ApagaDadosC">CONTINUA!$L$6:$BU$3077</definedName>
    <definedName name="ApagarDadosDigitados">#REF!</definedName>
    <definedName name="ApagaRegistroA">'APONTAMENTO CREDENCIAMENTO'!$A$6:$K$3059</definedName>
    <definedName name="ApagaRegistroC">CONTINUA!$A$6:$K$3077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CREDENCIAMENTO'!#REF!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CREDENCIAMENTO'!$Q$6:$T$10</definedName>
    <definedName name="CopiaDadosC">CONTINUA!$L$6:$BU$10</definedName>
    <definedName name="CopiaFormula">'APONTAMENTO CREDENCIAMENTO'!#REF!</definedName>
    <definedName name="CopiaFormulaA">'APONTAMENTO CREDENCIAMENTO'!#REF!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CREDENCIAMENTO'!$M$201</definedName>
    <definedName name="CopiaSomaC" localSheetId="5">[1]CONTINUA!#REF!</definedName>
    <definedName name="CopiaSomaC">CONTINUA!$BV$202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CREDENCIAMENTO'!#REF!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CREDENCIAMENTO'!#REF!</definedName>
    <definedName name="DiasMes">'APONTAMENTO CREDENCIAMENTO'!#REF!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CREDENCIAMENTO'!#REF!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CREDENCIAMENTO'!#REF!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CREDENCIAMENTO'!#REF!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4" i="64" l="1"/>
  <c r="GZ202" i="64"/>
  <c r="GY202" i="64"/>
  <c r="GT202" i="64"/>
  <c r="GU202" i="64" s="1"/>
  <c r="GV202" i="64" s="1"/>
  <c r="GW202" i="64" s="1"/>
  <c r="GX202" i="64" s="1"/>
  <c r="GS202" i="64"/>
  <c r="GN202" i="64"/>
  <c r="GO202" i="64" s="1"/>
  <c r="GP202" i="64" s="1"/>
  <c r="GQ202" i="64" s="1"/>
  <c r="GR202" i="64" s="1"/>
  <c r="GM202" i="64"/>
  <c r="GH202" i="64"/>
  <c r="GI202" i="64" s="1"/>
  <c r="GJ202" i="64" s="1"/>
  <c r="GK202" i="64" s="1"/>
  <c r="GL202" i="64" s="1"/>
  <c r="GG202" i="64"/>
  <c r="GB202" i="64"/>
  <c r="GC202" i="64" s="1"/>
  <c r="GD202" i="64" s="1"/>
  <c r="GE202" i="64" s="1"/>
  <c r="GF202" i="64" s="1"/>
  <c r="GA202" i="64"/>
  <c r="FV202" i="64"/>
  <c r="FW202" i="64" s="1"/>
  <c r="FX202" i="64" s="1"/>
  <c r="FY202" i="64" s="1"/>
  <c r="FZ202" i="64" s="1"/>
  <c r="FU202" i="64"/>
  <c r="FP202" i="64"/>
  <c r="FQ202" i="64" s="1"/>
  <c r="FR202" i="64" s="1"/>
  <c r="FS202" i="64" s="1"/>
  <c r="FT202" i="64" s="1"/>
  <c r="FO202" i="64"/>
  <c r="FJ202" i="64"/>
  <c r="FK202" i="64" s="1"/>
  <c r="FL202" i="64" s="1"/>
  <c r="FM202" i="64" s="1"/>
  <c r="FN202" i="64" s="1"/>
  <c r="FI202" i="64"/>
  <c r="FD202" i="64"/>
  <c r="FE202" i="64" s="1"/>
  <c r="FF202" i="64" s="1"/>
  <c r="FG202" i="64" s="1"/>
  <c r="FH202" i="64" s="1"/>
  <c r="FC202" i="64"/>
  <c r="EX202" i="64"/>
  <c r="EY202" i="64" s="1"/>
  <c r="EZ202" i="64" s="1"/>
  <c r="FA202" i="64" s="1"/>
  <c r="FB202" i="64" s="1"/>
  <c r="EW202" i="64"/>
  <c r="ER202" i="64"/>
  <c r="ES202" i="64" s="1"/>
  <c r="ET202" i="64" s="1"/>
  <c r="EU202" i="64" s="1"/>
  <c r="EV202" i="64" s="1"/>
  <c r="EQ202" i="64"/>
  <c r="EL202" i="64"/>
  <c r="EM202" i="64" s="1"/>
  <c r="EN202" i="64" s="1"/>
  <c r="EO202" i="64" s="1"/>
  <c r="EP202" i="64" s="1"/>
  <c r="EK202" i="64"/>
  <c r="EF202" i="64"/>
  <c r="EG202" i="64" s="1"/>
  <c r="EH202" i="64" s="1"/>
  <c r="EI202" i="64" s="1"/>
  <c r="EJ202" i="64" s="1"/>
  <c r="EE202" i="64"/>
  <c r="DZ202" i="64"/>
  <c r="EA202" i="64" s="1"/>
  <c r="EB202" i="64" s="1"/>
  <c r="EC202" i="64" s="1"/>
  <c r="ED202" i="64" s="1"/>
  <c r="DY202" i="64"/>
  <c r="DT202" i="64"/>
  <c r="DU202" i="64" s="1"/>
  <c r="DV202" i="64" s="1"/>
  <c r="DW202" i="64" s="1"/>
  <c r="DX202" i="64" s="1"/>
  <c r="DS202" i="64"/>
  <c r="DN202" i="64"/>
  <c r="DO202" i="64" s="1"/>
  <c r="DP202" i="64" s="1"/>
  <c r="DQ202" i="64" s="1"/>
  <c r="DR202" i="64" s="1"/>
  <c r="DM202" i="64"/>
  <c r="DI202" i="64"/>
  <c r="DJ202" i="64" s="1"/>
  <c r="DK202" i="64" s="1"/>
  <c r="DL202" i="64" s="1"/>
  <c r="DO4" i="64"/>
  <c r="DU4" i="64" s="1"/>
  <c r="EA4" i="64" s="1"/>
  <c r="EG4" i="64" s="1"/>
  <c r="EM4" i="64" s="1"/>
  <c r="ES4" i="64" s="1"/>
  <c r="EY4" i="64" s="1"/>
  <c r="FE4" i="64" s="1"/>
  <c r="FK4" i="64" s="1"/>
  <c r="FQ4" i="64" s="1"/>
  <c r="FW4" i="64" s="1"/>
  <c r="GC4" i="64" s="1"/>
  <c r="GI4" i="64" s="1"/>
  <c r="GO4" i="64" s="1"/>
  <c r="GU4" i="64" s="1"/>
  <c r="BM4" i="64"/>
  <c r="BS4" i="64" s="1"/>
  <c r="BY4" i="64" s="1"/>
  <c r="CE4" i="64" s="1"/>
  <c r="CK4" i="64" s="1"/>
  <c r="CQ4" i="64" s="1"/>
  <c r="CW4" i="64" s="1"/>
  <c r="DC4" i="64" s="1"/>
  <c r="DH202" i="64"/>
  <c r="DG202" i="64"/>
  <c r="DB202" i="64"/>
  <c r="DC202" i="64" s="1"/>
  <c r="DD202" i="64" s="1"/>
  <c r="DE202" i="64" s="1"/>
  <c r="DF202" i="64" s="1"/>
  <c r="DA202" i="64"/>
  <c r="CV202" i="64"/>
  <c r="CW202" i="64" s="1"/>
  <c r="CX202" i="64" s="1"/>
  <c r="CY202" i="64" s="1"/>
  <c r="CZ202" i="64" s="1"/>
  <c r="CU202" i="64"/>
  <c r="CP202" i="64"/>
  <c r="CQ202" i="64" s="1"/>
  <c r="CR202" i="64" s="1"/>
  <c r="CS202" i="64" s="1"/>
  <c r="CT202" i="64" s="1"/>
  <c r="CO202" i="64"/>
  <c r="CJ202" i="64"/>
  <c r="CK202" i="64" s="1"/>
  <c r="CL202" i="64" s="1"/>
  <c r="CM202" i="64" s="1"/>
  <c r="CN202" i="64" s="1"/>
  <c r="CI202" i="64"/>
  <c r="CD202" i="64"/>
  <c r="CE202" i="64" s="1"/>
  <c r="CF202" i="64" s="1"/>
  <c r="CG202" i="64" s="1"/>
  <c r="CH202" i="64" s="1"/>
  <c r="CC202" i="64"/>
  <c r="BX202" i="64"/>
  <c r="BY202" i="64" s="1"/>
  <c r="BZ202" i="64" s="1"/>
  <c r="CA202" i="64" s="1"/>
  <c r="CB202" i="64" s="1"/>
  <c r="BW202" i="64"/>
  <c r="BR202" i="64"/>
  <c r="BS202" i="64" s="1"/>
  <c r="BT202" i="64" s="1"/>
  <c r="BU202" i="64" s="1"/>
  <c r="BV202" i="64" s="1"/>
  <c r="BQ202" i="64"/>
  <c r="BM202" i="64"/>
  <c r="BN202" i="64" s="1"/>
  <c r="BO202" i="64" s="1"/>
  <c r="BP202" i="64" s="1"/>
  <c r="AO4" i="64"/>
  <c r="AU4" i="64" s="1"/>
  <c r="BA4" i="64" s="1"/>
  <c r="BG4" i="64" s="1"/>
  <c r="BL202" i="64"/>
  <c r="BK202" i="64"/>
  <c r="BF202" i="64"/>
  <c r="BG202" i="64" s="1"/>
  <c r="BH202" i="64" s="1"/>
  <c r="BI202" i="64" s="1"/>
  <c r="BJ202" i="64" s="1"/>
  <c r="BE202" i="64"/>
  <c r="AZ202" i="64"/>
  <c r="BA202" i="64" s="1"/>
  <c r="BB202" i="64" s="1"/>
  <c r="BC202" i="64" s="1"/>
  <c r="BD202" i="64" s="1"/>
  <c r="AY202" i="64"/>
  <c r="AT202" i="64"/>
  <c r="AU202" i="64" s="1"/>
  <c r="AV202" i="64" s="1"/>
  <c r="AW202" i="64" s="1"/>
  <c r="AX202" i="64" s="1"/>
  <c r="AS202" i="64"/>
  <c r="AO202" i="64"/>
  <c r="AP202" i="64" s="1"/>
  <c r="AQ202" i="64" s="1"/>
  <c r="AR202" i="64" s="1"/>
  <c r="AI4" i="64"/>
  <c r="AC4" i="64"/>
  <c r="W4" i="64"/>
  <c r="AN202" i="64"/>
  <c r="AM202" i="64"/>
  <c r="AI202" i="64"/>
  <c r="AJ202" i="64" s="1"/>
  <c r="AK202" i="64" s="1"/>
  <c r="AL202" i="64" s="1"/>
  <c r="AH202" i="64"/>
  <c r="AG202" i="64"/>
  <c r="AC202" i="64"/>
  <c r="AD202" i="64" s="1"/>
  <c r="AE202" i="64" s="1"/>
  <c r="AF202" i="64" s="1"/>
  <c r="AB202" i="64"/>
  <c r="AA202" i="64"/>
  <c r="W202" i="64"/>
  <c r="X202" i="64" s="1"/>
  <c r="Y202" i="64" s="1"/>
  <c r="Z202" i="64" s="1"/>
  <c r="V202" i="64"/>
  <c r="U202" i="64"/>
  <c r="L40" i="13"/>
  <c r="AB40" i="13" s="1"/>
  <c r="I40" i="13"/>
  <c r="H40" i="13"/>
  <c r="G40" i="13"/>
  <c r="F40" i="13"/>
  <c r="J40" i="13" s="1"/>
  <c r="D40" i="13"/>
  <c r="T40" i="13" s="1"/>
  <c r="C40" i="13"/>
  <c r="L39" i="13"/>
  <c r="AB39" i="13" s="1"/>
  <c r="I39" i="13"/>
  <c r="H39" i="13"/>
  <c r="G39" i="13"/>
  <c r="F39" i="13"/>
  <c r="J39" i="13" s="1"/>
  <c r="D39" i="13"/>
  <c r="T39" i="13" s="1"/>
  <c r="C39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L36" i="13"/>
  <c r="AB36" i="13" s="1"/>
  <c r="I36" i="13"/>
  <c r="H36" i="13"/>
  <c r="G36" i="13"/>
  <c r="F36" i="13"/>
  <c r="J36" i="13" s="1"/>
  <c r="D36" i="13"/>
  <c r="T36" i="13" s="1"/>
  <c r="C36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L33" i="13"/>
  <c r="AB33" i="13" s="1"/>
  <c r="I33" i="13"/>
  <c r="H33" i="13"/>
  <c r="G33" i="13"/>
  <c r="F33" i="13"/>
  <c r="J33" i="13" s="1"/>
  <c r="D33" i="13"/>
  <c r="T33" i="13" s="1"/>
  <c r="C33" i="13"/>
  <c r="L32" i="13"/>
  <c r="AB32" i="13" s="1"/>
  <c r="I32" i="13"/>
  <c r="H32" i="13"/>
  <c r="G32" i="13"/>
  <c r="F32" i="13"/>
  <c r="J32" i="13" s="1"/>
  <c r="D32" i="13"/>
  <c r="T32" i="13" s="1"/>
  <c r="C32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L27" i="13"/>
  <c r="AB27" i="13" s="1"/>
  <c r="I27" i="13"/>
  <c r="H27" i="13"/>
  <c r="G27" i="13"/>
  <c r="F27" i="13"/>
  <c r="J27" i="13" s="1"/>
  <c r="D27" i="13"/>
  <c r="T27" i="13" s="1"/>
  <c r="C27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L23" i="13"/>
  <c r="AB23" i="13" s="1"/>
  <c r="I23" i="13"/>
  <c r="H23" i="13"/>
  <c r="G23" i="13"/>
  <c r="F23" i="13"/>
  <c r="J23" i="13" s="1"/>
  <c r="D23" i="13"/>
  <c r="T23" i="13" s="1"/>
  <c r="C23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L21" i="13"/>
  <c r="AB21" i="13" s="1"/>
  <c r="I21" i="13"/>
  <c r="H21" i="13"/>
  <c r="G21" i="13"/>
  <c r="F21" i="13"/>
  <c r="J21" i="13" s="1"/>
  <c r="D21" i="13"/>
  <c r="T21" i="13" s="1"/>
  <c r="C21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L19" i="13"/>
  <c r="AB19" i="13" s="1"/>
  <c r="I19" i="13"/>
  <c r="H19" i="13"/>
  <c r="G19" i="13"/>
  <c r="F19" i="13"/>
  <c r="J19" i="13" s="1"/>
  <c r="D19" i="13"/>
  <c r="T19" i="13" s="1"/>
  <c r="C19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L17" i="13"/>
  <c r="AB17" i="13" s="1"/>
  <c r="I17" i="13"/>
  <c r="H17" i="13"/>
  <c r="G17" i="13"/>
  <c r="F17" i="13"/>
  <c r="J17" i="13" s="1"/>
  <c r="D17" i="13"/>
  <c r="T17" i="13" s="1"/>
  <c r="C17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L13" i="13"/>
  <c r="AB13" i="13" s="1"/>
  <c r="I13" i="13"/>
  <c r="H13" i="13"/>
  <c r="G13" i="13"/>
  <c r="F13" i="13"/>
  <c r="J13" i="13" s="1"/>
  <c r="D13" i="13"/>
  <c r="T13" i="13" s="1"/>
  <c r="C13" i="13"/>
  <c r="L12" i="13"/>
  <c r="AB12" i="13" s="1"/>
  <c r="I12" i="13"/>
  <c r="H12" i="13"/>
  <c r="G12" i="13"/>
  <c r="F12" i="13"/>
  <c r="J12" i="13" s="1"/>
  <c r="D12" i="13"/>
  <c r="T12" i="13" s="1"/>
  <c r="C12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L10" i="13"/>
  <c r="AB10" i="13" s="1"/>
  <c r="I10" i="13"/>
  <c r="H10" i="13"/>
  <c r="G10" i="13"/>
  <c r="F10" i="13"/>
  <c r="U10" i="13" s="1"/>
  <c r="V10" i="13" s="1"/>
  <c r="D10" i="13"/>
  <c r="T10" i="13" s="1"/>
  <c r="C10" i="13"/>
  <c r="L9" i="13"/>
  <c r="AB9" i="13" s="1"/>
  <c r="I9" i="13"/>
  <c r="H9" i="13"/>
  <c r="G9" i="13"/>
  <c r="F9" i="13"/>
  <c r="J9" i="13" s="1"/>
  <c r="D9" i="13"/>
  <c r="T9" i="13" s="1"/>
  <c r="C9" i="13"/>
  <c r="L8" i="13"/>
  <c r="AB8" i="13" s="1"/>
  <c r="I8" i="13"/>
  <c r="H8" i="13"/>
  <c r="G8" i="13"/>
  <c r="F8" i="13"/>
  <c r="J8" i="13" s="1"/>
  <c r="D8" i="13"/>
  <c r="T8" i="13" s="1"/>
  <c r="C8" i="13"/>
  <c r="L7" i="13"/>
  <c r="AB7" i="13" s="1"/>
  <c r="I7" i="13"/>
  <c r="H7" i="13"/>
  <c r="G7" i="13"/>
  <c r="F7" i="13"/>
  <c r="J7" i="13" s="1"/>
  <c r="D7" i="13"/>
  <c r="T7" i="13" s="1"/>
  <c r="C7" i="13"/>
  <c r="L6" i="13"/>
  <c r="AB6" i="13" s="1"/>
  <c r="I6" i="13"/>
  <c r="H6" i="13"/>
  <c r="G6" i="13"/>
  <c r="F6" i="13"/>
  <c r="J6" i="13" s="1"/>
  <c r="D6" i="13"/>
  <c r="T6" i="13" s="1"/>
  <c r="C6" i="13"/>
  <c r="L5" i="13"/>
  <c r="AB5" i="13" s="1"/>
  <c r="I5" i="13"/>
  <c r="H5" i="13"/>
  <c r="G5" i="13"/>
  <c r="F5" i="13"/>
  <c r="U5" i="13" s="1"/>
  <c r="V5" i="13" s="1"/>
  <c r="D5" i="13"/>
  <c r="T5" i="13" s="1"/>
  <c r="C5" i="13"/>
  <c r="L4" i="13"/>
  <c r="AB4" i="13" s="1"/>
  <c r="I4" i="13"/>
  <c r="H4" i="13"/>
  <c r="G4" i="13"/>
  <c r="F4" i="13"/>
  <c r="J4" i="13" s="1"/>
  <c r="D4" i="13"/>
  <c r="T4" i="13" s="1"/>
  <c r="C4" i="13"/>
  <c r="L3" i="13"/>
  <c r="AB3" i="13" s="1"/>
  <c r="I3" i="13"/>
  <c r="H3" i="13"/>
  <c r="G3" i="13"/>
  <c r="F3" i="13"/>
  <c r="U3" i="13" s="1"/>
  <c r="V3" i="13" s="1"/>
  <c r="D3" i="13"/>
  <c r="T3" i="13" s="1"/>
  <c r="C3" i="13"/>
  <c r="D42" i="87"/>
  <c r="G42" i="87" s="1"/>
  <c r="D41" i="87"/>
  <c r="G41" i="87" s="1"/>
  <c r="D40" i="87"/>
  <c r="G40" i="87" s="1"/>
  <c r="D39" i="87"/>
  <c r="G39" i="87" s="1"/>
  <c r="D38" i="87"/>
  <c r="G38" i="87" s="1"/>
  <c r="D37" i="87"/>
  <c r="G37" i="87" s="1"/>
  <c r="D36" i="87"/>
  <c r="G36" i="87" s="1"/>
  <c r="D35" i="87"/>
  <c r="G35" i="87" s="1"/>
  <c r="D34" i="87"/>
  <c r="G34" i="87" s="1"/>
  <c r="D33" i="87"/>
  <c r="G33" i="87" s="1"/>
  <c r="D32" i="87"/>
  <c r="G32" i="87" s="1"/>
  <c r="D31" i="87"/>
  <c r="G31" i="87" s="1"/>
  <c r="D30" i="87"/>
  <c r="G30" i="87" s="1"/>
  <c r="D29" i="87"/>
  <c r="G29" i="87" s="1"/>
  <c r="D28" i="87"/>
  <c r="G28" i="87" s="1"/>
  <c r="D27" i="87"/>
  <c r="D26" i="87"/>
  <c r="D25" i="87"/>
  <c r="D24" i="87"/>
  <c r="D23" i="87"/>
  <c r="D22" i="87"/>
  <c r="D21" i="87"/>
  <c r="D20" i="87"/>
  <c r="D19" i="87"/>
  <c r="D18" i="87"/>
  <c r="D17" i="87"/>
  <c r="D16" i="87"/>
  <c r="D15" i="87"/>
  <c r="D14" i="87"/>
  <c r="D13" i="87"/>
  <c r="D12" i="87"/>
  <c r="D11" i="87"/>
  <c r="D10" i="87"/>
  <c r="D9" i="87"/>
  <c r="D8" i="87"/>
  <c r="D7" i="87"/>
  <c r="D6" i="87"/>
  <c r="D5" i="87"/>
  <c r="U40" i="13" l="1"/>
  <c r="V40" i="13" s="1"/>
  <c r="U39" i="13"/>
  <c r="V39" i="13" s="1"/>
  <c r="J38" i="13"/>
  <c r="J37" i="13"/>
  <c r="U36" i="13"/>
  <c r="V36" i="13" s="1"/>
  <c r="J35" i="13"/>
  <c r="J34" i="13"/>
  <c r="U33" i="13"/>
  <c r="V33" i="13" s="1"/>
  <c r="U32" i="13"/>
  <c r="V32" i="13" s="1"/>
  <c r="J31" i="13"/>
  <c r="J30" i="13"/>
  <c r="J29" i="13"/>
  <c r="J28" i="13"/>
  <c r="U27" i="13"/>
  <c r="V27" i="13" s="1"/>
  <c r="J26" i="13"/>
  <c r="J25" i="13"/>
  <c r="J24" i="13"/>
  <c r="U23" i="13"/>
  <c r="V23" i="13" s="1"/>
  <c r="J22" i="13"/>
  <c r="U21" i="13"/>
  <c r="V21" i="13" s="1"/>
  <c r="J20" i="13"/>
  <c r="U19" i="13"/>
  <c r="V19" i="13" s="1"/>
  <c r="J18" i="13"/>
  <c r="U17" i="13"/>
  <c r="V17" i="13" s="1"/>
  <c r="J16" i="13"/>
  <c r="J15" i="13"/>
  <c r="J14" i="13"/>
  <c r="U13" i="13"/>
  <c r="V13" i="13" s="1"/>
  <c r="U12" i="13"/>
  <c r="V12" i="13" s="1"/>
  <c r="J11" i="13"/>
  <c r="J10" i="13"/>
  <c r="U9" i="13"/>
  <c r="V9" i="13" s="1"/>
  <c r="U8" i="13"/>
  <c r="V8" i="13" s="1"/>
  <c r="U7" i="13"/>
  <c r="V7" i="13" s="1"/>
  <c r="U6" i="13"/>
  <c r="V6" i="13" s="1"/>
  <c r="J5" i="13"/>
  <c r="U4" i="13"/>
  <c r="V4" i="13" s="1"/>
  <c r="J3" i="13"/>
  <c r="G5" i="87"/>
  <c r="F5" i="87"/>
  <c r="I5" i="87"/>
  <c r="E5" i="87"/>
  <c r="H5" i="87" s="1"/>
  <c r="G9" i="87"/>
  <c r="F9" i="87"/>
  <c r="I9" i="87"/>
  <c r="E9" i="87"/>
  <c r="H9" i="87" s="1"/>
  <c r="G11" i="87"/>
  <c r="F11" i="87"/>
  <c r="I11" i="87"/>
  <c r="E11" i="87"/>
  <c r="H11" i="87" s="1"/>
  <c r="G13" i="87"/>
  <c r="F13" i="87"/>
  <c r="I13" i="87"/>
  <c r="E13" i="87"/>
  <c r="H13" i="87" s="1"/>
  <c r="G15" i="87"/>
  <c r="F15" i="87"/>
  <c r="I15" i="87"/>
  <c r="E15" i="87"/>
  <c r="G17" i="87"/>
  <c r="F17" i="87"/>
  <c r="I17" i="87"/>
  <c r="E17" i="87"/>
  <c r="H17" i="87" s="1"/>
  <c r="G19" i="87"/>
  <c r="F19" i="87"/>
  <c r="I19" i="87"/>
  <c r="E19" i="87"/>
  <c r="H19" i="87" s="1"/>
  <c r="G21" i="87"/>
  <c r="F21" i="87"/>
  <c r="I21" i="87"/>
  <c r="E21" i="87"/>
  <c r="H21" i="87" s="1"/>
  <c r="G23" i="87"/>
  <c r="F23" i="87"/>
  <c r="I23" i="87"/>
  <c r="E23" i="87"/>
  <c r="H23" i="87" s="1"/>
  <c r="G25" i="87"/>
  <c r="F25" i="87"/>
  <c r="I25" i="87"/>
  <c r="E25" i="87"/>
  <c r="H25" i="87" s="1"/>
  <c r="G27" i="87"/>
  <c r="F27" i="87"/>
  <c r="I27" i="87"/>
  <c r="E27" i="87"/>
  <c r="H27" i="87" s="1"/>
  <c r="G7" i="87"/>
  <c r="F7" i="87"/>
  <c r="I7" i="87"/>
  <c r="E7" i="87"/>
  <c r="G6" i="87"/>
  <c r="F6" i="87"/>
  <c r="I6" i="87"/>
  <c r="E6" i="87"/>
  <c r="G8" i="87"/>
  <c r="F8" i="87"/>
  <c r="I8" i="87"/>
  <c r="E8" i="87"/>
  <c r="G10" i="87"/>
  <c r="F10" i="87"/>
  <c r="I10" i="87"/>
  <c r="E10" i="87"/>
  <c r="G12" i="87"/>
  <c r="F12" i="87"/>
  <c r="I12" i="87"/>
  <c r="E12" i="87"/>
  <c r="G14" i="87"/>
  <c r="F14" i="87"/>
  <c r="I14" i="87"/>
  <c r="E14" i="87"/>
  <c r="G16" i="87"/>
  <c r="F16" i="87"/>
  <c r="I16" i="87"/>
  <c r="E16" i="87"/>
  <c r="G18" i="87"/>
  <c r="F18" i="87"/>
  <c r="I18" i="87"/>
  <c r="E18" i="87"/>
  <c r="G20" i="87"/>
  <c r="F20" i="87"/>
  <c r="I20" i="87"/>
  <c r="E20" i="87"/>
  <c r="G22" i="87"/>
  <c r="F22" i="87"/>
  <c r="I22" i="87"/>
  <c r="E22" i="87"/>
  <c r="G24" i="87"/>
  <c r="F24" i="87"/>
  <c r="I24" i="87"/>
  <c r="E24" i="87"/>
  <c r="G26" i="87"/>
  <c r="F26" i="87"/>
  <c r="I26" i="87"/>
  <c r="E26" i="87"/>
  <c r="E28" i="87"/>
  <c r="H28" i="87" s="1"/>
  <c r="I28" i="87"/>
  <c r="E29" i="87"/>
  <c r="I29" i="87"/>
  <c r="E30" i="87"/>
  <c r="H30" i="87" s="1"/>
  <c r="I30" i="87"/>
  <c r="E31" i="87"/>
  <c r="H31" i="87" s="1"/>
  <c r="I31" i="87"/>
  <c r="E32" i="87"/>
  <c r="H32" i="87" s="1"/>
  <c r="I32" i="87"/>
  <c r="E33" i="87"/>
  <c r="H33" i="87" s="1"/>
  <c r="I33" i="87"/>
  <c r="E34" i="87"/>
  <c r="H34" i="87" s="1"/>
  <c r="I34" i="87"/>
  <c r="E35" i="87"/>
  <c r="H35" i="87" s="1"/>
  <c r="I35" i="87"/>
  <c r="E36" i="87"/>
  <c r="H36" i="87" s="1"/>
  <c r="I36" i="87"/>
  <c r="E37" i="87"/>
  <c r="H37" i="87" s="1"/>
  <c r="I37" i="87"/>
  <c r="E38" i="87"/>
  <c r="H38" i="87" s="1"/>
  <c r="I38" i="87"/>
  <c r="E39" i="87"/>
  <c r="H39" i="87" s="1"/>
  <c r="I39" i="87"/>
  <c r="E40" i="87"/>
  <c r="H40" i="87" s="1"/>
  <c r="I40" i="87"/>
  <c r="E41" i="87"/>
  <c r="H41" i="87" s="1"/>
  <c r="I41" i="87"/>
  <c r="E42" i="87"/>
  <c r="H42" i="87" s="1"/>
  <c r="I42" i="87"/>
  <c r="F28" i="87"/>
  <c r="F29" i="87"/>
  <c r="F30" i="87"/>
  <c r="F31" i="87"/>
  <c r="F32" i="87"/>
  <c r="F33" i="87"/>
  <c r="F34" i="87"/>
  <c r="F35" i="87"/>
  <c r="F36" i="87"/>
  <c r="F37" i="87"/>
  <c r="F38" i="87"/>
  <c r="F39" i="87"/>
  <c r="F40" i="87"/>
  <c r="F41" i="87"/>
  <c r="F42" i="87"/>
  <c r="J7" i="87" l="1"/>
  <c r="H15" i="87"/>
  <c r="J6" i="87"/>
  <c r="J8" i="87"/>
  <c r="K9" i="87" s="1"/>
  <c r="J10" i="87"/>
  <c r="J12" i="87"/>
  <c r="J14" i="87"/>
  <c r="J16" i="87"/>
  <c r="J18" i="87"/>
  <c r="J20" i="87"/>
  <c r="J22" i="87"/>
  <c r="J26" i="87"/>
  <c r="J24" i="87"/>
  <c r="H29" i="87"/>
  <c r="J29" i="87"/>
  <c r="J30" i="87"/>
  <c r="J28" i="87"/>
  <c r="K29" i="87" s="1"/>
  <c r="K31" i="87"/>
  <c r="J42" i="87"/>
  <c r="J41" i="87"/>
  <c r="H26" i="87"/>
  <c r="H24" i="87"/>
  <c r="H22" i="87"/>
  <c r="H20" i="87"/>
  <c r="H18" i="87"/>
  <c r="H16" i="87"/>
  <c r="H14" i="87"/>
  <c r="H12" i="87"/>
  <c r="H10" i="87"/>
  <c r="H8" i="87"/>
  <c r="H6" i="87"/>
  <c r="J40" i="87"/>
  <c r="K41" i="87" s="1"/>
  <c r="H7" i="87"/>
  <c r="J39" i="87"/>
  <c r="K40" i="87" s="1"/>
  <c r="K27" i="87"/>
  <c r="K25" i="87"/>
  <c r="K23" i="87"/>
  <c r="K21" i="87"/>
  <c r="K19" i="87"/>
  <c r="K17" i="87"/>
  <c r="K15" i="87"/>
  <c r="K13" i="87"/>
  <c r="K11" i="87"/>
  <c r="J38" i="87"/>
  <c r="K39" i="87" s="1"/>
  <c r="J37" i="87"/>
  <c r="K38" i="87" s="1"/>
  <c r="K8" i="87"/>
  <c r="J36" i="87"/>
  <c r="K37" i="87" s="1"/>
  <c r="K7" i="87"/>
  <c r="J35" i="87"/>
  <c r="K42" i="87"/>
  <c r="K36" i="87"/>
  <c r="K30" i="87"/>
  <c r="J34" i="87"/>
  <c r="K35" i="87" s="1"/>
  <c r="J33" i="87"/>
  <c r="K34" i="87" s="1"/>
  <c r="J32" i="87"/>
  <c r="K33" i="87" s="1"/>
  <c r="J31" i="87"/>
  <c r="K32" i="87" s="1"/>
  <c r="J27" i="87"/>
  <c r="K28" i="87" s="1"/>
  <c r="J25" i="87"/>
  <c r="K26" i="87" s="1"/>
  <c r="J23" i="87"/>
  <c r="K24" i="87" s="1"/>
  <c r="J21" i="87"/>
  <c r="K22" i="87" s="1"/>
  <c r="J19" i="87"/>
  <c r="K20" i="87" s="1"/>
  <c r="J17" i="87"/>
  <c r="K18" i="87" s="1"/>
  <c r="J15" i="87"/>
  <c r="K16" i="87" s="1"/>
  <c r="J13" i="87"/>
  <c r="K14" i="87" s="1"/>
  <c r="J11" i="87"/>
  <c r="K12" i="87" s="1"/>
  <c r="J9" i="87"/>
  <c r="K10" i="87" s="1"/>
  <c r="J5" i="87"/>
  <c r="K6" i="87" s="1"/>
  <c r="BU202" i="59" l="1"/>
  <c r="BT202" i="59"/>
  <c r="BS202" i="59"/>
  <c r="BR202" i="59"/>
  <c r="BQ202" i="59"/>
  <c r="BP202" i="59"/>
  <c r="BO202" i="59"/>
  <c r="BN202" i="59"/>
  <c r="BM202" i="59"/>
  <c r="BL202" i="59"/>
  <c r="BK202" i="59"/>
  <c r="BJ202" i="59"/>
  <c r="BI202" i="59"/>
  <c r="BH202" i="59"/>
  <c r="BG202" i="59"/>
  <c r="BF202" i="59"/>
  <c r="BE202" i="59"/>
  <c r="BD202" i="59"/>
  <c r="BC202" i="59"/>
  <c r="BB202" i="59"/>
  <c r="BA202" i="59"/>
  <c r="AZ202" i="59"/>
  <c r="AY202" i="59"/>
  <c r="AX202" i="59"/>
  <c r="AW202" i="59"/>
  <c r="AV202" i="59"/>
  <c r="AU202" i="59"/>
  <c r="AT202" i="59"/>
  <c r="AS202" i="59"/>
  <c r="AR202" i="59"/>
  <c r="AQ202" i="59"/>
  <c r="AP202" i="59"/>
  <c r="AO202" i="59"/>
  <c r="AN202" i="59"/>
  <c r="AM202" i="59"/>
  <c r="AL202" i="59"/>
  <c r="AK202" i="59"/>
  <c r="AJ202" i="59"/>
  <c r="AI202" i="59"/>
  <c r="AH202" i="59"/>
  <c r="AG202" i="59"/>
  <c r="AF202" i="59"/>
  <c r="AE202" i="59"/>
  <c r="AD202" i="59"/>
  <c r="AC202" i="59"/>
  <c r="AB202" i="59"/>
  <c r="AA202" i="59"/>
  <c r="Z202" i="59"/>
  <c r="Y202" i="59"/>
  <c r="X202" i="59"/>
  <c r="W202" i="59"/>
  <c r="V202" i="59"/>
  <c r="U202" i="59"/>
  <c r="T202" i="59"/>
  <c r="S202" i="59"/>
  <c r="R202" i="59"/>
  <c r="Q202" i="59"/>
  <c r="P202" i="59"/>
  <c r="O202" i="59"/>
  <c r="N202" i="59"/>
  <c r="M202" i="59"/>
  <c r="L202" i="59"/>
  <c r="BW200" i="59"/>
  <c r="BV200" i="59"/>
  <c r="BW199" i="59"/>
  <c r="BV199" i="59"/>
  <c r="L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BW193" i="59"/>
  <c r="BV193" i="59"/>
  <c r="BW192" i="59"/>
  <c r="BV192" i="59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BW186" i="59"/>
  <c r="BV186" i="59"/>
  <c r="BW185" i="59"/>
  <c r="BV185" i="59"/>
  <c r="BW184" i="59"/>
  <c r="BV184" i="59"/>
  <c r="L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BW178" i="59"/>
  <c r="BV178" i="59"/>
  <c r="BW177" i="59"/>
  <c r="BV177" i="59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BW168" i="59"/>
  <c r="BV168" i="59"/>
  <c r="BW167" i="59"/>
  <c r="BV167" i="59"/>
  <c r="BW166" i="59"/>
  <c r="BV166" i="59"/>
  <c r="BW165" i="59"/>
  <c r="BV165" i="59"/>
  <c r="BW164" i="59"/>
  <c r="M164" i="64" s="1"/>
  <c r="BV164" i="59"/>
  <c r="L164" i="64" s="1"/>
  <c r="BW163" i="59"/>
  <c r="BV163" i="59"/>
  <c r="BW162" i="59"/>
  <c r="BV162" i="59"/>
  <c r="L162" i="64" s="1"/>
  <c r="BW161" i="59"/>
  <c r="BV161" i="59"/>
  <c r="BW160" i="59"/>
  <c r="BV160" i="59"/>
  <c r="BW159" i="59"/>
  <c r="BV159" i="59"/>
  <c r="BW158" i="59"/>
  <c r="BV158" i="59"/>
  <c r="BW157" i="59"/>
  <c r="BV157" i="59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BW148" i="59"/>
  <c r="BV148" i="59"/>
  <c r="BW147" i="59"/>
  <c r="BV147" i="59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BW138" i="59"/>
  <c r="BV138" i="59"/>
  <c r="BW137" i="59"/>
  <c r="BV137" i="59"/>
  <c r="BW136" i="59"/>
  <c r="BV136" i="59"/>
  <c r="BW135" i="59"/>
  <c r="BV135" i="59"/>
  <c r="BW134" i="59"/>
  <c r="BV134" i="59"/>
  <c r="L134" i="64" s="1"/>
  <c r="BW133" i="59"/>
  <c r="BV133" i="59"/>
  <c r="BW132" i="59"/>
  <c r="BV132" i="59"/>
  <c r="L132" i="64" s="1"/>
  <c r="BW131" i="59"/>
  <c r="BV131" i="59"/>
  <c r="BW130" i="59"/>
  <c r="BV130" i="59"/>
  <c r="BW129" i="59"/>
  <c r="BV129" i="59"/>
  <c r="BW128" i="59"/>
  <c r="BV128" i="59"/>
  <c r="BW127" i="59"/>
  <c r="BV127" i="59"/>
  <c r="BW126" i="59"/>
  <c r="BV126" i="59"/>
  <c r="BW125" i="59"/>
  <c r="BV125" i="59"/>
  <c r="BW124" i="59"/>
  <c r="BV124" i="59"/>
  <c r="BW123" i="59"/>
  <c r="BV123" i="59"/>
  <c r="BW122" i="59"/>
  <c r="BV122" i="59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L109" i="64" s="1"/>
  <c r="BW108" i="59"/>
  <c r="BV108" i="59"/>
  <c r="BW107" i="59"/>
  <c r="BV107" i="59"/>
  <c r="L107" i="64" s="1"/>
  <c r="BW106" i="59"/>
  <c r="BV106" i="59"/>
  <c r="BW105" i="59"/>
  <c r="BV105" i="59"/>
  <c r="BW104" i="59"/>
  <c r="BV104" i="59"/>
  <c r="L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L99" i="64" s="1"/>
  <c r="BW98" i="59"/>
  <c r="BV98" i="59"/>
  <c r="BW97" i="59"/>
  <c r="BV97" i="59"/>
  <c r="L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BW81" i="59"/>
  <c r="BV81" i="59"/>
  <c r="BW80" i="59"/>
  <c r="BV80" i="59"/>
  <c r="BW79" i="59"/>
  <c r="M79" i="64" s="1"/>
  <c r="BV79" i="59"/>
  <c r="L79" i="64" s="1"/>
  <c r="BW78" i="59"/>
  <c r="BV78" i="59"/>
  <c r="BW77" i="59"/>
  <c r="M77" i="64" s="1"/>
  <c r="BV77" i="59"/>
  <c r="L77" i="64" s="1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BW71" i="59"/>
  <c r="BV71" i="59"/>
  <c r="BW70" i="59"/>
  <c r="BV70" i="59"/>
  <c r="BW69" i="59"/>
  <c r="M69" i="64" s="1"/>
  <c r="BV69" i="59"/>
  <c r="L69" i="64" s="1"/>
  <c r="BW68" i="59"/>
  <c r="BV68" i="59"/>
  <c r="BW67" i="59"/>
  <c r="M67" i="64" s="1"/>
  <c r="BV67" i="59"/>
  <c r="L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L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M24" i="64" s="1"/>
  <c r="BV24" i="59"/>
  <c r="L24" i="64" s="1"/>
  <c r="BW23" i="59"/>
  <c r="BV23" i="59"/>
  <c r="BW22" i="59"/>
  <c r="M22" i="64" s="1"/>
  <c r="BV22" i="59"/>
  <c r="L22" i="64" s="1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BW13" i="59"/>
  <c r="BV13" i="59"/>
  <c r="BW12" i="59"/>
  <c r="BV12" i="59"/>
  <c r="BW11" i="59"/>
  <c r="BV11" i="59"/>
  <c r="M200" i="64"/>
  <c r="L200" i="64"/>
  <c r="M199" i="64"/>
  <c r="M198" i="64"/>
  <c r="L198" i="64"/>
  <c r="M197" i="64"/>
  <c r="M196" i="64"/>
  <c r="L196" i="64"/>
  <c r="M195" i="64"/>
  <c r="L195" i="64"/>
  <c r="M194" i="64"/>
  <c r="L194" i="64"/>
  <c r="M193" i="64"/>
  <c r="L193" i="64"/>
  <c r="M192" i="64"/>
  <c r="L192" i="64"/>
  <c r="M191" i="64"/>
  <c r="L191" i="64"/>
  <c r="M190" i="64"/>
  <c r="L190" i="64"/>
  <c r="M189" i="64"/>
  <c r="M188" i="64"/>
  <c r="L188" i="64"/>
  <c r="M187" i="64"/>
  <c r="M186" i="64"/>
  <c r="L186" i="64"/>
  <c r="M185" i="64"/>
  <c r="L185" i="64"/>
  <c r="M184" i="64"/>
  <c r="M183" i="64"/>
  <c r="L183" i="64"/>
  <c r="M182" i="64"/>
  <c r="M181" i="64"/>
  <c r="L181" i="64"/>
  <c r="M180" i="64"/>
  <c r="L180" i="64"/>
  <c r="M179" i="64"/>
  <c r="L179" i="64"/>
  <c r="M178" i="64"/>
  <c r="L178" i="64"/>
  <c r="M177" i="64"/>
  <c r="L177" i="64"/>
  <c r="M176" i="64"/>
  <c r="L176" i="64"/>
  <c r="M175" i="64"/>
  <c r="L175" i="64"/>
  <c r="M174" i="64"/>
  <c r="M173" i="64"/>
  <c r="L173" i="64"/>
  <c r="M172" i="64"/>
  <c r="M171" i="64"/>
  <c r="L171" i="64"/>
  <c r="M170" i="64"/>
  <c r="L170" i="64"/>
  <c r="M169" i="64"/>
  <c r="L169" i="64"/>
  <c r="M168" i="64"/>
  <c r="L168" i="64"/>
  <c r="M167" i="64"/>
  <c r="L167" i="64"/>
  <c r="M166" i="64"/>
  <c r="L166" i="64"/>
  <c r="M165" i="64"/>
  <c r="L165" i="64"/>
  <c r="M163" i="64"/>
  <c r="L163" i="64"/>
  <c r="M162" i="64"/>
  <c r="M161" i="64"/>
  <c r="L161" i="64"/>
  <c r="M160" i="64"/>
  <c r="L160" i="64"/>
  <c r="M159" i="64"/>
  <c r="L159" i="64"/>
  <c r="M158" i="64"/>
  <c r="L158" i="64"/>
  <c r="M157" i="64"/>
  <c r="L157" i="64"/>
  <c r="M156" i="64"/>
  <c r="L156" i="64"/>
  <c r="M155" i="64"/>
  <c r="L155" i="64"/>
  <c r="M154" i="64"/>
  <c r="M153" i="64"/>
  <c r="L153" i="64"/>
  <c r="M152" i="64"/>
  <c r="M151" i="64"/>
  <c r="L151" i="64"/>
  <c r="M150" i="64"/>
  <c r="L150" i="64"/>
  <c r="M149" i="64"/>
  <c r="L149" i="64"/>
  <c r="M148" i="64"/>
  <c r="L148" i="64"/>
  <c r="M147" i="64"/>
  <c r="L147" i="64"/>
  <c r="M146" i="64"/>
  <c r="L146" i="64"/>
  <c r="M145" i="64"/>
  <c r="L145" i="64"/>
  <c r="M144" i="64"/>
  <c r="M143" i="64"/>
  <c r="L143" i="64"/>
  <c r="M142" i="64"/>
  <c r="M141" i="64"/>
  <c r="L141" i="64"/>
  <c r="M140" i="64"/>
  <c r="L140" i="64"/>
  <c r="M139" i="64"/>
  <c r="L139" i="64"/>
  <c r="M138" i="64"/>
  <c r="L138" i="64"/>
  <c r="M137" i="64"/>
  <c r="L137" i="64"/>
  <c r="M136" i="64"/>
  <c r="L136" i="64"/>
  <c r="M135" i="64"/>
  <c r="L135" i="64"/>
  <c r="M134" i="64"/>
  <c r="M133" i="64"/>
  <c r="L133" i="64"/>
  <c r="M132" i="64"/>
  <c r="M131" i="64"/>
  <c r="L131" i="64"/>
  <c r="M130" i="64"/>
  <c r="L130" i="64"/>
  <c r="M129" i="64"/>
  <c r="L129" i="64"/>
  <c r="M128" i="64"/>
  <c r="L128" i="64"/>
  <c r="M127" i="64"/>
  <c r="L127" i="64"/>
  <c r="M126" i="64"/>
  <c r="L126" i="64"/>
  <c r="M125" i="64"/>
  <c r="L125" i="64"/>
  <c r="M124" i="64"/>
  <c r="L124" i="64"/>
  <c r="M123" i="64"/>
  <c r="L123" i="64"/>
  <c r="M122" i="64"/>
  <c r="L122" i="64"/>
  <c r="M121" i="64"/>
  <c r="L121" i="64"/>
  <c r="M120" i="64"/>
  <c r="L120" i="64"/>
  <c r="M119" i="64"/>
  <c r="M118" i="64"/>
  <c r="L118" i="64"/>
  <c r="M117" i="64"/>
  <c r="M116" i="64"/>
  <c r="L116" i="64"/>
  <c r="M115" i="64"/>
  <c r="L115" i="64"/>
  <c r="M114" i="64"/>
  <c r="M113" i="64"/>
  <c r="L113" i="64"/>
  <c r="M112" i="64"/>
  <c r="M111" i="64"/>
  <c r="L111" i="64"/>
  <c r="M110" i="64"/>
  <c r="L110" i="64"/>
  <c r="M109" i="64"/>
  <c r="M108" i="64"/>
  <c r="L108" i="64"/>
  <c r="M107" i="64"/>
  <c r="M106" i="64"/>
  <c r="L106" i="64"/>
  <c r="M105" i="64"/>
  <c r="L105" i="64"/>
  <c r="M104" i="64"/>
  <c r="M103" i="64"/>
  <c r="L103" i="64"/>
  <c r="M102" i="64"/>
  <c r="M101" i="64"/>
  <c r="L101" i="64"/>
  <c r="M100" i="64"/>
  <c r="L100" i="64"/>
  <c r="M99" i="64"/>
  <c r="M98" i="64"/>
  <c r="L98" i="64"/>
  <c r="M97" i="64"/>
  <c r="M96" i="64"/>
  <c r="L96" i="64"/>
  <c r="M95" i="64"/>
  <c r="L95" i="64"/>
  <c r="M94" i="64"/>
  <c r="M93" i="64"/>
  <c r="L93" i="64"/>
  <c r="M92" i="64"/>
  <c r="M91" i="64"/>
  <c r="L91" i="64"/>
  <c r="M90" i="64"/>
  <c r="L90" i="64"/>
  <c r="M89" i="64"/>
  <c r="M88" i="64"/>
  <c r="L88" i="64"/>
  <c r="M87" i="64"/>
  <c r="M86" i="64"/>
  <c r="L86" i="64"/>
  <c r="M85" i="64"/>
  <c r="L85" i="64"/>
  <c r="M84" i="64"/>
  <c r="M83" i="64"/>
  <c r="L83" i="64"/>
  <c r="M82" i="64"/>
  <c r="M81" i="64"/>
  <c r="L81" i="64"/>
  <c r="M80" i="64"/>
  <c r="L80" i="64"/>
  <c r="M78" i="64"/>
  <c r="L78" i="64"/>
  <c r="M76" i="64"/>
  <c r="L76" i="64"/>
  <c r="M75" i="64"/>
  <c r="L75" i="64"/>
  <c r="M74" i="64"/>
  <c r="M73" i="64"/>
  <c r="L73" i="64"/>
  <c r="M72" i="64"/>
  <c r="M71" i="64"/>
  <c r="L71" i="64"/>
  <c r="M70" i="64"/>
  <c r="L70" i="64"/>
  <c r="M68" i="64"/>
  <c r="L68" i="64"/>
  <c r="M66" i="64"/>
  <c r="L66" i="64"/>
  <c r="M65" i="64"/>
  <c r="L65" i="64"/>
  <c r="M64" i="64"/>
  <c r="M63" i="64"/>
  <c r="L63" i="64"/>
  <c r="M62" i="64"/>
  <c r="M61" i="64"/>
  <c r="L61" i="64"/>
  <c r="M60" i="64"/>
  <c r="L60" i="64"/>
  <c r="M59" i="64"/>
  <c r="L59" i="64"/>
  <c r="M58" i="64"/>
  <c r="L58" i="64"/>
  <c r="M57" i="64"/>
  <c r="L57" i="64"/>
  <c r="M56" i="64"/>
  <c r="L56" i="64"/>
  <c r="M55" i="64"/>
  <c r="L55" i="64"/>
  <c r="M54" i="64"/>
  <c r="M53" i="64"/>
  <c r="L53" i="64"/>
  <c r="M52" i="64"/>
  <c r="M51" i="64"/>
  <c r="L51" i="64"/>
  <c r="M50" i="64"/>
  <c r="L50" i="64"/>
  <c r="M49" i="64"/>
  <c r="L49" i="64"/>
  <c r="M48" i="64"/>
  <c r="L48" i="64"/>
  <c r="M47" i="64"/>
  <c r="L47" i="64"/>
  <c r="M46" i="64"/>
  <c r="L46" i="64"/>
  <c r="M45" i="64"/>
  <c r="L45" i="64"/>
  <c r="M44" i="64"/>
  <c r="M43" i="64"/>
  <c r="L43" i="64"/>
  <c r="M42" i="64"/>
  <c r="M41" i="64"/>
  <c r="L41" i="64"/>
  <c r="M40" i="64"/>
  <c r="L40" i="64"/>
  <c r="M39" i="64"/>
  <c r="L39" i="64"/>
  <c r="M38" i="64"/>
  <c r="L38" i="64"/>
  <c r="M37" i="64"/>
  <c r="L37" i="64"/>
  <c r="M36" i="64"/>
  <c r="L36" i="64"/>
  <c r="M35" i="64"/>
  <c r="L35" i="64"/>
  <c r="M34" i="64"/>
  <c r="M33" i="64"/>
  <c r="L33" i="64"/>
  <c r="M32" i="64"/>
  <c r="M31" i="64"/>
  <c r="L31" i="64"/>
  <c r="M30" i="64"/>
  <c r="L30" i="64"/>
  <c r="M29" i="64"/>
  <c r="L29" i="64"/>
  <c r="M28" i="64"/>
  <c r="L28" i="64"/>
  <c r="M27" i="64"/>
  <c r="L27" i="64"/>
  <c r="M26" i="64"/>
  <c r="L26" i="64"/>
  <c r="M25" i="64"/>
  <c r="L25" i="64"/>
  <c r="M23" i="64"/>
  <c r="L23" i="64"/>
  <c r="M21" i="64"/>
  <c r="L21" i="64"/>
  <c r="M20" i="64"/>
  <c r="L20" i="64"/>
  <c r="M19" i="64"/>
  <c r="L19" i="64"/>
  <c r="M18" i="64"/>
  <c r="L18" i="64"/>
  <c r="M17" i="64"/>
  <c r="L17" i="64"/>
  <c r="M16" i="64"/>
  <c r="L16" i="64"/>
  <c r="M15" i="64"/>
  <c r="L15" i="64"/>
  <c r="M14" i="64"/>
  <c r="L14" i="64"/>
  <c r="M13" i="64"/>
  <c r="L13" i="64"/>
  <c r="M12" i="64"/>
  <c r="L12" i="64"/>
  <c r="M11" i="64"/>
  <c r="L11" i="64"/>
  <c r="H8" i="89" l="1"/>
  <c r="D23" i="89" s="1"/>
  <c r="I18" i="90"/>
  <c r="I17" i="90"/>
  <c r="E14" i="90"/>
  <c r="D25" i="89"/>
  <c r="D11" i="89" l="1"/>
  <c r="D13" i="89" s="1"/>
  <c r="E16" i="91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8" i="91" l="1"/>
  <c r="F26" i="91"/>
  <c r="C44" i="91"/>
  <c r="F24" i="90"/>
  <c r="F30" i="91" l="1"/>
  <c r="F32" i="89" s="1"/>
  <c r="F33" i="89" s="1"/>
  <c r="C42" i="90"/>
  <c r="C44" i="90" s="1"/>
  <c r="F26" i="90"/>
  <c r="F28" i="90"/>
  <c r="F30" i="90" l="1"/>
  <c r="D32" i="89" s="1"/>
  <c r="C36" i="89" s="1"/>
  <c r="D36" i="89" l="1"/>
  <c r="D33" i="89"/>
  <c r="I34" i="86" s="1"/>
  <c r="D37" i="89"/>
  <c r="D4" i="87"/>
  <c r="G4" i="87" s="1"/>
  <c r="I4" i="87" l="1"/>
  <c r="E4" i="87"/>
  <c r="J4" i="87" l="1"/>
  <c r="K5" i="87" s="1"/>
  <c r="H4" i="87" l="1"/>
  <c r="A11" i="86" l="1"/>
  <c r="L202" i="64"/>
  <c r="M202" i="64" s="1"/>
  <c r="N202" i="64" s="1"/>
  <c r="O202" i="64" s="1"/>
  <c r="P202" i="64" s="1"/>
  <c r="Q202" i="64" s="1"/>
  <c r="R202" i="64" s="1"/>
  <c r="S202" i="64" s="1"/>
  <c r="T202" i="64" s="1"/>
  <c r="I26" i="86" l="1"/>
  <c r="I28" i="86"/>
  <c r="I27" i="86"/>
  <c r="B37" i="86"/>
  <c r="B39" i="86"/>
  <c r="D11" i="86"/>
  <c r="F11" i="86"/>
  <c r="I20" i="86"/>
  <c r="C11" i="86"/>
  <c r="A11" i="68"/>
  <c r="F15" i="68" l="1"/>
  <c r="B35" i="68"/>
  <c r="B37" i="68"/>
  <c r="J3" i="87"/>
  <c r="K4" i="87" s="1"/>
  <c r="I3" i="87" l="1"/>
  <c r="K3" i="87" s="1"/>
  <c r="L201" i="64" l="1"/>
  <c r="M201" i="64" s="1"/>
  <c r="N201" i="64" s="1"/>
  <c r="O201" i="64" s="1"/>
  <c r="P20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202" i="59"/>
  <c r="L6" i="64"/>
  <c r="E29" i="86" s="1"/>
  <c r="BV20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A40" i="13" l="1"/>
  <c r="AA39" i="13"/>
  <c r="AA38" i="13"/>
  <c r="AA37" i="13"/>
  <c r="AA36" i="13"/>
  <c r="AA33" i="13"/>
  <c r="AA30" i="13"/>
  <c r="AA28" i="13"/>
  <c r="AA25" i="13"/>
  <c r="AA24" i="13"/>
  <c r="AA23" i="13"/>
  <c r="AA22" i="13"/>
  <c r="AA21" i="13"/>
  <c r="AA20" i="13"/>
  <c r="AA18" i="13"/>
  <c r="AA17" i="13"/>
  <c r="AA16" i="13"/>
  <c r="AA15" i="13"/>
  <c r="AA14" i="13"/>
  <c r="AA13" i="13"/>
  <c r="AA12" i="13"/>
  <c r="AA26" i="13"/>
  <c r="AA19" i="13"/>
  <c r="AA11" i="13"/>
  <c r="AA10" i="13"/>
  <c r="AA9" i="13"/>
  <c r="AA8" i="13"/>
  <c r="AA7" i="13"/>
  <c r="AA6" i="13"/>
  <c r="AA5" i="13"/>
  <c r="AA4" i="13"/>
  <c r="AA3" i="13"/>
  <c r="AA35" i="13"/>
  <c r="AA34" i="13"/>
  <c r="AA32" i="13"/>
  <c r="AA31" i="13"/>
  <c r="AA29" i="13"/>
  <c r="AA27" i="13"/>
  <c r="A13" i="86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AA2" i="13"/>
  <c r="C18" i="67"/>
  <c r="N10" i="6"/>
  <c r="B7" i="6" s="1"/>
  <c r="L10" i="6"/>
  <c r="E10" i="6" l="1"/>
  <c r="D10" i="6"/>
  <c r="M10" i="6" l="1"/>
  <c r="G7" i="66"/>
  <c r="O3" i="6"/>
  <c r="N3" i="6"/>
  <c r="I25" i="86" l="1"/>
  <c r="H3" i="59"/>
  <c r="I3" i="59" s="1"/>
  <c r="J3" i="59" s="1"/>
  <c r="K3" i="59" s="1"/>
  <c r="F3" i="59"/>
  <c r="B3" i="59"/>
  <c r="I2" i="13" l="1"/>
  <c r="L4" i="59" l="1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G45" i="86"/>
  <c r="E45" i="86"/>
  <c r="C45" i="86"/>
  <c r="A45" i="86"/>
  <c r="I45" i="86" l="1"/>
  <c r="Q4" i="64"/>
  <c r="I30" i="86" l="1"/>
  <c r="I29" i="86"/>
  <c r="B30" i="68" l="1"/>
  <c r="I21" i="86" l="1"/>
  <c r="I11" i="68" l="1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I22" i="86"/>
  <c r="R14" i="66" l="1"/>
  <c r="Q14" i="66"/>
  <c r="S16" i="66"/>
  <c r="Z14" i="66" l="1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F11" i="68"/>
  <c r="I32" i="86" l="1"/>
  <c r="F42" i="13"/>
  <c r="J2" i="13"/>
  <c r="J42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<sst xmlns="http://schemas.openxmlformats.org/spreadsheetml/2006/main" count="13258" uniqueCount="3410">
  <si>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</si>
  <si>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</si>
  <si>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</si>
  <si>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</si>
  <si>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</si>
  <si>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</si>
  <si>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</si>
  <si>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</si>
  <si>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</si>
  <si>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</si>
  <si>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</si>
  <si>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</si>
  <si>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</si>
  <si>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</si>
  <si>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</si>
  <si>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</si>
  <si>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</si>
  <si>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</si>
  <si>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</si>
  <si>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</si>
  <si>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</si>
  <si>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</si>
  <si>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</si>
  <si>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</si>
  <si>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</si>
  <si>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</si>
  <si>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</si>
  <si>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</si>
  <si>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</si>
  <si>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</si>
  <si>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</si>
  <si>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</si>
  <si>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</si>
  <si>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</si>
  <si>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</si>
  <si>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</si>
  <si>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</si>
  <si>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</si>
  <si>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</si>
  <si>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</si>
  <si>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</si>
  <si>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</si>
  <si>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</si>
  <si>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</si>
  <si>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</si>
  <si>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</si>
  <si>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</si>
  <si>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</si>
  <si>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</si>
  <si>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</si>
  <si>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</si>
  <si>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</si>
  <si>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</si>
  <si>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CCA</t>
  </si>
  <si>
    <t>Ajuste positivo</t>
  </si>
  <si>
    <t>Ajuste negativo</t>
  </si>
  <si>
    <t>Desconto faltas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</si>
  <si>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</si>
  <si>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</si>
  <si>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</si>
  <si>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</si>
  <si>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</si>
  <si>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</si>
  <si>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</si>
  <si>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</si>
  <si>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</si>
  <si>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</si>
  <si>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</si>
  <si>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</si>
  <si>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</si>
  <si>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</si>
  <si>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</si>
  <si>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</si>
  <si>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</si>
  <si>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</si>
  <si>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</si>
  <si>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</si>
  <si>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</si>
  <si>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</si>
  <si>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</si>
  <si>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</si>
  <si>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</si>
  <si>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</si>
  <si>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</si>
  <si>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</si>
  <si>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</si>
  <si>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</si>
  <si>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</si>
  <si>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</si>
  <si>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</si>
  <si>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</si>
  <si>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</si>
  <si>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</si>
  <si>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</si>
  <si>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</si>
  <si>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</si>
  <si>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</si>
  <si>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</si>
  <si>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</si>
  <si>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</si>
  <si>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</si>
  <si>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</si>
  <si>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</si>
  <si>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</si>
  <si>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</si>
  <si>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</si>
  <si>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</si>
  <si>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</si>
  <si>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</si>
  <si>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</si>
  <si>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</si>
  <si>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</si>
  <si>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</si>
  <si>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</si>
  <si>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</si>
  <si>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</si>
  <si>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</si>
  <si>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</si>
  <si>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</si>
  <si>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</si>
  <si>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</si>
  <si>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</si>
  <si>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</si>
  <si>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</si>
  <si>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</si>
  <si>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</si>
  <si>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</si>
  <si>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</si>
  <si>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</si>
  <si>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</si>
  <si>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</si>
  <si>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</si>
  <si>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</si>
  <si>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</si>
  <si>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</si>
  <si>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</si>
  <si>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</si>
  <si>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</si>
  <si>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</si>
  <si>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</si>
  <si>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</si>
  <si>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</si>
  <si>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</si>
  <si>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</si>
  <si>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</si>
  <si>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</si>
  <si>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</si>
  <si>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</si>
  <si>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</si>
  <si>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</si>
  <si>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</si>
  <si>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</si>
  <si>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</si>
  <si>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</si>
  <si>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</si>
  <si>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</si>
  <si>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</si>
  <si>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</si>
  <si>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</si>
  <si>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</si>
  <si>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</si>
  <si>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</si>
  <si>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</si>
  <si>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</si>
  <si>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</si>
  <si>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</si>
  <si>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</si>
  <si>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</si>
  <si>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</si>
  <si>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</si>
  <si>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</si>
  <si>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</si>
  <si>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</si>
  <si>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</si>
  <si>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</si>
  <si>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</si>
  <si>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</si>
  <si>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</si>
  <si>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</si>
  <si>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</si>
  <si>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</si>
  <si>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</si>
  <si>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</si>
  <si>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</si>
  <si>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</si>
  <si>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</si>
  <si>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</si>
  <si>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</si>
  <si>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</si>
  <si>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</si>
  <si>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</si>
  <si>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</si>
  <si>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</si>
  <si>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</si>
  <si>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</si>
  <si>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</si>
  <si>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</si>
  <si>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</si>
  <si>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</si>
  <si>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</si>
  <si>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</si>
  <si>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</si>
  <si>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</si>
  <si>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</si>
  <si>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</si>
  <si>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</si>
  <si>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</si>
  <si>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</si>
  <si>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</si>
  <si>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</si>
  <si>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</si>
  <si>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</si>
  <si>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</si>
  <si>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</si>
  <si>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</si>
  <si>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</si>
  <si>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</si>
  <si>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</si>
  <si>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</si>
  <si>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</si>
  <si>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</si>
  <si>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</si>
  <si>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</si>
  <si>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</si>
  <si>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</si>
  <si>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</si>
  <si>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</si>
  <si>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</si>
  <si>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</si>
  <si>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</si>
  <si>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</si>
  <si>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</si>
  <si>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</si>
  <si>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</si>
  <si>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</si>
  <si>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</si>
  <si>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</si>
  <si>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</si>
  <si>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</si>
  <si>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</si>
  <si>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</si>
  <si>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</si>
  <si>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</si>
  <si>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</si>
  <si>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</si>
  <si>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</si>
  <si>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</si>
  <si>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</si>
  <si>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</si>
  <si>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</si>
  <si>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</si>
  <si>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</si>
  <si>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</si>
  <si>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</si>
  <si>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</si>
  <si>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</si>
  <si>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</si>
  <si>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</si>
  <si>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</si>
  <si>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</si>
  <si>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</si>
  <si>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</si>
  <si>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</si>
  <si>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</si>
  <si>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</si>
  <si>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</si>
  <si>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</si>
  <si>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</si>
  <si>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</si>
  <si>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</si>
  <si>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</si>
  <si>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</si>
  <si>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</si>
  <si>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</si>
  <si>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</si>
  <si>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</si>
  <si>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</si>
  <si>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</si>
  <si>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</si>
  <si>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</si>
  <si>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</si>
  <si>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</si>
  <si>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</si>
  <si>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</si>
  <si>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</si>
  <si>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</si>
  <si>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</si>
  <si>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</si>
  <si>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</si>
  <si>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</si>
  <si>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</si>
  <si>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</si>
  <si>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</si>
  <si>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</si>
  <si>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</si>
  <si>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</si>
  <si>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</si>
  <si>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</si>
  <si>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</si>
  <si>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</si>
  <si>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</si>
  <si>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</si>
  <si>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</si>
  <si>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</si>
  <si>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</si>
  <si>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</si>
  <si>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</si>
  <si>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</si>
  <si>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</si>
  <si>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</si>
  <si>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</si>
  <si>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</si>
  <si>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</si>
  <si>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</si>
  <si>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</si>
  <si>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</si>
  <si>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</si>
  <si>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</si>
  <si>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</si>
  <si>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</si>
  <si>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</si>
  <si>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</si>
  <si>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</si>
  <si>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</si>
  <si>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</si>
  <si>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</si>
  <si>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</si>
  <si>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</si>
  <si>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</si>
  <si>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</si>
  <si>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</si>
  <si>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</si>
  <si>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</si>
  <si>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</si>
  <si>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</si>
  <si>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</si>
  <si>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</si>
  <si>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</si>
  <si>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</si>
  <si>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</si>
  <si>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</si>
  <si>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</si>
  <si>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</si>
  <si>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</si>
  <si>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</si>
  <si>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</si>
  <si>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</si>
  <si>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</si>
  <si>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</si>
  <si>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</si>
  <si>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</si>
  <si>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</si>
  <si>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</si>
  <si>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</si>
  <si>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</si>
  <si>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</si>
  <si>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</si>
  <si>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</si>
  <si>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</si>
  <si>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</si>
  <si>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</si>
  <si>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</si>
  <si>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</si>
  <si>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</si>
  <si>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</si>
  <si>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</si>
  <si>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</si>
  <si>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</si>
  <si>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</si>
  <si>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</si>
  <si>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</si>
  <si>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</si>
  <si>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</si>
  <si>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</si>
  <si>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</si>
  <si>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</si>
  <si>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</si>
  <si>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</si>
  <si>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</si>
  <si>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</si>
  <si>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</si>
  <si>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</si>
  <si>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</si>
  <si>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</si>
  <si>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</si>
  <si>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</si>
  <si>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</si>
  <si>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</si>
  <si>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</si>
  <si>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</si>
  <si>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</si>
  <si>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</si>
  <si>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</si>
  <si>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</si>
  <si>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</si>
  <si>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</si>
  <si>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</si>
  <si>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</si>
  <si>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</si>
  <si>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</si>
  <si>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</si>
  <si>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</si>
  <si>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</si>
  <si>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</si>
  <si>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</si>
  <si>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</si>
  <si>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</si>
  <si>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</si>
  <si>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</si>
  <si>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</si>
  <si>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</si>
  <si>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</si>
  <si>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</si>
  <si>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</si>
  <si>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</si>
  <si>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</si>
  <si>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</si>
  <si>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</si>
  <si>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</si>
  <si>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</si>
  <si>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</si>
  <si>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</si>
  <si>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</si>
  <si>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</si>
  <si>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</si>
  <si>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</si>
  <si>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</si>
  <si>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</si>
  <si>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</si>
  <si>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</si>
  <si>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</si>
  <si>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</si>
  <si>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</si>
  <si>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</si>
  <si>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</si>
  <si>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</si>
  <si>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</si>
  <si>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</si>
  <si>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</si>
  <si>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</si>
  <si>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</si>
  <si>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</si>
  <si>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</si>
  <si>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</si>
  <si>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</si>
  <si>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</si>
  <si>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</si>
  <si>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</si>
  <si>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</si>
  <si>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</si>
  <si>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</si>
  <si>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</si>
  <si>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</si>
  <si>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</si>
  <si>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</si>
  <si>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</si>
  <si>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</si>
  <si>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</si>
  <si>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</si>
  <si>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</si>
  <si>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</si>
  <si>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</si>
  <si>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</si>
  <si>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</si>
  <si>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</si>
  <si>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</si>
  <si>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</si>
  <si>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</si>
  <si>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</si>
  <si>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</si>
  <si>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</si>
  <si>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</si>
  <si>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</si>
  <si>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</si>
  <si>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</si>
  <si>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</si>
  <si>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</si>
  <si>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</si>
  <si>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</si>
  <si>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</si>
  <si>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</si>
  <si>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</si>
  <si>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</si>
  <si>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</si>
  <si>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</si>
  <si>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</si>
  <si>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</si>
  <si>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</si>
  <si>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</si>
  <si>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</si>
  <si>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</si>
  <si>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</si>
  <si>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</si>
  <si>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</si>
  <si>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</si>
  <si>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</si>
  <si>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</si>
  <si>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</si>
  <si>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</si>
  <si>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</si>
  <si>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</si>
  <si>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</si>
  <si>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</si>
  <si>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</si>
  <si>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</si>
  <si>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</si>
  <si>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</si>
  <si>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</si>
  <si>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</si>
  <si>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</si>
  <si>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</si>
  <si>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</si>
  <si>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</si>
  <si>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</si>
  <si>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</si>
  <si>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</si>
  <si>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</si>
  <si>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</si>
  <si>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</si>
  <si>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</si>
  <si>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</si>
  <si>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</si>
  <si>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</si>
  <si>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</si>
  <si>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</si>
  <si>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</si>
  <si>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</si>
  <si>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</si>
  <si>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</si>
  <si>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</si>
  <si>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</si>
  <si>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</si>
  <si>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</si>
  <si>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</si>
  <si>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</si>
  <si>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</si>
  <si>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</si>
  <si>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</si>
  <si>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</si>
  <si>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</si>
  <si>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</si>
  <si>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</si>
  <si>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</si>
  <si>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</si>
  <si>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</si>
  <si>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</si>
  <si>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</si>
  <si>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</si>
  <si>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</si>
  <si>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</si>
  <si>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</si>
  <si>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</si>
  <si>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</si>
  <si>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</si>
  <si>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</si>
  <si>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</si>
  <si>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</si>
  <si>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</si>
  <si>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</si>
  <si>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</si>
  <si>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</si>
  <si>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</si>
  <si>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</si>
  <si>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</si>
  <si>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</si>
  <si>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</si>
  <si>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</si>
  <si>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</si>
  <si>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</si>
  <si>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</si>
  <si>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</si>
  <si>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</si>
  <si>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</si>
  <si>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</si>
  <si>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</si>
  <si>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</si>
  <si>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</si>
  <si>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</si>
  <si>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</si>
  <si>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</si>
  <si>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</si>
  <si>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</si>
  <si>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</si>
  <si>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</si>
  <si>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</si>
  <si>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</si>
  <si>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</si>
  <si>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</si>
  <si>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</si>
  <si>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</si>
  <si>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</si>
  <si>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</si>
  <si>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</si>
  <si>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</si>
  <si>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</si>
  <si>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</si>
  <si>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</si>
  <si>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</si>
  <si>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</si>
  <si>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</si>
  <si>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</si>
  <si>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</si>
  <si>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</si>
  <si>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</si>
  <si>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</si>
  <si>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</si>
  <si>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</si>
  <si>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</si>
  <si>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</si>
  <si>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</si>
  <si>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</si>
  <si>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</si>
  <si>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</si>
  <si>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</si>
  <si>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</si>
  <si>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</si>
  <si>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</si>
  <si>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</si>
  <si>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</si>
  <si>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</si>
  <si>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</si>
  <si>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</si>
  <si>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</si>
  <si>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</si>
  <si>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</si>
  <si>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</si>
  <si>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</si>
  <si>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</si>
  <si>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</si>
  <si>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</si>
  <si>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</si>
  <si>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</si>
  <si>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</si>
  <si>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</si>
  <si>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</si>
  <si>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</si>
  <si>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</si>
  <si>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</si>
  <si>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</si>
  <si>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</si>
  <si>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</si>
  <si>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</si>
  <si>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</si>
  <si>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</si>
  <si>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</si>
  <si>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</si>
  <si>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</si>
  <si>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</si>
  <si>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</si>
  <si>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</si>
  <si>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</si>
  <si>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</si>
  <si>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</si>
  <si>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</si>
  <si>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</si>
  <si>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</si>
  <si>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</si>
  <si>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</si>
  <si>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</si>
  <si>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</si>
  <si>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</si>
  <si>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</si>
  <si>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</si>
  <si>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</si>
  <si>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</si>
  <si>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</si>
  <si>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</si>
  <si>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</si>
  <si>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</si>
  <si>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</si>
  <si>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</si>
  <si>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</si>
  <si>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</si>
  <si>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</si>
  <si>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</si>
  <si>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</si>
  <si>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</si>
  <si>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</si>
  <si>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</si>
  <si>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</si>
  <si>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</si>
  <si>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</si>
  <si>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</si>
  <si>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</si>
  <si>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</si>
  <si>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</si>
  <si>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</si>
  <si>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</si>
  <si>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</si>
  <si>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</si>
  <si>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</si>
  <si>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</si>
  <si>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</si>
  <si>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</si>
  <si>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</si>
  <si>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</si>
  <si>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</si>
  <si>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</si>
  <si>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</si>
  <si>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</si>
  <si>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</si>
  <si>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</si>
  <si>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</si>
  <si>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</si>
  <si>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</si>
  <si>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</si>
  <si>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</si>
  <si>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</si>
  <si>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</si>
  <si>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</si>
  <si>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</si>
  <si>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</si>
  <si>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</si>
  <si>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</si>
  <si>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</si>
  <si>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</si>
  <si>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</si>
  <si>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</si>
  <si>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</si>
  <si>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</si>
  <si>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</si>
  <si>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</si>
  <si>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</si>
  <si>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</si>
  <si>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</si>
  <si>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</si>
  <si>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</si>
  <si>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</si>
  <si>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</si>
  <si>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</si>
  <si>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</si>
  <si>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</si>
  <si>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</si>
  <si>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</si>
  <si>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</si>
  <si>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</si>
  <si>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</si>
  <si>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</si>
  <si>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</si>
  <si>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</si>
  <si>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</si>
  <si>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</si>
  <si>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</si>
  <si>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</si>
  <si>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</si>
  <si>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</si>
  <si>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</si>
  <si>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</si>
  <si>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</si>
  <si>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</si>
  <si>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</si>
  <si>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</si>
  <si>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</si>
  <si>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</si>
  <si>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</si>
  <si>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</si>
  <si>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</si>
  <si>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</si>
  <si>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</si>
  <si>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</si>
  <si>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</si>
  <si>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</si>
  <si>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</si>
  <si>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</si>
  <si>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</si>
  <si>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</si>
  <si>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</si>
  <si>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</si>
  <si>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</si>
  <si>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</si>
  <si>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</si>
  <si>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</si>
  <si>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</si>
  <si>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</si>
  <si>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</si>
  <si>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</si>
  <si>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</si>
  <si>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</si>
  <si>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</si>
  <si>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</si>
  <si>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</si>
  <si>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</si>
  <si>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</si>
  <si>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</si>
  <si>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</si>
  <si>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</si>
  <si>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</si>
  <si>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</si>
  <si>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</si>
  <si>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</si>
  <si>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</si>
  <si>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</si>
  <si>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</si>
  <si>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</si>
  <si>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</si>
  <si>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</si>
  <si>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</si>
  <si>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</si>
  <si>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</si>
  <si>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</si>
  <si>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</si>
  <si>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</si>
  <si>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</si>
  <si>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</si>
  <si>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</si>
  <si>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</si>
  <si>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</si>
  <si>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</si>
  <si>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</si>
  <si>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</si>
  <si>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</si>
  <si>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</si>
  <si>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</si>
  <si>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</si>
  <si>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</si>
  <si>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</si>
  <si>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</si>
  <si>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</si>
  <si>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</si>
  <si>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</si>
  <si>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</si>
  <si>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</si>
  <si>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</si>
  <si>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</si>
  <si>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</si>
  <si>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</si>
  <si>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</si>
  <si>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</si>
  <si>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</si>
  <si>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</si>
  <si>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</si>
  <si>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</si>
  <si>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</si>
  <si>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</si>
  <si>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</si>
  <si>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</si>
  <si>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</si>
  <si>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</si>
  <si>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</si>
  <si>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</si>
  <si>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</si>
  <si>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</si>
  <si>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</si>
  <si>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</si>
  <si>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</si>
  <si>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</si>
  <si>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</si>
  <si>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</si>
  <si>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</si>
  <si>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</si>
  <si>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</si>
  <si>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</si>
  <si>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</si>
  <si>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</si>
  <si>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</si>
  <si>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</si>
  <si>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</si>
  <si>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</si>
  <si>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</si>
  <si>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</si>
  <si>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</si>
  <si>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</si>
  <si>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</si>
  <si>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</si>
  <si>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</si>
  <si>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</si>
  <si>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</si>
  <si>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</si>
  <si>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</si>
  <si>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</si>
  <si>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</si>
  <si>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</si>
  <si>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</si>
  <si>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</si>
  <si>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</si>
  <si>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</si>
  <si>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</si>
  <si>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</si>
  <si>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</si>
  <si>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</si>
  <si>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</si>
  <si>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</si>
  <si>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</si>
  <si>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</si>
  <si>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</si>
  <si>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</si>
  <si>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</si>
  <si>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</si>
  <si>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</si>
  <si>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</si>
  <si>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</si>
  <si>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</si>
  <si>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</si>
  <si>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</si>
  <si>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</si>
  <si>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</si>
  <si>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</si>
  <si>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</si>
  <si>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</si>
  <si>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</si>
  <si>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</si>
  <si>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</si>
  <si>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</si>
  <si>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</si>
  <si>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</si>
  <si>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</si>
  <si>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</si>
  <si>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</si>
  <si>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</si>
  <si>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</si>
  <si>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</si>
  <si>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</si>
  <si>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</si>
  <si>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</si>
  <si>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</si>
  <si>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</si>
  <si>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</si>
  <si>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</si>
  <si>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</si>
  <si>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</si>
  <si>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</si>
  <si>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</si>
  <si>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</si>
  <si>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</si>
  <si>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</si>
  <si>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</si>
  <si>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</si>
  <si>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</si>
  <si>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</si>
  <si>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</si>
  <si>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</si>
  <si>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</si>
  <si>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</si>
  <si>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</si>
  <si>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</si>
  <si>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</si>
  <si>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</si>
  <si>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</si>
  <si>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</si>
  <si>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</si>
  <si>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</si>
  <si>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</si>
  <si>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</si>
  <si>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</si>
  <si>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</si>
  <si>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</si>
  <si>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</si>
  <si>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</si>
  <si>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</si>
  <si>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</si>
  <si>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</si>
  <si>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</si>
  <si>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</si>
  <si>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</si>
  <si>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</si>
  <si>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</si>
  <si>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</si>
  <si>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</si>
  <si>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</si>
  <si>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</si>
  <si>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</si>
  <si>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</si>
  <si>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</si>
  <si>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</si>
  <si>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</si>
  <si>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</si>
  <si>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</si>
  <si>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</si>
  <si>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</si>
  <si>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</si>
  <si>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</si>
  <si>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</si>
  <si>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</si>
  <si>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</si>
  <si>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</si>
  <si>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</si>
  <si>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</si>
  <si>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</si>
  <si>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</si>
  <si>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</si>
  <si>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</si>
  <si>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</si>
  <si>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</si>
  <si>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</si>
  <si>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</si>
  <si>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</si>
  <si>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</si>
  <si>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</si>
  <si>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</si>
  <si>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</si>
  <si>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</si>
  <si>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</si>
  <si>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</si>
  <si>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</si>
  <si>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</si>
  <si>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</si>
  <si>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</si>
  <si>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</si>
  <si>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</si>
  <si>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</si>
  <si>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</si>
  <si>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</si>
  <si>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</si>
  <si>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</si>
  <si>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</si>
  <si>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</si>
  <si>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</si>
  <si>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</si>
  <si>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</si>
  <si>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</si>
  <si>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</si>
  <si>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</si>
  <si>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</si>
  <si>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</si>
  <si>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</si>
  <si>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</si>
  <si>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</si>
  <si>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</si>
  <si>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</si>
  <si>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</si>
  <si>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</si>
  <si>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</si>
  <si>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</si>
  <si>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</si>
  <si>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</si>
  <si>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</si>
  <si>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</si>
  <si>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</si>
  <si>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</si>
  <si>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</si>
  <si>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</si>
  <si>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</si>
  <si>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</si>
  <si>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</si>
  <si>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</si>
  <si>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</si>
  <si>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</si>
  <si>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</si>
  <si>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</si>
  <si>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</si>
  <si>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</si>
  <si>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</si>
  <si>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</si>
  <si>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</si>
  <si>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</si>
  <si>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</si>
  <si>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</si>
  <si>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</si>
  <si>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</si>
  <si>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</si>
  <si>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</si>
  <si>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</si>
  <si>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</si>
  <si>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</si>
  <si>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</si>
  <si>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</si>
  <si>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</si>
  <si>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</si>
  <si>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</si>
  <si>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</si>
  <si>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</si>
  <si>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</si>
  <si>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</si>
  <si>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</si>
  <si>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</si>
  <si>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</si>
  <si>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</si>
  <si>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</si>
  <si>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</si>
  <si>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</si>
  <si>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</si>
  <si>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</si>
  <si>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</si>
  <si>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</si>
  <si>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</si>
  <si>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</si>
  <si>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</si>
  <si>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</si>
  <si>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</si>
  <si>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</si>
  <si>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</si>
  <si>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</si>
  <si>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</si>
  <si>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</si>
  <si>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</si>
  <si>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</si>
  <si>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</si>
  <si>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</si>
  <si>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</si>
  <si>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</si>
  <si>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</si>
  <si>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</si>
  <si>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</si>
  <si>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</si>
  <si>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</si>
  <si>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</si>
  <si>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</si>
  <si>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</si>
  <si>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</si>
  <si>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</si>
  <si>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</si>
  <si>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</si>
  <si>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</si>
  <si>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</si>
  <si>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</si>
  <si>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</si>
  <si>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</si>
  <si>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</si>
  <si>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</si>
  <si>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</si>
  <si>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</si>
  <si>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</si>
  <si>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</si>
  <si>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</si>
  <si>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</si>
  <si>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</si>
  <si>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</si>
  <si>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</si>
  <si>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</si>
  <si>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</si>
  <si>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</si>
  <si>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</si>
  <si>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</si>
  <si>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</si>
  <si>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</si>
  <si>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</si>
  <si>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</si>
  <si>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</si>
  <si>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</si>
  <si>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</si>
  <si>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</si>
  <si>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</si>
  <si>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</si>
  <si>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</si>
  <si>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</si>
  <si>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</si>
  <si>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</si>
  <si>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</si>
  <si>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</si>
  <si>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</si>
  <si>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</si>
  <si>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</si>
  <si>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</si>
  <si>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</si>
  <si>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</si>
  <si>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</si>
  <si>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</si>
  <si>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</si>
  <si>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</si>
  <si>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</si>
  <si>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</si>
  <si>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</si>
  <si>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</si>
  <si>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</si>
  <si>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</si>
  <si>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</si>
  <si>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</si>
  <si>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</si>
  <si>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</si>
  <si>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</si>
  <si>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</si>
  <si>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</si>
  <si>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</si>
  <si>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</si>
  <si>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</si>
  <si>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</si>
  <si>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</si>
  <si>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</si>
  <si>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</si>
  <si>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</si>
  <si>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</si>
  <si>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</si>
  <si>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</si>
  <si>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</si>
  <si>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</si>
  <si>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</si>
  <si>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</si>
  <si>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</si>
  <si>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</si>
  <si>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</si>
  <si>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</si>
  <si>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</si>
  <si>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</si>
  <si>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</si>
  <si>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</si>
  <si>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</si>
  <si>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</si>
  <si>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</si>
  <si>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</si>
  <si>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</si>
  <si>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</si>
  <si>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</si>
  <si>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</si>
  <si>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</si>
  <si>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</si>
  <si>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</si>
  <si>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</si>
  <si>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</si>
  <si>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</si>
  <si>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</si>
  <si>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</si>
  <si>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</si>
  <si>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</si>
  <si>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</si>
  <si>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</si>
  <si>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</si>
  <si>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</si>
  <si>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</si>
  <si>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</si>
  <si>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</si>
  <si>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</si>
  <si>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</si>
  <si>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</si>
  <si>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</si>
  <si>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</si>
  <si>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</si>
  <si>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</si>
  <si>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</si>
  <si>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</si>
  <si>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</si>
  <si>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</si>
  <si>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</si>
  <si>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</si>
  <si>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</si>
  <si>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</si>
  <si>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</si>
  <si>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</si>
  <si>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</si>
  <si>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</si>
  <si>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</si>
  <si>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</si>
  <si>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</si>
  <si>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</si>
  <si>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</si>
  <si>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</si>
  <si>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</si>
  <si>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</si>
  <si>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</si>
  <si>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</si>
  <si>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</si>
  <si>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</si>
  <si>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</si>
  <si>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</si>
  <si>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</si>
  <si>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</si>
  <si>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</si>
  <si>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</si>
  <si>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</si>
  <si>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</si>
  <si>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</si>
  <si>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</si>
  <si>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</si>
  <si>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</si>
  <si>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</si>
  <si>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</si>
  <si>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</si>
  <si>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</si>
  <si>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</si>
  <si>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</si>
  <si>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</si>
  <si>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</si>
  <si>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</si>
  <si>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</si>
  <si>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</si>
  <si>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</si>
  <si>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</si>
  <si>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</si>
  <si>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</si>
  <si>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</si>
  <si>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</si>
  <si>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</si>
  <si>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</si>
  <si>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</si>
  <si>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</si>
  <si>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</si>
  <si>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</si>
  <si>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</si>
  <si>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</si>
  <si>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</si>
  <si>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</si>
  <si>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</si>
  <si>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</si>
  <si>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</si>
  <si>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</si>
  <si>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</si>
  <si>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</si>
  <si>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</si>
  <si>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</si>
  <si>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</si>
  <si>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</si>
  <si>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</si>
  <si>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</si>
  <si>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</si>
  <si>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</si>
  <si>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</si>
  <si>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</si>
  <si>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</si>
  <si>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</si>
  <si>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</si>
  <si>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</si>
  <si>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</si>
  <si>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</si>
  <si>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</si>
  <si>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</si>
  <si>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</si>
  <si>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</si>
  <si>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</si>
  <si>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</si>
  <si>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</si>
  <si>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</si>
  <si>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</si>
  <si>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</si>
  <si>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</si>
  <si>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</si>
  <si>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</si>
  <si>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</si>
  <si>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</si>
  <si>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</si>
  <si>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</si>
  <si>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</si>
  <si>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</si>
  <si>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</si>
  <si>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</si>
  <si>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</si>
  <si>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</si>
  <si>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</si>
  <si>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</si>
  <si>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</si>
  <si>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</si>
  <si>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</si>
  <si>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</si>
  <si>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</si>
  <si>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</si>
  <si>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</si>
  <si>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</si>
  <si>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</si>
  <si>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</si>
  <si>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</si>
  <si>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</si>
  <si>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</si>
  <si>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</si>
  <si>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</si>
  <si>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</si>
  <si>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</si>
  <si>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</si>
  <si>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</si>
  <si>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</si>
  <si>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</si>
  <si>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</si>
  <si>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</si>
  <si>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</si>
  <si>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</si>
  <si>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</si>
  <si>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</si>
  <si>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</si>
  <si>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</si>
  <si>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</si>
  <si>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</si>
  <si>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</si>
  <si>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</si>
  <si>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</si>
  <si>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</si>
  <si>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</si>
  <si>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</si>
  <si>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</si>
  <si>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</si>
  <si>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</si>
  <si>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</si>
  <si>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</si>
  <si>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</si>
  <si>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</si>
  <si>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</si>
  <si>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</si>
  <si>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</si>
  <si>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</si>
  <si>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</si>
  <si>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</si>
  <si>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</si>
  <si>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</si>
  <si>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</si>
  <si>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</si>
  <si>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</si>
  <si>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</si>
  <si>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</si>
  <si>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</si>
  <si>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</si>
  <si>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</si>
  <si>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</si>
  <si>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</si>
  <si>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</si>
  <si>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</si>
  <si>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</si>
  <si>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</si>
  <si>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</si>
  <si>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</si>
  <si>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</si>
  <si>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</si>
  <si>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</si>
  <si>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</si>
  <si>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</si>
  <si>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</si>
  <si>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</si>
  <si>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</si>
  <si>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</si>
  <si>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</si>
  <si>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</si>
  <si>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</si>
  <si>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</si>
  <si>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</si>
  <si>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</si>
  <si>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</si>
  <si>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</si>
  <si>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</si>
  <si>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</si>
  <si>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</si>
  <si>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</si>
  <si>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</si>
  <si>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</si>
  <si>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</si>
  <si>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</si>
  <si>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</si>
  <si>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</si>
  <si>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</si>
  <si>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</si>
  <si>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</si>
  <si>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</si>
  <si>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</si>
  <si>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</si>
  <si>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</si>
  <si>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</si>
  <si>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</si>
  <si>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</si>
  <si>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</si>
  <si>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</si>
  <si>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</si>
  <si>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</si>
  <si>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</si>
  <si>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</si>
  <si>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</si>
  <si>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</si>
  <si>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</si>
  <si>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</si>
  <si>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</si>
  <si>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</si>
  <si>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</si>
  <si>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</si>
  <si>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</si>
  <si>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</si>
  <si>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</si>
  <si>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</si>
  <si>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</si>
  <si>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</si>
  <si>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</si>
  <si>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</si>
  <si>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</si>
  <si>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</si>
  <si>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</si>
  <si>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</si>
  <si>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</si>
  <si>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</si>
  <si>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</si>
  <si>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</si>
  <si>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</si>
  <si>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</si>
  <si>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</si>
  <si>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</si>
  <si>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</si>
  <si>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</si>
  <si>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</si>
  <si>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</si>
  <si>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</si>
  <si>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</si>
  <si>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</si>
  <si>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</si>
  <si>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</si>
  <si>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</si>
  <si>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</si>
  <si>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</si>
  <si>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</si>
  <si>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</si>
  <si>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</si>
  <si>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</si>
  <si>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</si>
  <si>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</si>
  <si>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</si>
  <si>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</si>
  <si>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</si>
  <si>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</si>
  <si>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</si>
  <si>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</si>
  <si>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</si>
  <si>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</si>
  <si>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</si>
  <si>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</si>
  <si>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</si>
  <si>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</si>
  <si>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</si>
  <si>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</si>
  <si>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</si>
  <si>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</si>
  <si>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</si>
  <si>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</si>
  <si>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</si>
  <si>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</si>
  <si>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</si>
  <si>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</si>
  <si>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</si>
  <si>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</si>
  <si>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</si>
  <si>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</si>
  <si>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</si>
  <si>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</si>
  <si>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</si>
  <si>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</si>
  <si>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</si>
  <si>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</si>
  <si>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</si>
  <si>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</si>
  <si>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</si>
  <si>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</si>
  <si>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</si>
  <si>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</si>
  <si>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</si>
  <si>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</si>
  <si>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</si>
  <si>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</si>
  <si>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</si>
  <si>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</si>
  <si>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</si>
  <si>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</si>
  <si>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</si>
  <si>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</si>
  <si>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</si>
  <si>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</si>
  <si>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</si>
  <si>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</si>
  <si>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</si>
  <si>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</si>
  <si>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</si>
  <si>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</si>
  <si>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</si>
  <si>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</si>
  <si>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</si>
  <si>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</si>
  <si>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</si>
  <si>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</si>
  <si>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</si>
  <si>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</si>
  <si>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</si>
  <si>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</si>
  <si>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</si>
  <si>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</si>
  <si>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</si>
  <si>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</si>
  <si>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</si>
  <si>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</si>
  <si>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</si>
  <si>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</si>
  <si>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</si>
  <si>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</si>
  <si>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</si>
  <si>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</si>
  <si>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</si>
  <si>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</si>
  <si>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</si>
  <si>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</si>
  <si>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</si>
  <si>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</si>
  <si>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</si>
  <si>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</si>
  <si>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</si>
  <si>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</si>
  <si>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</si>
  <si>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</si>
  <si>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</si>
  <si>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</si>
  <si>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</si>
  <si>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</si>
  <si>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</si>
  <si>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</si>
  <si>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</si>
  <si>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</si>
  <si>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</si>
  <si>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</si>
  <si>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</si>
  <si>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</si>
  <si>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</si>
  <si>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</si>
  <si>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</si>
  <si>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</si>
  <si>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</si>
  <si>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</si>
  <si>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</si>
  <si>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</si>
  <si>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</si>
  <si>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</si>
  <si>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</si>
  <si>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</si>
  <si>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</si>
  <si>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</si>
  <si>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</si>
  <si>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</si>
  <si>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</si>
  <si>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</si>
  <si>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</si>
  <si>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</si>
  <si>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</si>
  <si>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</si>
  <si>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</si>
  <si>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</si>
  <si>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</si>
  <si>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</si>
  <si>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</si>
  <si>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</si>
  <si>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</si>
  <si>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</si>
  <si>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</si>
  <si>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</si>
  <si>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</si>
  <si>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</si>
  <si>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</si>
  <si>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</si>
  <si>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</si>
  <si>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</si>
  <si>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</si>
  <si>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</si>
  <si>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</si>
  <si>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</si>
  <si>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</si>
  <si>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</si>
  <si>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</si>
  <si>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</si>
  <si>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</si>
  <si>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</si>
  <si>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</si>
  <si>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</si>
  <si>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</si>
  <si>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</si>
  <si>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</si>
  <si>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</si>
  <si>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</si>
  <si>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</si>
  <si>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</si>
  <si>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</si>
  <si>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</si>
  <si>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</si>
  <si>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</si>
  <si>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</si>
  <si>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</si>
  <si>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</si>
  <si>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</si>
  <si>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</si>
  <si>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</si>
  <si>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</si>
  <si>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</si>
  <si>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</si>
  <si>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</si>
  <si>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</si>
  <si>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</si>
  <si>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</si>
  <si>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</si>
  <si>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</si>
  <si>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</si>
  <si>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</si>
  <si>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</si>
  <si>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</si>
  <si>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</si>
  <si>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</si>
  <si>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</si>
  <si>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</si>
  <si>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</si>
  <si>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</si>
  <si>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</si>
  <si>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</si>
  <si>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</si>
  <si>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</si>
  <si>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</si>
  <si>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</si>
  <si>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</si>
  <si>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</si>
  <si>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</si>
  <si>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</si>
  <si>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</si>
  <si>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</si>
  <si>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</si>
  <si>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</si>
  <si>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</si>
  <si>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</si>
  <si>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</si>
  <si>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</si>
  <si>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</si>
  <si>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</si>
  <si>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</si>
  <si>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</si>
  <si>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</si>
  <si>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</si>
  <si>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</si>
  <si>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</si>
  <si>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</si>
  <si>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</si>
  <si>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</si>
  <si>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</si>
  <si>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</si>
  <si>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</si>
  <si>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</si>
  <si>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</si>
  <si>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</si>
  <si>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</si>
  <si>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</si>
  <si>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</si>
  <si>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</si>
  <si>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</si>
  <si>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</si>
  <si>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</si>
  <si>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</si>
  <si>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</si>
  <si>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</si>
  <si>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</si>
  <si>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</si>
  <si>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</si>
  <si>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</si>
  <si>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</si>
  <si>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</si>
  <si>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</si>
  <si>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</si>
  <si>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</si>
  <si>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</si>
  <si>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</si>
  <si>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</si>
  <si>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</si>
  <si>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</si>
  <si>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</si>
  <si>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</si>
  <si>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</si>
  <si>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</si>
  <si>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</si>
  <si>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</si>
  <si>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</si>
  <si>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</si>
  <si>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</si>
  <si>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</si>
  <si>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</si>
  <si>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</si>
  <si>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</si>
  <si>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</si>
  <si>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</si>
  <si>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</si>
  <si>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</si>
  <si>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</si>
  <si>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</si>
  <si>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</si>
  <si>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</si>
  <si>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</si>
  <si>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</si>
  <si>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</si>
  <si>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</si>
  <si>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</si>
  <si>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</si>
  <si>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</si>
  <si>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</si>
  <si>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</si>
  <si>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</si>
  <si>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</si>
  <si>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</si>
  <si>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</si>
  <si>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</si>
  <si>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</si>
  <si>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</si>
  <si>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</si>
  <si>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</si>
  <si>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</si>
  <si>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</si>
  <si>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</si>
  <si>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</si>
  <si>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</si>
  <si>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</si>
  <si>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</si>
  <si>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</si>
  <si>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</si>
  <si>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</si>
  <si>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</si>
  <si>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</si>
  <si>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</si>
  <si>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</si>
  <si>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</si>
  <si>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</si>
  <si>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</si>
  <si>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</si>
  <si>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</si>
  <si>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</si>
  <si>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</si>
  <si>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</si>
  <si>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</si>
  <si>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</si>
  <si>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</si>
  <si>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</si>
  <si>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</si>
  <si>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</si>
  <si>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</si>
  <si>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</si>
  <si>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</si>
  <si>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</si>
  <si>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</si>
  <si>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</si>
  <si>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</si>
  <si>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</si>
  <si>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</si>
  <si>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</si>
  <si>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</si>
  <si>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</si>
  <si>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</si>
  <si>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</si>
  <si>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</si>
  <si>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</si>
  <si>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</si>
  <si>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</si>
  <si>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</si>
  <si>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</si>
  <si>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</si>
  <si>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</si>
  <si>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</si>
  <si>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</si>
  <si>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</si>
  <si>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</si>
  <si>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</si>
  <si>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</si>
  <si>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</si>
  <si>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</si>
  <si>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</si>
  <si>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</si>
  <si>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</si>
  <si>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</si>
  <si>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</si>
  <si>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</si>
  <si>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</si>
  <si>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</si>
  <si>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</si>
  <si>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</si>
  <si>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</si>
  <si>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</si>
  <si>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</si>
  <si>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</si>
  <si>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</si>
  <si>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</si>
  <si>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</si>
  <si>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</si>
  <si>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</si>
  <si>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</si>
  <si>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</si>
  <si>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</si>
  <si>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</si>
  <si>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</si>
  <si>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</si>
  <si>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</si>
  <si>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</si>
  <si>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</si>
  <si>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</si>
  <si>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</si>
  <si>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</si>
  <si>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</si>
  <si>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</si>
  <si>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</si>
  <si>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</si>
  <si>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</si>
  <si>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</si>
  <si>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</si>
  <si>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</si>
  <si>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</si>
  <si>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</si>
  <si>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</si>
  <si>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</si>
  <si>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</si>
  <si>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</si>
  <si>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</si>
  <si>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</si>
  <si>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</si>
  <si>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</si>
  <si>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</si>
  <si>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</si>
  <si>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</si>
  <si>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</si>
  <si>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</si>
  <si>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</si>
  <si>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</si>
  <si>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</si>
  <si>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</si>
  <si>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</si>
  <si>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</si>
  <si>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</si>
  <si>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</si>
  <si>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</si>
  <si>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</si>
  <si>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</si>
  <si>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</si>
  <si>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</si>
  <si>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</si>
  <si>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</si>
  <si>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</si>
  <si>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</si>
  <si>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</si>
  <si>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</si>
  <si>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</si>
  <si>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</si>
  <si>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</si>
  <si>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</si>
  <si>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</si>
  <si>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</si>
  <si>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</si>
  <si>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</si>
  <si>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</si>
  <si>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</si>
  <si>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</si>
  <si>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</si>
  <si>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</si>
  <si>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</si>
  <si>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</si>
  <si>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</si>
  <si>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</si>
  <si>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</si>
  <si>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</si>
  <si>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</si>
  <si>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</si>
  <si>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</si>
  <si>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</si>
  <si>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</si>
  <si>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</si>
  <si>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</si>
  <si>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</si>
  <si>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</si>
  <si>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</si>
  <si>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</si>
  <si>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</si>
  <si>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</si>
  <si>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</si>
  <si>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</si>
  <si>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</si>
  <si>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</si>
  <si>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</si>
  <si>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</si>
  <si>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</si>
  <si>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</si>
  <si>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</si>
  <si>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</si>
  <si>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</si>
  <si>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</si>
  <si>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</si>
  <si>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</si>
  <si>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</si>
  <si>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</si>
  <si>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</si>
  <si>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</si>
  <si>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</si>
  <si>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</si>
  <si>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</si>
  <si>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</si>
  <si>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</si>
  <si>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</si>
  <si>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</si>
  <si>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</si>
  <si>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</si>
  <si>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</si>
  <si>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</si>
  <si>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</si>
  <si>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</si>
  <si>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</si>
  <si>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</si>
  <si>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</si>
  <si>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</si>
  <si>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</si>
  <si>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</si>
  <si>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</si>
  <si>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</si>
  <si>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</si>
  <si>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</si>
  <si>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</si>
  <si>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</si>
  <si>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</si>
  <si>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</si>
  <si>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</si>
  <si>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</si>
  <si>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</si>
  <si>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</si>
  <si>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</si>
  <si>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</si>
  <si>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</si>
  <si>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</si>
  <si>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</si>
  <si>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</si>
  <si>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</si>
  <si>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</si>
  <si>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</si>
  <si>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</si>
  <si>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</si>
  <si>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</si>
  <si>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</si>
  <si>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</si>
  <si>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</si>
  <si>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</si>
  <si>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</si>
  <si>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</si>
  <si>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</si>
  <si>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</si>
  <si>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</si>
  <si>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</si>
  <si>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</si>
  <si>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</si>
  <si>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</si>
  <si>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</si>
  <si>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</si>
  <si>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</si>
  <si>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</si>
  <si>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</si>
  <si>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</si>
  <si>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</si>
  <si>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</si>
  <si>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</si>
  <si>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</si>
  <si>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</si>
  <si>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</si>
  <si>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</si>
  <si>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</si>
  <si>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</si>
  <si>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</si>
  <si>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</si>
  <si>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</si>
  <si>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</si>
  <si>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</si>
  <si>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</si>
  <si>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</si>
  <si>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</si>
  <si>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</si>
  <si>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</si>
  <si>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</si>
  <si>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</si>
  <si>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</si>
  <si>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</si>
  <si>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</si>
  <si>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</si>
  <si>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</si>
  <si>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</si>
  <si>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</si>
  <si>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</si>
  <si>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</si>
  <si>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</si>
  <si>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</si>
  <si>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</si>
  <si>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</si>
  <si>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</si>
  <si>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</si>
  <si>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</si>
  <si>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</si>
  <si>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</si>
  <si>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</si>
  <si>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</si>
  <si>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</si>
  <si>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</si>
  <si>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</si>
  <si>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</si>
  <si>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</si>
  <si>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</si>
  <si>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</si>
  <si>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</si>
  <si>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</si>
  <si>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</si>
  <si>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</si>
  <si>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</si>
  <si>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</si>
  <si>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</si>
  <si>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</si>
  <si>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</si>
  <si>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</si>
  <si>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</si>
  <si>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</si>
  <si>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</si>
  <si>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</si>
  <si>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</si>
  <si>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</si>
  <si>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</si>
  <si>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</si>
  <si>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</si>
  <si>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</si>
  <si>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</si>
  <si>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</si>
  <si>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</si>
  <si>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</si>
  <si>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</si>
  <si>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</si>
  <si>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</si>
  <si>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</si>
  <si>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</si>
  <si>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</si>
  <si>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</si>
  <si>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</si>
  <si>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</si>
  <si>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</si>
  <si>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</si>
  <si>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</si>
  <si>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</si>
  <si>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</si>
  <si>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</si>
  <si>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</si>
  <si>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</si>
  <si>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</si>
  <si>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</si>
  <si>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</si>
  <si>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</si>
  <si>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</si>
  <si>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</si>
  <si>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</si>
  <si>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</si>
  <si>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</si>
  <si>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</si>
  <si>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</si>
  <si>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</si>
  <si>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</si>
  <si>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</si>
  <si>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</si>
  <si>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</si>
  <si>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</si>
  <si>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</si>
  <si>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</si>
  <si>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</si>
  <si>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</si>
  <si>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</si>
  <si>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</si>
  <si>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</si>
  <si>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</si>
  <si>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</si>
  <si>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</si>
  <si>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</si>
  <si>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</si>
  <si>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</si>
  <si>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</si>
  <si>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</si>
  <si>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</si>
  <si>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</si>
  <si>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</si>
  <si>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</si>
  <si>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</si>
  <si>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</si>
  <si>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</si>
  <si>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</si>
  <si>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</si>
  <si>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</si>
  <si>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</si>
  <si>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</si>
  <si>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</si>
  <si>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</si>
  <si>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</si>
  <si>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</si>
  <si>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</si>
  <si>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</si>
  <si>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</si>
  <si>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</si>
  <si>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</si>
  <si>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</si>
  <si>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</si>
  <si>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</si>
  <si>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</si>
  <si>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</si>
  <si>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</si>
  <si>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</si>
  <si>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</si>
  <si>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</si>
  <si>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</si>
  <si>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</si>
  <si>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</si>
  <si>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</si>
  <si>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</si>
  <si>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</si>
  <si>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</si>
  <si>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</si>
  <si>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</si>
  <si>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</si>
  <si>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</si>
  <si>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</si>
  <si>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</si>
  <si>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</si>
  <si>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</si>
  <si>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</si>
  <si>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</si>
  <si>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</si>
  <si>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</si>
  <si>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</si>
  <si>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</si>
  <si>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</si>
  <si>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</si>
  <si>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</si>
  <si>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</si>
  <si>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</si>
  <si>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</si>
  <si>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</si>
  <si>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</si>
  <si>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</si>
  <si>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</si>
  <si>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</si>
  <si>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</si>
  <si>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</si>
  <si>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</si>
  <si>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</si>
  <si>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</si>
  <si>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</si>
  <si>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</si>
  <si>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</si>
  <si>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</si>
  <si>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</si>
  <si>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</si>
  <si>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</si>
  <si>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</si>
  <si>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</si>
  <si>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</si>
  <si>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</si>
  <si>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</si>
  <si>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</si>
  <si>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</si>
  <si>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</si>
  <si>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</si>
  <si>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</si>
  <si>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</si>
  <si>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</si>
  <si>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</si>
  <si>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</si>
  <si>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</si>
  <si>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</si>
  <si>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</si>
  <si>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</si>
  <si>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</si>
  <si>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</si>
  <si>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</si>
  <si>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</si>
  <si>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</si>
  <si>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</si>
  <si>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</si>
  <si>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</si>
  <si>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</si>
  <si>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</si>
  <si>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</si>
  <si>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</si>
  <si>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</si>
  <si>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</si>
  <si>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</si>
  <si>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</si>
  <si>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</si>
  <si>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</si>
  <si>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</si>
  <si>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</si>
  <si>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</si>
  <si>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</si>
  <si>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</si>
  <si>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</si>
  <si>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</si>
  <si>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</si>
  <si>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</si>
  <si>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</si>
  <si>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</si>
  <si>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</si>
  <si>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</si>
  <si>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</si>
  <si>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</si>
  <si>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</si>
  <si>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</si>
  <si>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</si>
  <si>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</si>
  <si>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</si>
  <si>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</si>
  <si>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</si>
  <si>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</si>
  <si>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</si>
  <si>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</si>
  <si>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</si>
  <si>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</si>
  <si>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</si>
  <si>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</si>
  <si>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</si>
  <si>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</si>
  <si>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</si>
  <si>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</si>
  <si>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</si>
  <si>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</si>
  <si>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</si>
  <si>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</si>
  <si>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</si>
  <si>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</si>
  <si>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</si>
  <si>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</si>
  <si>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</si>
  <si>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</si>
  <si>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</si>
  <si>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</si>
  <si>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</si>
  <si>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</si>
  <si>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</si>
  <si>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</si>
  <si>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</si>
  <si>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</si>
  <si>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</si>
  <si>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</si>
  <si>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</si>
  <si>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</si>
  <si>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</si>
  <si>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</si>
  <si>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</si>
  <si>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</si>
  <si>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</si>
  <si>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</si>
  <si>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</si>
  <si>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</si>
  <si>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</si>
  <si>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</si>
  <si>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</si>
  <si>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</si>
  <si>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</si>
  <si>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</si>
  <si>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</si>
  <si>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</si>
  <si>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</si>
  <si>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</si>
  <si>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</si>
  <si>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</si>
  <si>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</si>
  <si>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</si>
  <si>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</si>
  <si>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</si>
  <si>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</si>
  <si>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</si>
  <si>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</si>
  <si>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</si>
  <si>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</si>
  <si>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</si>
  <si>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</si>
  <si>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</si>
  <si>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</si>
  <si>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</si>
  <si>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</si>
  <si>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</si>
  <si>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</si>
  <si>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</si>
  <si>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</si>
  <si>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</si>
  <si>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</si>
  <si>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</si>
  <si>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</si>
  <si>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</si>
  <si>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</si>
  <si>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</si>
  <si>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</si>
  <si>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</si>
  <si>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</si>
  <si>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</si>
  <si>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</si>
  <si>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</si>
  <si>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</si>
  <si>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</si>
  <si>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</si>
  <si>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</si>
  <si>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</si>
  <si>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</si>
  <si>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</si>
  <si>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</si>
  <si>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</si>
  <si>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</si>
  <si>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</si>
  <si>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</si>
  <si>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</si>
  <si>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</si>
  <si>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</si>
  <si>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</si>
  <si>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</si>
  <si>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</si>
  <si>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</si>
  <si>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</si>
  <si>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</si>
  <si>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</si>
  <si>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</si>
  <si>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</si>
  <si>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</si>
  <si>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</si>
  <si>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</si>
  <si>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</si>
  <si>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</si>
  <si>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</si>
  <si>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</si>
  <si>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</si>
  <si>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</si>
  <si>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</si>
  <si>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</si>
  <si>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</si>
  <si>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</si>
  <si>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</si>
  <si>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</si>
  <si>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</si>
  <si>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</si>
  <si>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</si>
  <si>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</si>
  <si>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</si>
  <si>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</si>
  <si>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</si>
  <si>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</si>
  <si>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</si>
  <si>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</si>
  <si>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</si>
  <si>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</si>
  <si>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</si>
  <si>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</si>
  <si>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</si>
  <si>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</si>
  <si>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</si>
  <si>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</si>
  <si>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</si>
  <si>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</si>
  <si>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</si>
  <si>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</si>
  <si>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</si>
  <si>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</si>
  <si>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</si>
  <si>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</si>
  <si>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</si>
  <si>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</si>
  <si>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</si>
  <si>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</si>
  <si>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</si>
  <si>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</si>
  <si>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</si>
  <si>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</si>
  <si>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</si>
  <si>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</si>
  <si>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</si>
  <si>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</si>
  <si>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</si>
  <si>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</si>
  <si>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</si>
  <si>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</si>
  <si>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</si>
  <si>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</si>
  <si>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</si>
  <si>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</si>
  <si>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</si>
  <si>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</si>
  <si>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</si>
  <si>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</si>
  <si>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</si>
  <si>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</si>
  <si>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</si>
  <si>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</si>
  <si>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</si>
  <si>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</si>
  <si>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</si>
  <si>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</si>
  <si>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</si>
  <si>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</si>
  <si>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</si>
  <si>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</si>
  <si>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</si>
  <si>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</si>
  <si>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</si>
  <si>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</si>
  <si>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</si>
  <si>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</si>
  <si>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</si>
  <si>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</si>
  <si>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</si>
  <si>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</si>
  <si>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</si>
  <si>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</si>
  <si>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</si>
  <si>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</si>
  <si>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</si>
  <si>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</si>
  <si>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</si>
  <si>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</si>
  <si>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</si>
  <si>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</si>
  <si>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</si>
  <si>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</si>
  <si>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</si>
  <si>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</si>
  <si>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</si>
  <si>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</si>
  <si>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</si>
  <si>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</si>
  <si>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</si>
  <si>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</si>
  <si>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</si>
  <si>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</si>
  <si>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</si>
  <si>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</si>
  <si>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</si>
  <si>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</si>
  <si>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</si>
  <si>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</si>
  <si>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</si>
  <si>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</si>
  <si>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</si>
  <si>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</si>
  <si>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</si>
  <si>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</si>
  <si>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</si>
  <si>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</si>
  <si>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</si>
  <si>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</si>
  <si>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</si>
  <si>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</si>
  <si>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</si>
  <si>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</si>
  <si>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</si>
  <si>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</si>
  <si>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</si>
  <si>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</si>
  <si>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</si>
  <si>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</si>
  <si>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</si>
  <si>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</si>
  <si>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</si>
  <si>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</si>
  <si>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</si>
  <si>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</si>
  <si>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</si>
  <si>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</si>
  <si>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</si>
  <si>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</si>
  <si>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</si>
  <si>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</si>
  <si>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</si>
  <si>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</si>
  <si>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</si>
  <si>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</si>
  <si>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</si>
  <si>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</si>
  <si>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</si>
  <si>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</si>
  <si>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</si>
  <si>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</si>
  <si>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</si>
  <si>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</si>
  <si>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</si>
  <si>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</si>
  <si>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</si>
  <si>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</si>
  <si>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</si>
  <si>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</si>
  <si>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</si>
  <si>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</si>
  <si>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</si>
  <si>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</si>
  <si>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</si>
  <si>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</si>
  <si>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</si>
  <si>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</si>
  <si>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</si>
  <si>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</si>
  <si>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</si>
  <si>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</si>
  <si>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</si>
  <si>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</si>
  <si>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</si>
  <si>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</si>
  <si>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</si>
  <si>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</si>
  <si>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</si>
  <si>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</si>
  <si>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</si>
  <si>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</si>
  <si>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</si>
  <si>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</si>
  <si>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</si>
  <si>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</si>
  <si>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</si>
  <si>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</si>
  <si>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</si>
  <si>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</si>
  <si>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</si>
  <si>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</si>
  <si>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</si>
  <si>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</si>
  <si>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</si>
  <si>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</si>
  <si>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</si>
  <si>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</si>
  <si>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</si>
  <si>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</si>
  <si>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</si>
  <si>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</si>
  <si>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</si>
  <si>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</si>
  <si>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</si>
  <si>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</si>
  <si>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</si>
  <si>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</si>
  <si>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</si>
  <si>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</si>
  <si>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</si>
  <si>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</si>
  <si>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</si>
  <si>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</si>
  <si>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</si>
  <si>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</si>
  <si>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</si>
  <si>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</si>
  <si>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</si>
  <si>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</si>
  <si>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</si>
  <si>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</si>
  <si>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</si>
  <si>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</si>
  <si>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</si>
  <si>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</si>
  <si>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</si>
  <si>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</si>
  <si>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</si>
  <si>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</si>
  <si>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</si>
  <si>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</si>
  <si>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</si>
  <si>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</si>
  <si>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</si>
  <si>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</si>
  <si>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</si>
  <si>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</si>
  <si>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</si>
  <si>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</si>
  <si>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</si>
  <si>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</si>
  <si>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</si>
  <si>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</si>
  <si>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</si>
  <si>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</si>
  <si>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</si>
  <si>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</si>
  <si>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</si>
  <si>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</si>
  <si>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</si>
  <si>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</si>
  <si>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</si>
  <si>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</si>
  <si>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</si>
  <si>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</si>
  <si>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</si>
  <si>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</si>
  <si>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</si>
  <si>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</si>
  <si>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</si>
  <si>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</si>
  <si>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</si>
  <si>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</si>
  <si>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</si>
  <si>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</si>
  <si>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</si>
  <si>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</si>
  <si>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</si>
  <si>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</si>
  <si>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</si>
  <si>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</si>
  <si>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</si>
  <si>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</si>
  <si>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</si>
  <si>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</si>
  <si>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</si>
  <si>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</si>
  <si>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</si>
  <si>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</si>
  <si>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</si>
  <si>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</si>
  <si>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</si>
  <si>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</si>
  <si>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</si>
  <si>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</si>
  <si>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</si>
  <si>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</si>
  <si>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</si>
  <si>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</si>
  <si>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</si>
  <si>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</si>
  <si>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</si>
  <si>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</si>
  <si>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</si>
  <si>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</si>
  <si>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</si>
  <si>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</si>
  <si>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</si>
  <si>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</si>
  <si>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</si>
  <si>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</si>
  <si>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</si>
  <si>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</si>
  <si>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</si>
  <si>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</si>
  <si>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</si>
  <si>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</si>
  <si>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</si>
  <si>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</si>
  <si>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</si>
  <si>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</si>
  <si>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</si>
  <si>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</si>
  <si>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</si>
  <si>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</si>
  <si>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</si>
  <si>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</si>
  <si>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</si>
  <si>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</si>
  <si>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</si>
  <si>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</si>
  <si>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</si>
  <si>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</si>
  <si>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</si>
  <si>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</si>
  <si>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</si>
  <si>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</si>
  <si>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</si>
  <si>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</si>
  <si>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</si>
  <si>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</si>
  <si>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</si>
  <si>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</si>
  <si>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</si>
  <si>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</si>
  <si>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</si>
  <si>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</si>
  <si>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</si>
  <si>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</si>
  <si>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</si>
  <si>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</si>
  <si>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</si>
  <si>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</si>
  <si>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</si>
  <si>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</si>
  <si>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</si>
  <si>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</si>
  <si>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</si>
  <si>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</si>
  <si>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</si>
  <si>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</si>
  <si>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</si>
  <si>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</si>
  <si>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</si>
  <si>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</si>
  <si>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</si>
  <si>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</si>
  <si>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</si>
  <si>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</si>
  <si>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</si>
  <si>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</si>
  <si>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</si>
  <si>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</si>
  <si>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</si>
  <si>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</si>
  <si>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</si>
  <si>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</si>
  <si>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</si>
  <si>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</si>
  <si>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</si>
  <si>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</si>
  <si>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</si>
  <si>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</si>
  <si>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</si>
  <si>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</si>
  <si>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</si>
  <si>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</si>
  <si>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</si>
  <si>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</si>
  <si>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</si>
  <si>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</si>
  <si>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</si>
  <si>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</si>
  <si>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</si>
  <si>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</si>
  <si>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</si>
  <si>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</si>
  <si>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</si>
  <si>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</si>
  <si>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</si>
  <si>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</si>
  <si>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</si>
  <si>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</si>
  <si>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</si>
  <si>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</si>
  <si>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</si>
  <si>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</si>
  <si>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</si>
  <si>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</si>
  <si>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</si>
  <si>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</si>
  <si>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</si>
  <si>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</si>
  <si>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</si>
  <si>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</si>
  <si>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</si>
  <si>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</si>
  <si>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</si>
  <si>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</si>
  <si>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</si>
  <si>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</si>
  <si>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</si>
  <si>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</si>
  <si>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</si>
  <si>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</si>
  <si>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</si>
  <si>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</si>
  <si>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</si>
  <si>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</si>
  <si>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</si>
  <si>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</si>
  <si>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</si>
  <si>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</si>
  <si>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</si>
  <si>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</si>
  <si>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</si>
  <si>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</si>
  <si>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</si>
  <si>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</si>
  <si>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</si>
  <si>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</si>
  <si>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</si>
  <si>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</si>
  <si>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</si>
  <si>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</si>
  <si>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</si>
  <si>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</si>
  <si>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</si>
  <si>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</si>
  <si>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</si>
  <si>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</si>
  <si>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</si>
  <si>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</si>
  <si>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</si>
  <si>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</si>
  <si>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</si>
  <si>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</si>
  <si>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</si>
  <si>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</si>
  <si>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</si>
  <si>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</si>
  <si>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</si>
  <si>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</si>
  <si>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</si>
  <si>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</si>
  <si>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</si>
  <si>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</si>
  <si>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</si>
  <si>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</si>
  <si>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</si>
  <si>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</si>
  <si>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</si>
  <si>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</si>
  <si>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</si>
  <si>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</si>
  <si>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</si>
  <si>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</si>
  <si>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</si>
  <si>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</si>
  <si>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</si>
  <si>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</si>
  <si>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</si>
  <si>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</si>
  <si>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</si>
  <si>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</si>
  <si>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</si>
  <si>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</si>
  <si>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</si>
  <si>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</si>
  <si>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</si>
  <si>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</si>
  <si>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</si>
  <si>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</si>
  <si>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</si>
  <si>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</si>
  <si>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</si>
  <si>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</si>
  <si>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</si>
  <si>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</si>
  <si>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</si>
  <si>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</si>
  <si>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</si>
  <si>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</si>
  <si>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</si>
  <si>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</si>
  <si>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</si>
  <si>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</si>
  <si>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</si>
  <si>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</si>
  <si>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</si>
  <si>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</si>
  <si>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</si>
  <si>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</si>
  <si>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</si>
  <si>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</si>
  <si>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</si>
  <si>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</si>
  <si>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</si>
  <si>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</si>
  <si>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</si>
  <si>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</si>
  <si>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</si>
  <si>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</si>
  <si>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</si>
  <si>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</si>
  <si>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</si>
  <si>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</si>
  <si>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</si>
  <si>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</si>
  <si>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</si>
  <si>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</si>
  <si>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</si>
  <si>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</si>
  <si>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</si>
  <si>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</si>
  <si>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</si>
  <si>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</si>
  <si>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</si>
  <si>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</si>
  <si>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</si>
  <si>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</si>
  <si>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</si>
  <si>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</si>
  <si>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</si>
  <si>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</si>
  <si>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</si>
  <si>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</si>
  <si>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</si>
  <si>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</si>
  <si>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</si>
  <si>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</si>
  <si>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</si>
  <si>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</si>
  <si>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</si>
  <si>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</si>
  <si>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</si>
  <si>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</si>
  <si>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</si>
  <si>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</si>
  <si>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</si>
  <si>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</si>
  <si>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</si>
  <si>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</si>
  <si>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</si>
  <si>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</si>
  <si>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</si>
  <si>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</si>
  <si>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</si>
  <si>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</si>
  <si>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</si>
  <si>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</si>
  <si>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</si>
  <si>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</si>
  <si>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</si>
  <si>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</si>
  <si>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</si>
  <si>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</si>
  <si>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</si>
  <si>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</si>
  <si>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</si>
  <si>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</si>
  <si>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</si>
  <si>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</si>
  <si>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</si>
  <si>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</si>
  <si>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</si>
  <si>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</si>
  <si>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</si>
  <si>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</si>
  <si>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</si>
  <si>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</si>
  <si>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</si>
  <si>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</si>
  <si>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</si>
  <si>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</si>
  <si>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</si>
  <si>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</si>
  <si>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</si>
  <si>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</si>
  <si>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</si>
  <si>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</si>
  <si>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</si>
  <si>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</si>
  <si>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</si>
  <si>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</si>
  <si>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</si>
  <si>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</si>
  <si>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</si>
  <si>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</si>
  <si>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</si>
  <si>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</si>
  <si>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</si>
  <si>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</si>
  <si>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</si>
  <si>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</si>
  <si>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</si>
  <si>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</si>
  <si>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</si>
  <si>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</si>
  <si>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</si>
  <si>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</si>
  <si>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</si>
  <si>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</si>
  <si>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</si>
  <si>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</si>
  <si>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</si>
  <si>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</si>
  <si>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</si>
  <si>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</si>
  <si>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</si>
  <si>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</si>
  <si>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</si>
  <si>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</si>
  <si>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</si>
  <si>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</si>
  <si>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</si>
  <si>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</si>
  <si>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</si>
  <si>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</si>
  <si>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</si>
  <si>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</si>
  <si>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</si>
  <si>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</si>
  <si>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</si>
  <si>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</si>
  <si>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</si>
  <si>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</si>
  <si>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</si>
  <si>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</si>
  <si>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</si>
  <si>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</si>
  <si>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</si>
  <si>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</si>
  <si>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</si>
  <si>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</si>
  <si>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</si>
  <si>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</si>
  <si>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</si>
  <si>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</si>
  <si>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</si>
  <si>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</si>
  <si>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</si>
  <si>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</si>
  <si>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</si>
  <si>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</si>
  <si>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</si>
  <si>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</si>
  <si>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</si>
  <si>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</si>
  <si>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</si>
  <si>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</si>
  <si>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</si>
  <si>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</si>
  <si>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</si>
  <si>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</si>
  <si>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</si>
  <si>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</si>
  <si>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</si>
  <si>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</si>
  <si>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</si>
  <si>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</si>
  <si>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</si>
  <si>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</si>
  <si>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</si>
  <si>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</si>
  <si>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</si>
  <si>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</si>
  <si>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</si>
  <si>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</si>
  <si>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</si>
  <si>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</si>
  <si>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</si>
  <si>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</si>
  <si>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</si>
  <si>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</si>
  <si>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</si>
  <si>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</si>
  <si>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</si>
  <si>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</si>
  <si>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</si>
  <si>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</si>
  <si>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</si>
  <si>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</si>
  <si>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</si>
  <si>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</si>
  <si>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</si>
  <si>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</si>
  <si>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</si>
  <si>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</si>
  <si>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</si>
  <si>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</si>
  <si>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</si>
  <si>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</si>
  <si>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</si>
  <si>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</si>
  <si>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</si>
  <si>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</si>
  <si>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</si>
  <si>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</si>
  <si>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</si>
  <si>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</si>
  <si>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</si>
  <si>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</si>
  <si>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</si>
  <si>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</si>
  <si>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</si>
  <si>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</si>
  <si>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</si>
  <si>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</si>
  <si>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</si>
  <si>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</si>
  <si>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</si>
  <si>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</si>
  <si>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</si>
  <si>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</si>
  <si>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</si>
  <si>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</si>
  <si>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</si>
  <si>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</si>
  <si>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</si>
  <si>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</si>
  <si>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</si>
  <si>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</si>
  <si>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</si>
  <si>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</si>
  <si>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</si>
  <si>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</si>
  <si>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</si>
  <si>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</si>
  <si>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</si>
  <si>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</si>
  <si>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</si>
  <si>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</si>
  <si>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</si>
  <si>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</si>
  <si>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</si>
  <si>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</si>
  <si>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</si>
  <si>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</si>
  <si>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</si>
  <si>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</si>
  <si>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</si>
  <si>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</si>
  <si>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</si>
  <si>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</si>
  <si>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</si>
  <si>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</si>
  <si>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</si>
  <si>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</si>
  <si>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</si>
  <si>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</si>
  <si>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</si>
  <si>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</si>
  <si>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</si>
  <si>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</si>
  <si>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</si>
  <si>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</si>
  <si>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</si>
  <si>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</si>
  <si>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</si>
  <si>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</si>
  <si>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</si>
  <si>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</si>
  <si>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</si>
  <si>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</si>
  <si>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</si>
  <si>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</si>
  <si>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</si>
  <si>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</si>
  <si>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</si>
  <si>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</si>
  <si>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</si>
  <si>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</si>
  <si>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</si>
  <si>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Guaianases</t>
  </si>
  <si>
    <t>01/04/2026</t>
  </si>
  <si>
    <t>30/04/2026</t>
  </si>
  <si>
    <t>NORMAL</t>
  </si>
  <si>
    <t>EMEI</t>
  </si>
  <si>
    <t>G</t>
  </si>
  <si>
    <t>EMEF</t>
  </si>
  <si>
    <t>EMEE</t>
  </si>
  <si>
    <t>CEI</t>
  </si>
  <si>
    <t>ADAPTADO</t>
  </si>
  <si>
    <t>GE</t>
  </si>
  <si>
    <t>ELQ6206</t>
  </si>
  <si>
    <t>019.832-00</t>
  </si>
  <si>
    <t>2022/0031800-001</t>
  </si>
  <si>
    <t>2022/0031800</t>
  </si>
  <si>
    <t>DJB1584</t>
  </si>
  <si>
    <t>017.554-00</t>
  </si>
  <si>
    <t>2022/0029218-001</t>
  </si>
  <si>
    <t>2022/0029218</t>
  </si>
  <si>
    <t>CZX5065</t>
  </si>
  <si>
    <t>001.119-00</t>
  </si>
  <si>
    <t>2023/0026116-001</t>
  </si>
  <si>
    <t>2023/0026116</t>
  </si>
  <si>
    <t>DTD4303</t>
  </si>
  <si>
    <t>034.861-00</t>
  </si>
  <si>
    <t>2022/0033315-001A</t>
  </si>
  <si>
    <t>2022/0033315</t>
  </si>
  <si>
    <t>FQH5J83</t>
  </si>
  <si>
    <t>020.989-00</t>
  </si>
  <si>
    <t>2022/0034309-001B</t>
  </si>
  <si>
    <t>2022/0034309</t>
  </si>
  <si>
    <t>FRC8739</t>
  </si>
  <si>
    <t>017.507-00</t>
  </si>
  <si>
    <t>2022/0032326-001</t>
  </si>
  <si>
    <t>2022/0032326</t>
  </si>
  <si>
    <t>ECT4953</t>
  </si>
  <si>
    <t>030.526-00</t>
  </si>
  <si>
    <t>2023/0024580-001</t>
  </si>
  <si>
    <t>2023/0024580</t>
  </si>
  <si>
    <t>DTE2230</t>
  </si>
  <si>
    <t>038.961-00</t>
  </si>
  <si>
    <t>2022/0029260-001A</t>
  </si>
  <si>
    <t>2022/0029260</t>
  </si>
  <si>
    <t>FXE1C10</t>
  </si>
  <si>
    <t>015.661-00</t>
  </si>
  <si>
    <t>2023/0015338-001B</t>
  </si>
  <si>
    <t>2023/0015338</t>
  </si>
  <si>
    <t>DMG7186</t>
  </si>
  <si>
    <t>014.300-00</t>
  </si>
  <si>
    <t>2023/0024108-001</t>
  </si>
  <si>
    <t>2023/0024108</t>
  </si>
  <si>
    <t>DTD3001</t>
  </si>
  <si>
    <t>014.386-00</t>
  </si>
  <si>
    <t>2022/0029282-001</t>
  </si>
  <si>
    <t>2022/0029282</t>
  </si>
  <si>
    <t>EUV7153</t>
  </si>
  <si>
    <t>019.568-00</t>
  </si>
  <si>
    <t>2022/0032072-001</t>
  </si>
  <si>
    <t>2022/0032072</t>
  </si>
  <si>
    <t>CZX8751</t>
  </si>
  <si>
    <t>018.052-00</t>
  </si>
  <si>
    <t>2022/0029586-001</t>
  </si>
  <si>
    <t>2022/0029586</t>
  </si>
  <si>
    <t>FTG7519</t>
  </si>
  <si>
    <t>019.232-00</t>
  </si>
  <si>
    <t>2022/0036886-001</t>
  </si>
  <si>
    <t>2022/0036886</t>
  </si>
  <si>
    <t>CZX8905</t>
  </si>
  <si>
    <t>037.047-00</t>
  </si>
  <si>
    <t>2023/0026583-001</t>
  </si>
  <si>
    <t>2023/0026583</t>
  </si>
  <si>
    <t>DTD2868</t>
  </si>
  <si>
    <t>021.099-00</t>
  </si>
  <si>
    <t>2023/0025327-001</t>
  </si>
  <si>
    <t>2023/0025327</t>
  </si>
  <si>
    <t>DTB5538</t>
  </si>
  <si>
    <t>031.735-00</t>
  </si>
  <si>
    <t>2022/0031049-001</t>
  </si>
  <si>
    <t>2022/0031049</t>
  </si>
  <si>
    <t>DTD9110</t>
  </si>
  <si>
    <t>017.928-00</t>
  </si>
  <si>
    <t>2023/0026599-001</t>
  </si>
  <si>
    <t>2023/0026599</t>
  </si>
  <si>
    <t>DZX5134</t>
  </si>
  <si>
    <t>040.333-00</t>
  </si>
  <si>
    <t>2022/0024483-001</t>
  </si>
  <si>
    <t>2022/0024483</t>
  </si>
  <si>
    <t>EXO0054</t>
  </si>
  <si>
    <t>033.607-00</t>
  </si>
  <si>
    <t>2022/0032080-001A</t>
  </si>
  <si>
    <t>2022/0032080</t>
  </si>
  <si>
    <t>FTA7443</t>
  </si>
  <si>
    <t>030.828-00-c</t>
  </si>
  <si>
    <t>2022/0032974-001A</t>
  </si>
  <si>
    <t>2022/0032974</t>
  </si>
  <si>
    <t>035.756-00</t>
  </si>
  <si>
    <t>2023/0026505-001</t>
  </si>
  <si>
    <t>2023/0026505</t>
  </si>
  <si>
    <t>ESU3706</t>
  </si>
  <si>
    <t>045.102-00</t>
  </si>
  <si>
    <t>2023/0012487-001</t>
  </si>
  <si>
    <t>2023/0012487</t>
  </si>
  <si>
    <t>EJG1638</t>
  </si>
  <si>
    <t>021.294-00</t>
  </si>
  <si>
    <t>2022/0036852-001B</t>
  </si>
  <si>
    <t>2022/0036852</t>
  </si>
  <si>
    <t>CZX8729</t>
  </si>
  <si>
    <t>019.162-00</t>
  </si>
  <si>
    <t>2022/0032151-001A</t>
  </si>
  <si>
    <t>2022/0032151</t>
  </si>
  <si>
    <t>EPU7197</t>
  </si>
  <si>
    <t>018.643-00</t>
  </si>
  <si>
    <t>2022/0029876-001</t>
  </si>
  <si>
    <t>2022/0029876</t>
  </si>
  <si>
    <t>CMW8691</t>
  </si>
  <si>
    <t>039.320-00</t>
  </si>
  <si>
    <t>2022/0031745-001</t>
  </si>
  <si>
    <t>2022/0031745</t>
  </si>
  <si>
    <t>EUG7358</t>
  </si>
  <si>
    <t>035.030-00</t>
  </si>
  <si>
    <t>2022/0027509-001A</t>
  </si>
  <si>
    <t>2022/0027509</t>
  </si>
  <si>
    <t>SWD8I58</t>
  </si>
  <si>
    <t>030.189-00</t>
  </si>
  <si>
    <t>2022/0026857-001</t>
  </si>
  <si>
    <t>2022/0026857</t>
  </si>
  <si>
    <t>ELW7582</t>
  </si>
  <si>
    <t>022.950-00</t>
  </si>
  <si>
    <t>2022/0031365-001</t>
  </si>
  <si>
    <t>2022/0031365</t>
  </si>
  <si>
    <t>EFV4786</t>
  </si>
  <si>
    <t>035.086-00</t>
  </si>
  <si>
    <t>2022/0033035-001</t>
  </si>
  <si>
    <t>2022/0033035</t>
  </si>
  <si>
    <t>EZF1779</t>
  </si>
  <si>
    <t>043.979-00</t>
  </si>
  <si>
    <t>2022/0026142-001</t>
  </si>
  <si>
    <t>2022/0026142</t>
  </si>
  <si>
    <t>DVT5316</t>
  </si>
  <si>
    <t>029.919-00</t>
  </si>
  <si>
    <t>2022/0032278-001C</t>
  </si>
  <si>
    <t>2022/0032278</t>
  </si>
  <si>
    <t>EQC0F08</t>
  </si>
  <si>
    <t>034.187-00</t>
  </si>
  <si>
    <t>2022/0026954-001B</t>
  </si>
  <si>
    <t>2022/0026954</t>
  </si>
  <si>
    <t>FCB6497</t>
  </si>
  <si>
    <t>018.521-00</t>
  </si>
  <si>
    <t>2023/0030044-001</t>
  </si>
  <si>
    <t>2023/0030044</t>
  </si>
  <si>
    <t>DTC1076</t>
  </si>
  <si>
    <t>045.312-00</t>
  </si>
  <si>
    <t>2025/0012259-001</t>
  </si>
  <si>
    <t>2025/0012259</t>
  </si>
  <si>
    <t>FYB7439</t>
  </si>
  <si>
    <t>021.147-00</t>
  </si>
  <si>
    <t>2022/0034377-001</t>
  </si>
  <si>
    <t>2022/0034377</t>
  </si>
  <si>
    <t>DJF8557</t>
  </si>
  <si>
    <t>010.782-00</t>
  </si>
  <si>
    <t>2023/0017786-001A</t>
  </si>
  <si>
    <t>2023/0017786</t>
  </si>
  <si>
    <t>NXX1287</t>
  </si>
  <si>
    <t>040.332-00</t>
  </si>
  <si>
    <t>2022/0024641-001</t>
  </si>
  <si>
    <t>2022/0024641</t>
  </si>
  <si>
    <t>LUW4J25</t>
  </si>
  <si>
    <t>6020.2022/0031800-9</t>
  </si>
  <si>
    <t>6020.2022/0029218-2</t>
  </si>
  <si>
    <t>6020.2023/0026116-5</t>
  </si>
  <si>
    <t>6020.2022/0033315-6</t>
  </si>
  <si>
    <t>6020.2022/0034309-7</t>
  </si>
  <si>
    <t>6020.2022/0032326-6</t>
  </si>
  <si>
    <t>6020.2023/0024580-1</t>
  </si>
  <si>
    <t>6020.2022/0029260-3</t>
  </si>
  <si>
    <t>6020.2023/0015338-9</t>
  </si>
  <si>
    <t>6020.2023/0024108-3</t>
  </si>
  <si>
    <t>6020.2022/0029282-4</t>
  </si>
  <si>
    <t>6020.2022/0032072-0</t>
  </si>
  <si>
    <t>6020.2022/0029586-6</t>
  </si>
  <si>
    <t>6020.2022/0036886-3</t>
  </si>
  <si>
    <t>6020.2023/0026583-7</t>
  </si>
  <si>
    <t>6020.2023/0025327-8</t>
  </si>
  <si>
    <t>6020.2022/0031049-0</t>
  </si>
  <si>
    <t>6020.2023/0026599-3</t>
  </si>
  <si>
    <t>6020.2022/0024483-8</t>
  </si>
  <si>
    <t>6020.2022/0032080-1</t>
  </si>
  <si>
    <t>6020.2022/0032974-4</t>
  </si>
  <si>
    <t>6020.2023/0026505-5</t>
  </si>
  <si>
    <t>6020.2023/0012487-7</t>
  </si>
  <si>
    <t>6020.2022/0036852-9</t>
  </si>
  <si>
    <t>6020.2022/0032151-4</t>
  </si>
  <si>
    <t>6020.2022/0029876-8</t>
  </si>
  <si>
    <t>6020.2022/0031745-2</t>
  </si>
  <si>
    <t>6020.2022/0027509-1</t>
  </si>
  <si>
    <t>6020.2022/0026857-5</t>
  </si>
  <si>
    <t>6020.2022/0031365-1</t>
  </si>
  <si>
    <t>6020.2022/0033035-1</t>
  </si>
  <si>
    <t>6020.2022/0026142-2</t>
  </si>
  <si>
    <t>6020.2022/0032278-2</t>
  </si>
  <si>
    <t>6020.2022/0026954-7</t>
  </si>
  <si>
    <t>6020.2023/0030044-6</t>
  </si>
  <si>
    <t>6020.2025/0012259-2</t>
  </si>
  <si>
    <t>6020.2022/0034377-1</t>
  </si>
  <si>
    <t>6020.2023/0017786-5</t>
  </si>
  <si>
    <t>6020.2022/0024641-5</t>
  </si>
  <si>
    <t>903.221.348-20</t>
  </si>
  <si>
    <t>763.850.198-53</t>
  </si>
  <si>
    <t>065.762.018-18</t>
  </si>
  <si>
    <t>379.623.038-59</t>
  </si>
  <si>
    <t>073.135.718-36</t>
  </si>
  <si>
    <t>770.881.908-34</t>
  </si>
  <si>
    <t>295.127.768-71</t>
  </si>
  <si>
    <t>299.324.438-83</t>
  </si>
  <si>
    <t>074.486.978-11</t>
  </si>
  <si>
    <t>142.553.848-78</t>
  </si>
  <si>
    <t>113.468.308-19</t>
  </si>
  <si>
    <t>186.935.608-08</t>
  </si>
  <si>
    <t>127.184.278-50</t>
  </si>
  <si>
    <t>766.654.378-68</t>
  </si>
  <si>
    <t>338.493.288-99</t>
  </si>
  <si>
    <t>124.861.108-01</t>
  </si>
  <si>
    <t>280.925.818-00</t>
  </si>
  <si>
    <t>860.459.466-34</t>
  </si>
  <si>
    <t>312.819.248-06</t>
  </si>
  <si>
    <t>298.070.248-03</t>
  </si>
  <si>
    <t>053.658.448-66</t>
  </si>
  <si>
    <t>220.734.198-44</t>
  </si>
  <si>
    <t>446.111.578-06</t>
  </si>
  <si>
    <t>050.885.928-09</t>
  </si>
  <si>
    <t>275.808.928-98</t>
  </si>
  <si>
    <t>888.421.694-04</t>
  </si>
  <si>
    <t>186.122.908-99</t>
  </si>
  <si>
    <t>128.015.288-54</t>
  </si>
  <si>
    <t>321.327.958-78</t>
  </si>
  <si>
    <t>215.648.068-04</t>
  </si>
  <si>
    <t>134.773.998-03</t>
  </si>
  <si>
    <t>011.715.723-60</t>
  </si>
  <si>
    <t>116.540.298-07</t>
  </si>
  <si>
    <t>314.172.108-42</t>
  </si>
  <si>
    <t>060.091.398-80</t>
  </si>
  <si>
    <t>444.008.978-00</t>
  </si>
  <si>
    <t>021.340.288-23</t>
  </si>
  <si>
    <t>102.955.408-00</t>
  </si>
  <si>
    <t>225.027.468-17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</si>
</sst>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0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9.5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1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29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0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1" borderId="0" applyNumberFormat="0" applyBorder="0" applyAlignment="0" applyProtection="0"/>
    <xf numFmtId="0" fontId="52" fillId="0" borderId="0"/>
    <xf numFmtId="0" fontId="26" fillId="32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7" fillId="0" borderId="0"/>
    <xf numFmtId="0" fontId="58" fillId="0" borderId="0"/>
    <xf numFmtId="0" fontId="59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59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9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3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2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4" borderId="1" applyNumberFormat="0" applyAlignment="0" applyProtection="0"/>
    <xf numFmtId="0" fontId="28" fillId="43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2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49" applyNumberFormat="0" applyAlignment="0" applyProtection="0"/>
    <xf numFmtId="0" fontId="52" fillId="23" borderId="49" applyNumberFormat="0" applyAlignment="0" applyProtection="0"/>
    <xf numFmtId="0" fontId="52" fillId="23" borderId="49" applyNumberFormat="0" applyAlignment="0" applyProtection="0"/>
    <xf numFmtId="0" fontId="52" fillId="23" borderId="49" applyNumberFormat="0" applyAlignment="0" applyProtection="0"/>
    <xf numFmtId="0" fontId="26" fillId="32" borderId="49" applyNumberFormat="0" applyFont="0" applyAlignment="0" applyProtection="0"/>
    <xf numFmtId="0" fontId="26" fillId="32" borderId="49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3" fillId="0" borderId="0"/>
    <xf numFmtId="0" fontId="63" fillId="0" borderId="0"/>
    <xf numFmtId="44" fontId="52" fillId="0" borderId="0" applyFont="0" applyFill="0" applyBorder="0" applyAlignment="0" applyProtection="0"/>
    <xf numFmtId="0" fontId="28" fillId="43" borderId="113" applyNumberFormat="0" applyAlignment="0" applyProtection="0"/>
    <xf numFmtId="0" fontId="52" fillId="23" borderId="104" applyNumberFormat="0" applyAlignment="0" applyProtection="0"/>
    <xf numFmtId="0" fontId="55" fillId="0" borderId="103" applyProtection="0"/>
    <xf numFmtId="0" fontId="55" fillId="0" borderId="103" applyProtection="0"/>
    <xf numFmtId="0" fontId="52" fillId="23" borderId="104" applyNumberFormat="0" applyAlignment="0" applyProtection="0"/>
    <xf numFmtId="0" fontId="52" fillId="23" borderId="95" applyNumberFormat="0" applyAlignment="0" applyProtection="0"/>
    <xf numFmtId="0" fontId="55" fillId="0" borderId="98" applyProtection="0"/>
    <xf numFmtId="0" fontId="55" fillId="0" borderId="103" applyProtection="0"/>
    <xf numFmtId="0" fontId="55" fillId="0" borderId="114" applyProtection="0"/>
    <xf numFmtId="0" fontId="55" fillId="0" borderId="98" applyProtection="0"/>
    <xf numFmtId="0" fontId="28" fillId="43" borderId="88" applyNumberFormat="0" applyAlignment="0" applyProtection="0"/>
    <xf numFmtId="0" fontId="21" fillId="44" borderId="87" applyNumberFormat="0" applyAlignment="0" applyProtection="0"/>
    <xf numFmtId="0" fontId="55" fillId="0" borderId="89" applyProtection="0"/>
    <xf numFmtId="0" fontId="55" fillId="0" borderId="89" applyProtection="0"/>
    <xf numFmtId="0" fontId="55" fillId="0" borderId="89" applyProtection="0"/>
    <xf numFmtId="0" fontId="55" fillId="0" borderId="89" applyProtection="0"/>
    <xf numFmtId="0" fontId="55" fillId="0" borderId="94" applyProtection="0"/>
    <xf numFmtId="0" fontId="52" fillId="23" borderId="104" applyNumberFormat="0" applyAlignment="0" applyProtection="0"/>
    <xf numFmtId="0" fontId="55" fillId="0" borderId="98" applyProtection="0"/>
    <xf numFmtId="0" fontId="14" fillId="43" borderId="87" applyNumberFormat="0" applyAlignment="0" applyProtection="0"/>
    <xf numFmtId="0" fontId="55" fillId="0" borderId="89" applyProtection="0"/>
    <xf numFmtId="0" fontId="21" fillId="44" borderId="105" applyNumberFormat="0" applyAlignment="0" applyProtection="0"/>
    <xf numFmtId="0" fontId="28" fillId="43" borderId="102" applyNumberFormat="0" applyAlignment="0" applyProtection="0"/>
    <xf numFmtId="0" fontId="55" fillId="0" borderId="89" applyProtection="0"/>
    <xf numFmtId="0" fontId="21" fillId="7" borderId="92" applyNumberFormat="0" applyAlignment="0" applyProtection="0"/>
    <xf numFmtId="0" fontId="55" fillId="0" borderId="94" applyProtection="0"/>
    <xf numFmtId="0" fontId="55" fillId="0" borderId="94" applyProtection="0"/>
    <xf numFmtId="0" fontId="28" fillId="43" borderId="97" applyNumberFormat="0" applyAlignment="0" applyProtection="0"/>
    <xf numFmtId="0" fontId="55" fillId="0" borderId="107" applyProtection="0"/>
    <xf numFmtId="0" fontId="55" fillId="0" borderId="107" applyProtection="0"/>
    <xf numFmtId="0" fontId="52" fillId="23" borderId="99" applyNumberFormat="0" applyAlignment="0" applyProtection="0"/>
    <xf numFmtId="0" fontId="55" fillId="0" borderId="89" applyProtection="0"/>
    <xf numFmtId="0" fontId="55" fillId="0" borderId="98" applyProtection="0"/>
    <xf numFmtId="0" fontId="28" fillId="20" borderId="106" applyNumberFormat="0" applyAlignment="0" applyProtection="0"/>
    <xf numFmtId="0" fontId="14" fillId="43" borderId="101" applyNumberFormat="0" applyAlignment="0" applyProtection="0"/>
    <xf numFmtId="0" fontId="52" fillId="23" borderId="104" applyNumberFormat="0" applyAlignment="0" applyProtection="0"/>
    <xf numFmtId="0" fontId="52" fillId="23" borderId="95" applyNumberFormat="0" applyAlignment="0" applyProtection="0"/>
    <xf numFmtId="0" fontId="26" fillId="32" borderId="111" applyNumberFormat="0" applyFont="0" applyAlignment="0" applyProtection="0"/>
    <xf numFmtId="0" fontId="28" fillId="20" borderId="97" applyNumberFormat="0" applyAlignment="0" applyProtection="0"/>
    <xf numFmtId="0" fontId="28" fillId="20" borderId="93" applyNumberFormat="0" applyAlignment="0" applyProtection="0"/>
    <xf numFmtId="0" fontId="52" fillId="23" borderId="99" applyNumberFormat="0" applyAlignment="0" applyProtection="0"/>
    <xf numFmtId="0" fontId="55" fillId="0" borderId="98" applyProtection="0"/>
    <xf numFmtId="0" fontId="26" fillId="32" borderId="104" applyNumberFormat="0" applyFont="0" applyAlignment="0" applyProtection="0"/>
    <xf numFmtId="0" fontId="52" fillId="23" borderId="99" applyNumberFormat="0" applyAlignment="0" applyProtection="0"/>
    <xf numFmtId="0" fontId="55" fillId="0" borderId="94" applyProtection="0"/>
    <xf numFmtId="0" fontId="52" fillId="23" borderId="111" applyNumberFormat="0" applyAlignment="0" applyProtection="0"/>
    <xf numFmtId="0" fontId="14" fillId="43" borderId="92" applyNumberFormat="0" applyAlignment="0" applyProtection="0"/>
    <xf numFmtId="0" fontId="21" fillId="7" borderId="87" applyNumberFormat="0" applyAlignment="0" applyProtection="0"/>
    <xf numFmtId="0" fontId="55" fillId="0" borderId="98" applyProtection="0"/>
    <xf numFmtId="0" fontId="14" fillId="43" borderId="96" applyNumberFormat="0" applyAlignment="0" applyProtection="0"/>
    <xf numFmtId="0" fontId="21" fillId="44" borderId="112" applyNumberFormat="0" applyAlignment="0" applyProtection="0"/>
    <xf numFmtId="0" fontId="55" fillId="0" borderId="94" applyProtection="0"/>
    <xf numFmtId="0" fontId="55" fillId="0" borderId="103" applyProtection="0"/>
    <xf numFmtId="0" fontId="55" fillId="0" borderId="114" applyProtection="0"/>
    <xf numFmtId="0" fontId="14" fillId="20" borderId="96" applyNumberFormat="0" applyAlignment="0" applyProtection="0"/>
    <xf numFmtId="0" fontId="55" fillId="0" borderId="107" applyProtection="0"/>
    <xf numFmtId="0" fontId="55" fillId="0" borderId="94" applyProtection="0"/>
    <xf numFmtId="0" fontId="55" fillId="0" borderId="114" applyProtection="0"/>
    <xf numFmtId="0" fontId="52" fillId="23" borderId="95" applyNumberFormat="0" applyAlignment="0" applyProtection="0"/>
    <xf numFmtId="0" fontId="3" fillId="0" borderId="0"/>
    <xf numFmtId="0" fontId="55" fillId="0" borderId="103" applyProtection="0"/>
    <xf numFmtId="0" fontId="28" fillId="20" borderId="88" applyNumberFormat="0" applyAlignment="0" applyProtection="0"/>
    <xf numFmtId="0" fontId="3" fillId="0" borderId="0"/>
    <xf numFmtId="0" fontId="3" fillId="0" borderId="0"/>
    <xf numFmtId="0" fontId="52" fillId="23" borderId="111" applyNumberFormat="0" applyAlignment="0" applyProtection="0"/>
    <xf numFmtId="0" fontId="55" fillId="0" borderId="103" applyProtection="0"/>
    <xf numFmtId="0" fontId="3" fillId="0" borderId="0"/>
    <xf numFmtId="0" fontId="3" fillId="0" borderId="0"/>
    <xf numFmtId="0" fontId="3" fillId="0" borderId="0"/>
    <xf numFmtId="0" fontId="55" fillId="0" borderId="98" applyProtection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99" applyNumberFormat="0" applyAlignment="0" applyProtection="0"/>
    <xf numFmtId="0" fontId="3" fillId="0" borderId="0"/>
    <xf numFmtId="0" fontId="14" fillId="20" borderId="10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2" borderId="104" applyNumberFormat="0" applyFont="0" applyAlignment="0" applyProtection="0"/>
    <xf numFmtId="0" fontId="3" fillId="0" borderId="0"/>
    <xf numFmtId="0" fontId="55" fillId="0" borderId="114" applyProtection="0"/>
    <xf numFmtId="0" fontId="3" fillId="0" borderId="0"/>
    <xf numFmtId="0" fontId="21" fillId="44" borderId="96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89" applyProtection="0"/>
    <xf numFmtId="0" fontId="55" fillId="0" borderId="94" applyProtection="0"/>
    <xf numFmtId="0" fontId="28" fillId="43" borderId="93" applyNumberFormat="0" applyAlignment="0" applyProtection="0"/>
    <xf numFmtId="0" fontId="55" fillId="0" borderId="107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07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86" applyNumberFormat="0" applyAlignment="0" applyProtection="0"/>
    <xf numFmtId="0" fontId="52" fillId="23" borderId="86" applyNumberFormat="0" applyAlignment="0" applyProtection="0"/>
    <xf numFmtId="0" fontId="52" fillId="23" borderId="86" applyNumberFormat="0" applyAlignment="0" applyProtection="0"/>
    <xf numFmtId="0" fontId="52" fillId="23" borderId="86" applyNumberFormat="0" applyAlignment="0" applyProtection="0"/>
    <xf numFmtId="0" fontId="26" fillId="32" borderId="86" applyNumberFormat="0" applyFont="0" applyAlignment="0" applyProtection="0"/>
    <xf numFmtId="0" fontId="26" fillId="32" borderId="86" applyNumberFormat="0" applyFont="0" applyAlignment="0" applyProtection="0"/>
    <xf numFmtId="9" fontId="3" fillId="0" borderId="0" applyFont="0" applyFill="0" applyBorder="0" applyAlignment="0" applyProtection="0"/>
    <xf numFmtId="0" fontId="55" fillId="0" borderId="114" applyProtection="0"/>
    <xf numFmtId="0" fontId="55" fillId="0" borderId="94" applyProtection="0"/>
    <xf numFmtId="0" fontId="21" fillId="44" borderId="92" applyNumberFormat="0" applyAlignment="0" applyProtection="0"/>
    <xf numFmtId="0" fontId="14" fillId="43" borderId="105" applyNumberFormat="0" applyAlignment="0" applyProtection="0"/>
    <xf numFmtId="0" fontId="14" fillId="20" borderId="87" applyNumberFormat="0" applyAlignment="0" applyProtection="0"/>
    <xf numFmtId="0" fontId="21" fillId="7" borderId="96" applyNumberFormat="0" applyAlignment="0" applyProtection="0"/>
    <xf numFmtId="0" fontId="52" fillId="23" borderId="111" applyNumberFormat="0" applyAlignment="0" applyProtection="0"/>
    <xf numFmtId="0" fontId="55" fillId="0" borderId="103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02" applyNumberFormat="0" applyAlignment="0" applyProtection="0"/>
    <xf numFmtId="165" fontId="3" fillId="0" borderId="0" applyFont="0" applyFill="0" applyBorder="0" applyAlignment="0" applyProtection="0"/>
    <xf numFmtId="0" fontId="26" fillId="32" borderId="95" applyNumberFormat="0" applyFont="0" applyAlignment="0" applyProtection="0"/>
    <xf numFmtId="0" fontId="55" fillId="0" borderId="107" applyProtection="0"/>
    <xf numFmtId="0" fontId="52" fillId="23" borderId="91" applyNumberFormat="0" applyAlignment="0" applyProtection="0"/>
    <xf numFmtId="0" fontId="52" fillId="23" borderId="91" applyNumberFormat="0" applyAlignment="0" applyProtection="0"/>
    <xf numFmtId="0" fontId="52" fillId="23" borderId="91" applyNumberFormat="0" applyAlignment="0" applyProtection="0"/>
    <xf numFmtId="0" fontId="52" fillId="23" borderId="91" applyNumberFormat="0" applyAlignment="0" applyProtection="0"/>
    <xf numFmtId="0" fontId="26" fillId="32" borderId="91" applyNumberFormat="0" applyFont="0" applyAlignment="0" applyProtection="0"/>
    <xf numFmtId="0" fontId="26" fillId="32" borderId="91" applyNumberFormat="0" applyFont="0" applyAlignment="0" applyProtection="0"/>
    <xf numFmtId="0" fontId="55" fillId="0" borderId="107" applyProtection="0"/>
    <xf numFmtId="0" fontId="55" fillId="0" borderId="114" applyProtection="0"/>
    <xf numFmtId="0" fontId="14" fillId="20" borderId="92" applyNumberFormat="0" applyAlignment="0" applyProtection="0"/>
    <xf numFmtId="0" fontId="26" fillId="32" borderId="111" applyNumberFormat="0" applyFont="0" applyAlignment="0" applyProtection="0"/>
    <xf numFmtId="0" fontId="52" fillId="23" borderId="95" applyNumberFormat="0" applyAlignment="0" applyProtection="0"/>
    <xf numFmtId="0" fontId="26" fillId="32" borderId="95" applyNumberFormat="0" applyFont="0" applyAlignment="0" applyProtection="0"/>
    <xf numFmtId="0" fontId="55" fillId="0" borderId="103" applyProtection="0"/>
    <xf numFmtId="0" fontId="55" fillId="0" borderId="98" applyProtection="0"/>
    <xf numFmtId="0" fontId="26" fillId="32" borderId="99" applyNumberFormat="0" applyFont="0" applyAlignment="0" applyProtection="0"/>
    <xf numFmtId="0" fontId="26" fillId="32" borderId="99" applyNumberFormat="0" applyFont="0" applyAlignment="0" applyProtection="0"/>
    <xf numFmtId="0" fontId="21" fillId="7" borderId="101" applyNumberFormat="0" applyAlignment="0" applyProtection="0"/>
    <xf numFmtId="0" fontId="14" fillId="20" borderId="105" applyNumberFormat="0" applyAlignment="0" applyProtection="0"/>
    <xf numFmtId="0" fontId="14" fillId="43" borderId="112" applyNumberFormat="0" applyAlignment="0" applyProtection="0"/>
    <xf numFmtId="0" fontId="21" fillId="44" borderId="101" applyNumberFormat="0" applyAlignment="0" applyProtection="0"/>
    <xf numFmtId="0" fontId="28" fillId="43" borderId="106" applyNumberFormat="0" applyAlignment="0" applyProtection="0"/>
    <xf numFmtId="0" fontId="28" fillId="20" borderId="113" applyNumberFormat="0" applyAlignment="0" applyProtection="0"/>
    <xf numFmtId="0" fontId="52" fillId="23" borderId="111" applyNumberFormat="0" applyAlignment="0" applyProtection="0"/>
    <xf numFmtId="0" fontId="21" fillId="7" borderId="112" applyNumberFormat="0" applyAlignment="0" applyProtection="0"/>
    <xf numFmtId="0" fontId="55" fillId="0" borderId="107" applyProtection="0"/>
    <xf numFmtId="0" fontId="55" fillId="0" borderId="114" applyProtection="0"/>
    <xf numFmtId="0" fontId="21" fillId="7" borderId="105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11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55" fillId="0" borderId="114" applyProtection="0"/>
    <xf numFmtId="0" fontId="55" fillId="0" borderId="114" applyProtection="0"/>
    <xf numFmtId="0" fontId="55" fillId="0" borderId="114" applyProtection="0"/>
    <xf numFmtId="0" fontId="28" fillId="43" borderId="113" applyNumberFormat="0" applyAlignment="0" applyProtection="0"/>
    <xf numFmtId="0" fontId="21" fillId="44" borderId="112" applyNumberFormat="0" applyAlignment="0" applyProtection="0"/>
    <xf numFmtId="0" fontId="55" fillId="0" borderId="114" applyProtection="0"/>
    <xf numFmtId="0" fontId="55" fillId="0" borderId="114" applyProtection="0"/>
    <xf numFmtId="0" fontId="55" fillId="0" borderId="114" applyProtection="0"/>
    <xf numFmtId="0" fontId="55" fillId="0" borderId="114" applyProtection="0"/>
    <xf numFmtId="0" fontId="55" fillId="0" borderId="114" applyProtection="0"/>
    <xf numFmtId="0" fontId="52" fillId="23" borderId="111" applyNumberFormat="0" applyAlignment="0" applyProtection="0"/>
    <xf numFmtId="0" fontId="55" fillId="0" borderId="114" applyProtection="0"/>
    <xf numFmtId="0" fontId="14" fillId="43" borderId="112" applyNumberFormat="0" applyAlignment="0" applyProtection="0"/>
    <xf numFmtId="0" fontId="55" fillId="0" borderId="114" applyProtection="0"/>
    <xf numFmtId="0" fontId="21" fillId="44" borderId="112" applyNumberFormat="0" applyAlignment="0" applyProtection="0"/>
    <xf numFmtId="0" fontId="28" fillId="43" borderId="113" applyNumberFormat="0" applyAlignment="0" applyProtection="0"/>
    <xf numFmtId="0" fontId="55" fillId="0" borderId="114" applyProtection="0"/>
    <xf numFmtId="0" fontId="21" fillId="7" borderId="112" applyNumberFormat="0" applyAlignment="0" applyProtection="0"/>
    <xf numFmtId="0" fontId="55" fillId="0" borderId="114" applyProtection="0"/>
    <xf numFmtId="0" fontId="55" fillId="0" borderId="114" applyProtection="0"/>
    <xf numFmtId="0" fontId="28" fillId="43" borderId="113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1" applyNumberFormat="0" applyAlignment="0" applyProtection="0"/>
    <xf numFmtId="0" fontId="55" fillId="0" borderId="114" applyProtection="0"/>
    <xf numFmtId="0" fontId="55" fillId="0" borderId="114" applyProtection="0"/>
    <xf numFmtId="0" fontId="28" fillId="20" borderId="113" applyNumberFormat="0" applyAlignment="0" applyProtection="0"/>
    <xf numFmtId="0" fontId="14" fillId="43" borderId="112" applyNumberFormat="0" applyAlignment="0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28" fillId="20" borderId="113" applyNumberFormat="0" applyAlignment="0" applyProtection="0"/>
    <xf numFmtId="0" fontId="28" fillId="20" borderId="113" applyNumberFormat="0" applyAlignment="0" applyProtection="0"/>
    <xf numFmtId="0" fontId="52" fillId="23" borderId="111" applyNumberFormat="0" applyAlignment="0" applyProtection="0"/>
    <xf numFmtId="0" fontId="55" fillId="0" borderId="114" applyProtection="0"/>
    <xf numFmtId="0" fontId="26" fillId="32" borderId="111" applyNumberFormat="0" applyFont="0" applyAlignment="0" applyProtection="0"/>
    <xf numFmtId="0" fontId="52" fillId="23" borderId="111" applyNumberFormat="0" applyAlignment="0" applyProtection="0"/>
    <xf numFmtId="0" fontId="55" fillId="0" borderId="114" applyProtection="0"/>
    <xf numFmtId="0" fontId="14" fillId="43" borderId="112" applyNumberFormat="0" applyAlignment="0" applyProtection="0"/>
    <xf numFmtId="0" fontId="21" fillId="7" borderId="112" applyNumberFormat="0" applyAlignment="0" applyProtection="0"/>
    <xf numFmtId="0" fontId="55" fillId="0" borderId="114" applyProtection="0"/>
    <xf numFmtId="0" fontId="14" fillId="43" borderId="112" applyNumberFormat="0" applyAlignment="0" applyProtection="0"/>
    <xf numFmtId="0" fontId="55" fillId="0" borderId="114" applyProtection="0"/>
    <xf numFmtId="0" fontId="55" fillId="0" borderId="114" applyProtection="0"/>
    <xf numFmtId="0" fontId="14" fillId="20" borderId="112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1" applyNumberFormat="0" applyAlignment="0" applyProtection="0"/>
    <xf numFmtId="0" fontId="55" fillId="0" borderId="114" applyProtection="0"/>
    <xf numFmtId="0" fontId="28" fillId="20" borderId="113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1" applyNumberFormat="0" applyAlignment="0" applyProtection="0"/>
    <xf numFmtId="0" fontId="14" fillId="20" borderId="112" applyNumberFormat="0" applyAlignment="0" applyProtection="0"/>
    <xf numFmtId="0" fontId="26" fillId="32" borderId="111" applyNumberFormat="0" applyFont="0" applyAlignment="0" applyProtection="0"/>
    <xf numFmtId="0" fontId="21" fillId="44" borderId="112" applyNumberFormat="0" applyAlignment="0" applyProtection="0"/>
    <xf numFmtId="0" fontId="55" fillId="0" borderId="114" applyProtection="0"/>
    <xf numFmtId="0" fontId="55" fillId="0" borderId="114" applyProtection="0"/>
    <xf numFmtId="0" fontId="28" fillId="43" borderId="113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26" fillId="32" borderId="111" applyNumberFormat="0" applyFont="0" applyAlignment="0" applyProtection="0"/>
    <xf numFmtId="0" fontId="26" fillId="32" borderId="111" applyNumberFormat="0" applyFont="0" applyAlignment="0" applyProtection="0"/>
    <xf numFmtId="0" fontId="55" fillId="0" borderId="114" applyProtection="0"/>
    <xf numFmtId="0" fontId="21" fillId="44" borderId="112" applyNumberFormat="0" applyAlignment="0" applyProtection="0"/>
    <xf numFmtId="0" fontId="14" fillId="43" borderId="112" applyNumberFormat="0" applyAlignment="0" applyProtection="0"/>
    <xf numFmtId="0" fontId="14" fillId="20" borderId="112" applyNumberFormat="0" applyAlignment="0" applyProtection="0"/>
    <xf numFmtId="0" fontId="21" fillId="7" borderId="112" applyNumberFormat="0" applyAlignment="0" applyProtection="0"/>
    <xf numFmtId="0" fontId="55" fillId="0" borderId="114" applyProtection="0"/>
    <xf numFmtId="0" fontId="28" fillId="20" borderId="113" applyNumberFormat="0" applyAlignment="0" applyProtection="0"/>
    <xf numFmtId="0" fontId="26" fillId="32" borderId="111" applyNumberFormat="0" applyFont="0" applyAlignment="0" applyProtection="0"/>
    <xf numFmtId="0" fontId="55" fillId="0" borderId="114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52" fillId="23" borderId="111" applyNumberFormat="0" applyAlignment="0" applyProtection="0"/>
    <xf numFmtId="0" fontId="26" fillId="32" borderId="111" applyNumberFormat="0" applyFont="0" applyAlignment="0" applyProtection="0"/>
    <xf numFmtId="0" fontId="26" fillId="32" borderId="111" applyNumberFormat="0" applyFont="0" applyAlignment="0" applyProtection="0"/>
    <xf numFmtId="0" fontId="55" fillId="0" borderId="114" applyProtection="0"/>
    <xf numFmtId="0" fontId="14" fillId="20" borderId="112" applyNumberFormat="0" applyAlignment="0" applyProtection="0"/>
    <xf numFmtId="0" fontId="52" fillId="23" borderId="111" applyNumberFormat="0" applyAlignment="0" applyProtection="0"/>
    <xf numFmtId="0" fontId="26" fillId="32" borderId="111" applyNumberFormat="0" applyFont="0" applyAlignment="0" applyProtection="0"/>
    <xf numFmtId="0" fontId="55" fillId="0" borderId="114" applyProtection="0"/>
    <xf numFmtId="0" fontId="55" fillId="0" borderId="114" applyProtection="0"/>
    <xf numFmtId="0" fontId="26" fillId="32" borderId="111" applyNumberFormat="0" applyFont="0" applyAlignment="0" applyProtection="0"/>
    <xf numFmtId="0" fontId="26" fillId="32" borderId="111" applyNumberFormat="0" applyFont="0" applyAlignment="0" applyProtection="0"/>
    <xf numFmtId="0" fontId="21" fillId="7" borderId="112" applyNumberFormat="0" applyAlignment="0" applyProtection="0"/>
    <xf numFmtId="0" fontId="14" fillId="20" borderId="112" applyNumberFormat="0" applyAlignment="0" applyProtection="0"/>
    <xf numFmtId="0" fontId="21" fillId="44" borderId="112" applyNumberFormat="0" applyAlignment="0" applyProtection="0"/>
    <xf numFmtId="0" fontId="28" fillId="43" borderId="113" applyNumberFormat="0" applyAlignment="0" applyProtection="0"/>
    <xf numFmtId="0" fontId="55" fillId="0" borderId="114" applyProtection="0"/>
    <xf numFmtId="0" fontId="21" fillId="7" borderId="112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9" fillId="0" borderId="0"/>
    <xf numFmtId="0" fontId="1" fillId="0" borderId="0"/>
    <xf numFmtId="164" fontId="1" fillId="0" borderId="0" applyFont="0" applyFill="0" applyBorder="0" applyAlignment="0" applyProtection="0"/>
    <xf numFmtId="0" fontId="8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05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4" xfId="81" applyNumberFormat="1" applyFont="1" applyBorder="1" applyAlignment="1">
      <alignment horizontal="left"/>
    </xf>
    <xf numFmtId="0" fontId="52" fillId="0" borderId="24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0" fontId="49" fillId="0" borderId="0" xfId="82" applyFont="1"/>
    <xf numFmtId="0" fontId="0" fillId="0" borderId="0" xfId="89" applyFont="1"/>
    <xf numFmtId="0" fontId="49" fillId="35" borderId="0" xfId="0" applyFont="1" applyFill="1"/>
    <xf numFmtId="0" fontId="49" fillId="35" borderId="0" xfId="0" applyFont="1" applyFill="1" applyAlignment="1">
      <alignment horizontal="center" vertical="center"/>
    </xf>
    <xf numFmtId="0" fontId="46" fillId="0" borderId="0" xfId="82" applyFont="1" applyAlignment="1" applyProtection="1">
      <alignment horizontal="left"/>
      <protection locked="0"/>
    </xf>
    <xf numFmtId="0" fontId="49" fillId="35" borderId="0" xfId="0" applyFont="1" applyFill="1" applyAlignment="1">
      <alignment vertical="center"/>
    </xf>
    <xf numFmtId="0" fontId="0" fillId="0" borderId="0" xfId="83" applyFont="1"/>
    <xf numFmtId="1" fontId="49" fillId="24" borderId="25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6" xfId="0" applyNumberFormat="1" applyFill="1" applyBorder="1" applyAlignment="1">
      <alignment horizontal="center" vertical="center" wrapText="1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4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1" fillId="36" borderId="26" xfId="107" applyFont="1" applyFill="1" applyBorder="1" applyAlignment="1" applyProtection="1">
      <alignment horizontal="center" vertical="center" wrapText="1"/>
      <protection locked="0"/>
    </xf>
    <xf numFmtId="0" fontId="61" fillId="34" borderId="26" xfId="107" applyFont="1" applyFill="1" applyBorder="1" applyAlignment="1" applyProtection="1">
      <alignment horizontal="center" vertical="center" wrapText="1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70" fontId="32" fillId="20" borderId="32" xfId="83" applyNumberFormat="1" applyFont="1" applyFill="1" applyBorder="1" applyAlignment="1">
      <alignment horizontal="center" vertical="center"/>
    </xf>
    <xf numFmtId="0" fontId="0" fillId="0" borderId="31" xfId="83" applyFont="1" applyBorder="1" applyAlignment="1">
      <alignment horizontal="center" vertical="center"/>
    </xf>
    <xf numFmtId="3" fontId="41" fillId="0" borderId="33" xfId="0" applyNumberFormat="1" applyFont="1" applyBorder="1"/>
    <xf numFmtId="0" fontId="0" fillId="0" borderId="31" xfId="0" applyBorder="1" applyAlignment="1">
      <alignment horizontal="center" vertical="center"/>
    </xf>
    <xf numFmtId="176" fontId="52" fillId="0" borderId="31" xfId="82" applyNumberFormat="1" applyBorder="1" applyAlignment="1">
      <alignment horizontal="center" vertical="center"/>
    </xf>
    <xf numFmtId="1" fontId="34" fillId="0" borderId="31" xfId="82" applyNumberFormat="1" applyFont="1" applyBorder="1" applyAlignment="1">
      <alignment horizontal="center" vertical="center"/>
    </xf>
    <xf numFmtId="4" fontId="39" fillId="0" borderId="31" xfId="83" applyNumberFormat="1" applyFont="1" applyBorder="1" applyAlignment="1">
      <alignment vertical="center"/>
    </xf>
    <xf numFmtId="176" fontId="52" fillId="0" borderId="31" xfId="82" applyNumberFormat="1" applyBorder="1" applyAlignment="1">
      <alignment horizontal="left" vertical="center"/>
    </xf>
    <xf numFmtId="4" fontId="39" fillId="37" borderId="31" xfId="83" applyNumberFormat="1" applyFont="1" applyFill="1" applyBorder="1" applyAlignment="1">
      <alignment vertical="center"/>
    </xf>
    <xf numFmtId="3" fontId="52" fillId="0" borderId="31" xfId="82" applyNumberFormat="1" applyBorder="1" applyAlignment="1">
      <alignment shrinkToFit="1"/>
    </xf>
    <xf numFmtId="3" fontId="0" fillId="0" borderId="31" xfId="83" applyNumberFormat="1" applyFont="1" applyBorder="1" applyAlignment="1">
      <alignment horizontal="left"/>
    </xf>
    <xf numFmtId="0" fontId="0" fillId="0" borderId="31" xfId="83" applyFont="1" applyBorder="1" applyAlignment="1">
      <alignment horizontal="center"/>
    </xf>
    <xf numFmtId="4" fontId="0" fillId="0" borderId="34" xfId="83" applyNumberFormat="1" applyFont="1" applyBorder="1" applyAlignment="1">
      <alignment horizontal="center"/>
    </xf>
    <xf numFmtId="0" fontId="52" fillId="28" borderId="33" xfId="80" applyFill="1" applyBorder="1" applyAlignment="1">
      <alignment horizontal="center"/>
    </xf>
    <xf numFmtId="0" fontId="52" fillId="0" borderId="31" xfId="83" applyBorder="1" applyAlignment="1">
      <alignment horizontal="center" vertical="center"/>
    </xf>
    <xf numFmtId="176" fontId="52" fillId="0" borderId="31" xfId="83" applyNumberFormat="1" applyBorder="1" applyAlignment="1">
      <alignment horizontal="center" vertical="center"/>
    </xf>
    <xf numFmtId="4" fontId="33" fillId="0" borderId="31" xfId="83" applyNumberFormat="1" applyFont="1" applyBorder="1" applyAlignment="1">
      <alignment vertical="center"/>
    </xf>
    <xf numFmtId="4" fontId="52" fillId="0" borderId="31" xfId="83" applyNumberFormat="1" applyBorder="1" applyAlignment="1">
      <alignment vertical="center"/>
    </xf>
    <xf numFmtId="0" fontId="24" fillId="0" borderId="31" xfId="75" applyFont="1" applyBorder="1"/>
    <xf numFmtId="49" fontId="42" fillId="20" borderId="39" xfId="116" applyNumberFormat="1" applyFont="1" applyFill="1" applyBorder="1" applyAlignment="1">
      <alignment horizontal="center" vertical="center" wrapText="1"/>
    </xf>
    <xf numFmtId="1" fontId="0" fillId="20" borderId="44" xfId="0" applyNumberFormat="1" applyFill="1" applyBorder="1" applyAlignment="1">
      <alignment horizontal="center" vertical="center" wrapText="1"/>
    </xf>
    <xf numFmtId="1" fontId="0" fillId="20" borderId="45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49" fontId="0" fillId="20" borderId="47" xfId="116" applyNumberFormat="1" applyFont="1" applyFill="1" applyBorder="1" applyAlignment="1">
      <alignment vertical="center"/>
    </xf>
    <xf numFmtId="49" fontId="49" fillId="20" borderId="47" xfId="116" applyNumberFormat="1" applyFont="1" applyFill="1" applyBorder="1" applyAlignment="1">
      <alignment horizontal="center" vertical="center"/>
    </xf>
    <xf numFmtId="49" fontId="42" fillId="20" borderId="48" xfId="116" applyNumberFormat="1" applyFont="1" applyFill="1" applyBorder="1" applyAlignment="1">
      <alignment horizontal="center" vertical="center" wrapText="1"/>
    </xf>
    <xf numFmtId="0" fontId="50" fillId="24" borderId="42" xfId="82" applyFont="1" applyFill="1" applyBorder="1" applyAlignment="1">
      <alignment horizontal="center" vertical="center"/>
    </xf>
    <xf numFmtId="1" fontId="37" fillId="24" borderId="42" xfId="82" applyNumberFormat="1" applyFont="1" applyFill="1" applyBorder="1" applyAlignment="1">
      <alignment horizontal="center" vertical="center"/>
    </xf>
    <xf numFmtId="177" fontId="34" fillId="24" borderId="42" xfId="82" applyNumberFormat="1" applyFont="1" applyFill="1" applyBorder="1" applyAlignment="1">
      <alignment horizontal="center" vertical="center"/>
    </xf>
    <xf numFmtId="0" fontId="34" fillId="24" borderId="42" xfId="82" applyFont="1" applyFill="1" applyBorder="1" applyAlignment="1">
      <alignment horizontal="center" vertical="center"/>
    </xf>
    <xf numFmtId="0" fontId="42" fillId="24" borderId="47" xfId="82" applyFont="1" applyFill="1" applyBorder="1" applyAlignment="1">
      <alignment horizontal="left" vertical="center"/>
    </xf>
    <xf numFmtId="1" fontId="34" fillId="24" borderId="39" xfId="82" applyNumberFormat="1" applyFont="1" applyFill="1" applyBorder="1"/>
    <xf numFmtId="0" fontId="34" fillId="24" borderId="48" xfId="82" applyFont="1" applyFill="1" applyBorder="1"/>
    <xf numFmtId="1" fontId="34" fillId="24" borderId="48" xfId="82" applyNumberFormat="1" applyFont="1" applyFill="1" applyBorder="1" applyAlignment="1">
      <alignment horizontal="right"/>
    </xf>
    <xf numFmtId="0" fontId="34" fillId="24" borderId="46" xfId="82" applyFont="1" applyFill="1" applyBorder="1"/>
    <xf numFmtId="1" fontId="34" fillId="0" borderId="39" xfId="82" applyNumberFormat="1" applyFont="1" applyBorder="1"/>
    <xf numFmtId="0" fontId="34" fillId="24" borderId="46" xfId="82" applyFont="1" applyFill="1" applyBorder="1" applyAlignment="1">
      <alignment horizontal="left"/>
    </xf>
    <xf numFmtId="0" fontId="52" fillId="0" borderId="51" xfId="81" applyBorder="1"/>
    <xf numFmtId="0" fontId="52" fillId="0" borderId="52" xfId="81" applyBorder="1"/>
    <xf numFmtId="0" fontId="52" fillId="0" borderId="53" xfId="81" applyBorder="1"/>
    <xf numFmtId="49" fontId="46" fillId="20" borderId="43" xfId="116" applyNumberFormat="1" applyFont="1" applyFill="1" applyBorder="1" applyAlignment="1">
      <alignment horizontal="center" vertical="center"/>
    </xf>
    <xf numFmtId="49" fontId="46" fillId="20" borderId="44" xfId="82" applyNumberFormat="1" applyFont="1" applyFill="1" applyBorder="1" applyAlignment="1">
      <alignment horizontal="center" vertical="center" wrapText="1"/>
    </xf>
    <xf numFmtId="49" fontId="46" fillId="20" borderId="44" xfId="82" applyNumberFormat="1" applyFont="1" applyFill="1" applyBorder="1" applyAlignment="1">
      <alignment horizontal="center" vertical="center"/>
    </xf>
    <xf numFmtId="49" fontId="46" fillId="20" borderId="42" xfId="116" applyNumberFormat="1" applyFont="1" applyFill="1" applyBorder="1" applyAlignment="1">
      <alignment horizontal="center" vertical="center" wrapText="1"/>
    </xf>
    <xf numFmtId="171" fontId="34" fillId="36" borderId="44" xfId="107" applyNumberFormat="1" applyFont="1" applyFill="1" applyBorder="1" applyAlignment="1">
      <alignment horizontal="center" vertical="center" wrapText="1"/>
    </xf>
    <xf numFmtId="171" fontId="34" fillId="34" borderId="44" xfId="107" applyNumberFormat="1" applyFont="1" applyFill="1" applyBorder="1" applyAlignment="1">
      <alignment horizontal="center" vertical="center" wrapText="1"/>
    </xf>
    <xf numFmtId="49" fontId="46" fillId="20" borderId="54" xfId="116" applyNumberFormat="1" applyFont="1" applyFill="1" applyBorder="1" applyAlignment="1">
      <alignment horizontal="center" vertical="center"/>
    </xf>
    <xf numFmtId="49" fontId="46" fillId="20" borderId="54" xfId="82" applyNumberFormat="1" applyFont="1" applyFill="1" applyBorder="1" applyAlignment="1">
      <alignment horizontal="center" vertical="center" wrapText="1"/>
    </xf>
    <xf numFmtId="49" fontId="46" fillId="20" borderId="54" xfId="82" applyNumberFormat="1" applyFont="1" applyFill="1" applyBorder="1" applyAlignment="1">
      <alignment horizontal="center" vertical="center"/>
    </xf>
    <xf numFmtId="1" fontId="49" fillId="24" borderId="42" xfId="82" applyNumberFormat="1" applyFont="1" applyFill="1" applyBorder="1" applyAlignment="1">
      <alignment horizontal="left" vertical="center"/>
    </xf>
    <xf numFmtId="14" fontId="49" fillId="24" borderId="42" xfId="82" applyNumberFormat="1" applyFont="1" applyFill="1" applyBorder="1" applyAlignment="1">
      <alignment horizontal="left" vertical="center"/>
    </xf>
    <xf numFmtId="1" fontId="49" fillId="0" borderId="42" xfId="82" applyNumberFormat="1" applyFont="1" applyBorder="1" applyAlignment="1">
      <alignment horizontal="center" vertical="center"/>
    </xf>
    <xf numFmtId="4" fontId="49" fillId="0" borderId="42" xfId="82" applyNumberFormat="1" applyFont="1" applyBorder="1" applyAlignment="1">
      <alignment horizontal="center" vertical="center"/>
    </xf>
    <xf numFmtId="0" fontId="32" fillId="0" borderId="47" xfId="82" applyFont="1" applyBorder="1" applyAlignment="1">
      <alignment horizontal="center" vertical="center" textRotation="180" wrapText="1"/>
    </xf>
    <xf numFmtId="0" fontId="32" fillId="0" borderId="47" xfId="82" applyFont="1" applyBorder="1" applyAlignment="1">
      <alignment vertical="center" textRotation="180" wrapText="1"/>
    </xf>
    <xf numFmtId="0" fontId="44" fillId="20" borderId="42" xfId="82" applyFont="1" applyFill="1" applyBorder="1" applyAlignment="1">
      <alignment horizontal="center" vertical="center"/>
    </xf>
    <xf numFmtId="0" fontId="44" fillId="20" borderId="39" xfId="82" applyFont="1" applyFill="1" applyBorder="1" applyAlignment="1">
      <alignment vertical="center"/>
    </xf>
    <xf numFmtId="0" fontId="44" fillId="20" borderId="48" xfId="82" applyFont="1" applyFill="1" applyBorder="1" applyAlignment="1">
      <alignment vertical="center"/>
    </xf>
    <xf numFmtId="0" fontId="33" fillId="20" borderId="42" xfId="82" applyFont="1" applyFill="1" applyBorder="1" applyAlignment="1">
      <alignment horizontal="center" vertical="center" wrapText="1"/>
    </xf>
    <xf numFmtId="0" fontId="0" fillId="0" borderId="42" xfId="82" applyFont="1" applyBorder="1" applyAlignment="1">
      <alignment horizontal="center" vertical="center"/>
    </xf>
    <xf numFmtId="0" fontId="0" fillId="0" borderId="39" xfId="82" applyFont="1" applyBorder="1" applyAlignment="1">
      <alignment vertical="center"/>
    </xf>
    <xf numFmtId="0" fontId="0" fillId="0" borderId="48" xfId="82" applyFont="1" applyBorder="1" applyAlignment="1">
      <alignment vertical="center"/>
    </xf>
    <xf numFmtId="14" fontId="0" fillId="0" borderId="39" xfId="82" applyNumberFormat="1" applyFont="1" applyBorder="1" applyAlignment="1">
      <alignment vertical="center"/>
    </xf>
    <xf numFmtId="14" fontId="0" fillId="0" borderId="48" xfId="82" applyNumberFormat="1" applyFont="1" applyBorder="1" applyAlignment="1">
      <alignment vertical="center"/>
    </xf>
    <xf numFmtId="1" fontId="0" fillId="0" borderId="48" xfId="82" applyNumberFormat="1" applyFont="1" applyBorder="1" applyAlignment="1">
      <alignment horizontal="center" vertical="center"/>
    </xf>
    <xf numFmtId="14" fontId="0" fillId="0" borderId="46" xfId="82" applyNumberFormat="1" applyFont="1" applyBorder="1" applyAlignment="1">
      <alignment horizontal="left" vertical="center"/>
    </xf>
    <xf numFmtId="0" fontId="0" fillId="0" borderId="42" xfId="82" applyFont="1" applyBorder="1" applyAlignment="1">
      <alignment horizontal="center" vertical="center" wrapText="1"/>
    </xf>
    <xf numFmtId="49" fontId="36" fillId="20" borderId="42" xfId="82" applyNumberFormat="1" applyFont="1" applyFill="1" applyBorder="1" applyAlignment="1">
      <alignment horizontal="center" vertical="center"/>
    </xf>
    <xf numFmtId="0" fontId="33" fillId="21" borderId="42" xfId="82" applyFont="1" applyFill="1" applyBorder="1" applyAlignment="1">
      <alignment horizontal="center" vertical="center" wrapText="1"/>
    </xf>
    <xf numFmtId="49" fontId="45" fillId="20" borderId="44" xfId="116" applyNumberFormat="1" applyFont="1" applyFill="1" applyBorder="1" applyAlignment="1">
      <alignment vertical="center" wrapText="1"/>
    </xf>
    <xf numFmtId="49" fontId="45" fillId="20" borderId="44" xfId="116" applyNumberFormat="1" applyFont="1" applyFill="1" applyBorder="1" applyAlignment="1">
      <alignment horizontal="center" vertical="center" wrapText="1"/>
    </xf>
    <xf numFmtId="4" fontId="45" fillId="20" borderId="45" xfId="82" applyNumberFormat="1" applyFont="1" applyFill="1" applyBorder="1" applyAlignment="1">
      <alignment horizontal="center" vertical="center" wrapText="1"/>
    </xf>
    <xf numFmtId="4" fontId="45" fillId="20" borderId="42" xfId="82" applyNumberFormat="1" applyFont="1" applyFill="1" applyBorder="1" applyAlignment="1">
      <alignment horizontal="center" vertical="center" wrapText="1"/>
    </xf>
    <xf numFmtId="1" fontId="52" fillId="24" borderId="42" xfId="82" applyNumberFormat="1" applyFill="1" applyBorder="1" applyAlignment="1">
      <alignment horizontal="left" vertical="center"/>
    </xf>
    <xf numFmtId="1" fontId="52" fillId="0" borderId="42" xfId="82" applyNumberFormat="1" applyBorder="1" applyAlignment="1">
      <alignment horizontal="center" vertical="center"/>
    </xf>
    <xf numFmtId="1" fontId="52" fillId="0" borderId="42" xfId="68" applyNumberFormat="1" applyBorder="1" applyAlignment="1">
      <alignment horizontal="center" vertical="center" wrapText="1"/>
    </xf>
    <xf numFmtId="171" fontId="32" fillId="39" borderId="43" xfId="107" applyNumberFormat="1" applyFont="1" applyFill="1" applyBorder="1" applyAlignment="1">
      <alignment horizontal="center" vertical="center" wrapText="1"/>
    </xf>
    <xf numFmtId="171" fontId="32" fillId="39" borderId="42" xfId="107" applyNumberFormat="1" applyFont="1" applyFill="1" applyBorder="1" applyAlignment="1">
      <alignment vertical="center" wrapText="1"/>
    </xf>
    <xf numFmtId="0" fontId="32" fillId="0" borderId="31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39" xfId="83" applyFont="1" applyBorder="1" applyAlignment="1">
      <alignment vertical="center"/>
    </xf>
    <xf numFmtId="0" fontId="0" fillId="0" borderId="26" xfId="83" applyFont="1" applyBorder="1" applyAlignment="1">
      <alignment vertical="center"/>
    </xf>
    <xf numFmtId="0" fontId="52" fillId="0" borderId="26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2" xfId="0" applyNumberFormat="1" applyFill="1" applyBorder="1" applyAlignment="1">
      <alignment horizontal="center" vertical="center" wrapText="1"/>
    </xf>
    <xf numFmtId="49" fontId="0" fillId="20" borderId="42" xfId="116" applyNumberFormat="1" applyFont="1" applyFill="1" applyBorder="1" applyAlignment="1">
      <alignment vertical="center"/>
    </xf>
    <xf numFmtId="49" fontId="49" fillId="20" borderId="42" xfId="116" applyNumberFormat="1" applyFont="1" applyFill="1" applyBorder="1" applyAlignment="1">
      <alignment horizontal="center" vertical="center"/>
    </xf>
    <xf numFmtId="49" fontId="42" fillId="20" borderId="42" xfId="116" applyNumberFormat="1" applyFont="1" applyFill="1" applyBorder="1" applyAlignment="1">
      <alignment horizontal="center" vertical="center" wrapText="1"/>
    </xf>
    <xf numFmtId="0" fontId="61" fillId="36" borderId="57" xfId="107" applyFont="1" applyFill="1" applyBorder="1" applyAlignment="1" applyProtection="1">
      <alignment horizontal="center" wrapText="1"/>
      <protection locked="0"/>
    </xf>
    <xf numFmtId="0" fontId="61" fillId="34" borderId="57" xfId="107" applyFont="1" applyFill="1" applyBorder="1" applyAlignment="1" applyProtection="1">
      <alignment horizontal="center" wrapText="1"/>
      <protection locked="0"/>
    </xf>
    <xf numFmtId="171" fontId="32" fillId="26" borderId="43" xfId="107" applyNumberFormat="1" applyFont="1" applyFill="1" applyBorder="1" applyAlignment="1">
      <alignment horizontal="center" vertical="center" wrapText="1"/>
    </xf>
    <xf numFmtId="0" fontId="52" fillId="0" borderId="58" xfId="81" applyBorder="1"/>
    <xf numFmtId="0" fontId="52" fillId="0" borderId="24" xfId="68" applyBorder="1"/>
    <xf numFmtId="177" fontId="33" fillId="0" borderId="0" xfId="81" applyNumberFormat="1" applyFont="1" applyAlignment="1">
      <alignment horizontal="left"/>
    </xf>
    <xf numFmtId="0" fontId="52" fillId="0" borderId="59" xfId="81" applyBorder="1"/>
    <xf numFmtId="0" fontId="54" fillId="0" borderId="0" xfId="141" applyAlignment="1" applyProtection="1"/>
    <xf numFmtId="2" fontId="52" fillId="0" borderId="0" xfId="83" applyNumberFormat="1"/>
    <xf numFmtId="0" fontId="63" fillId="0" borderId="0" xfId="302"/>
    <xf numFmtId="0" fontId="63" fillId="0" borderId="0" xfId="302" quotePrefix="1"/>
    <xf numFmtId="2" fontId="63" fillId="0" borderId="0" xfId="302" applyNumberFormat="1"/>
    <xf numFmtId="4" fontId="63" fillId="0" borderId="0" xfId="302" applyNumberFormat="1"/>
    <xf numFmtId="0" fontId="53" fillId="45" borderId="26" xfId="0" applyFon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8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2" xfId="116" applyNumberFormat="1" applyFont="1" applyFill="1" applyBorder="1" applyAlignment="1">
      <alignment horizontal="center" vertical="center" wrapText="1"/>
    </xf>
    <xf numFmtId="49" fontId="34" fillId="20" borderId="39" xfId="116" applyNumberFormat="1" applyFont="1" applyFill="1" applyBorder="1" applyAlignment="1">
      <alignment horizontal="center" vertical="center" wrapText="1"/>
    </xf>
    <xf numFmtId="49" fontId="32" fillId="20" borderId="45" xfId="116" applyNumberFormat="1" applyFont="1" applyFill="1" applyBorder="1" applyAlignment="1">
      <alignment horizontal="center" vertical="center" wrapText="1"/>
    </xf>
    <xf numFmtId="4" fontId="34" fillId="38" borderId="61" xfId="0" applyNumberFormat="1" applyFont="1" applyFill="1" applyBorder="1" applyAlignment="1">
      <alignment horizontal="center" vertical="center"/>
    </xf>
    <xf numFmtId="4" fontId="65" fillId="38" borderId="30" xfId="0" applyNumberFormat="1" applyFont="1" applyFill="1" applyBorder="1" applyAlignment="1">
      <alignment horizontal="center" vertical="center"/>
    </xf>
    <xf numFmtId="4" fontId="66" fillId="38" borderId="62" xfId="0" applyNumberFormat="1" applyFont="1" applyFill="1" applyBorder="1" applyAlignment="1">
      <alignment horizontal="center" vertical="center"/>
    </xf>
    <xf numFmtId="0" fontId="0" fillId="0" borderId="65" xfId="0" applyBorder="1"/>
    <xf numFmtId="0" fontId="0" fillId="0" borderId="0" xfId="0" applyAlignment="1">
      <alignment horizontal="center"/>
    </xf>
    <xf numFmtId="0" fontId="0" fillId="0" borderId="77" xfId="0" applyBorder="1"/>
    <xf numFmtId="172" fontId="11" fillId="20" borderId="78" xfId="0" applyNumberFormat="1" applyFont="1" applyFill="1" applyBorder="1" applyAlignment="1">
      <alignment horizontal="center"/>
    </xf>
    <xf numFmtId="0" fontId="60" fillId="0" borderId="79" xfId="0" applyFont="1" applyBorder="1"/>
    <xf numFmtId="0" fontId="60" fillId="0" borderId="74" xfId="0" applyFont="1" applyBorder="1"/>
    <xf numFmtId="0" fontId="0" fillId="0" borderId="26" xfId="0" applyBorder="1"/>
    <xf numFmtId="0" fontId="33" fillId="0" borderId="26" xfId="0" applyFont="1" applyBorder="1" applyAlignment="1">
      <alignment horizontal="center"/>
    </xf>
    <xf numFmtId="0" fontId="38" fillId="0" borderId="26" xfId="0" applyFont="1" applyBorder="1"/>
    <xf numFmtId="0" fontId="38" fillId="35" borderId="26" xfId="0" applyFont="1" applyFill="1" applyBorder="1"/>
    <xf numFmtId="0" fontId="38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7" fillId="47" borderId="0" xfId="107" applyFont="1" applyFill="1" applyAlignment="1">
      <alignment horizontal="center"/>
    </xf>
    <xf numFmtId="14" fontId="37" fillId="47" borderId="0" xfId="107" applyNumberFormat="1" applyFont="1" applyFill="1" applyAlignment="1">
      <alignment horizontal="center"/>
    </xf>
    <xf numFmtId="0" fontId="0" fillId="36" borderId="0" xfId="0" applyFill="1"/>
    <xf numFmtId="0" fontId="0" fillId="36" borderId="26" xfId="0" applyFill="1" applyBorder="1"/>
    <xf numFmtId="0" fontId="0" fillId="46" borderId="82" xfId="0" applyFill="1" applyBorder="1" applyAlignment="1">
      <alignment horizontal="center" vertical="center"/>
    </xf>
    <xf numFmtId="0" fontId="0" fillId="46" borderId="68" xfId="0" applyFill="1" applyBorder="1" applyAlignment="1">
      <alignment horizontal="center" vertical="center"/>
    </xf>
    <xf numFmtId="0" fontId="0" fillId="46" borderId="70" xfId="0" applyFill="1" applyBorder="1" applyAlignment="1">
      <alignment horizontal="center" vertical="center"/>
    </xf>
    <xf numFmtId="0" fontId="67" fillId="0" borderId="72" xfId="0" applyFont="1" applyBorder="1"/>
    <xf numFmtId="0" fontId="67" fillId="0" borderId="74" xfId="0" applyFont="1" applyBorder="1"/>
    <xf numFmtId="0" fontId="67" fillId="0" borderId="73" xfId="0" applyFont="1" applyBorder="1"/>
    <xf numFmtId="14" fontId="38" fillId="0" borderId="26" xfId="0" applyNumberFormat="1" applyFont="1" applyBorder="1" applyAlignment="1">
      <alignment horizontal="center"/>
    </xf>
    <xf numFmtId="0" fontId="0" fillId="49" borderId="76" xfId="0" applyFill="1" applyBorder="1"/>
    <xf numFmtId="0" fontId="0" fillId="49" borderId="64" xfId="0" applyFill="1" applyBorder="1"/>
    <xf numFmtId="0" fontId="0" fillId="46" borderId="69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78" xfId="82" applyNumberFormat="1" applyFont="1" applyBorder="1" applyAlignment="1">
      <alignment horizontal="center" vertical="center"/>
    </xf>
    <xf numFmtId="4" fontId="49" fillId="0" borderId="78" xfId="82" applyNumberFormat="1" applyFont="1" applyBorder="1" applyAlignment="1">
      <alignment horizontal="center" vertical="center"/>
    </xf>
    <xf numFmtId="0" fontId="53" fillId="45" borderId="26" xfId="0" applyFont="1" applyFill="1" applyBorder="1" applyAlignment="1">
      <alignment horizontal="right" vertical="center"/>
    </xf>
    <xf numFmtId="0" fontId="0" fillId="28" borderId="26" xfId="0" applyFill="1" applyBorder="1" applyAlignment="1">
      <alignment horizontal="right" vertical="center"/>
    </xf>
    <xf numFmtId="2" fontId="0" fillId="28" borderId="26" xfId="0" applyNumberFormat="1" applyFill="1" applyBorder="1" applyAlignment="1">
      <alignment horizontal="right" vertical="center"/>
    </xf>
    <xf numFmtId="0" fontId="63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8" borderId="26" xfId="0" applyNumberFormat="1" applyFill="1" applyBorder="1" applyAlignment="1">
      <alignment horizontal="right" vertical="center"/>
    </xf>
    <xf numFmtId="44" fontId="49" fillId="24" borderId="25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1" xfId="0" applyNumberFormat="1" applyBorder="1" applyAlignment="1">
      <alignment horizontal="center"/>
    </xf>
    <xf numFmtId="0" fontId="32" fillId="40" borderId="27" xfId="107" applyFont="1" applyFill="1" applyBorder="1" applyAlignment="1">
      <alignment horizontal="center" vertical="center"/>
    </xf>
    <xf numFmtId="2" fontId="34" fillId="38" borderId="90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99" xfId="400" applyFont="1" applyBorder="1" applyAlignment="1">
      <alignment horizontal="left" wrapText="1"/>
    </xf>
    <xf numFmtId="0" fontId="64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37" borderId="0" xfId="107" applyFont="1" applyFill="1" applyAlignment="1" applyProtection="1">
      <alignment horizontal="center"/>
      <protection locked="0"/>
    </xf>
    <xf numFmtId="0" fontId="32" fillId="42" borderId="100" xfId="107" applyFont="1" applyFill="1" applyBorder="1" applyAlignment="1">
      <alignment horizontal="center"/>
    </xf>
    <xf numFmtId="49" fontId="42" fillId="20" borderId="108" xfId="116" applyNumberFormat="1" applyFont="1" applyFill="1" applyBorder="1" applyAlignment="1">
      <alignment horizontal="center" vertical="center" wrapText="1"/>
    </xf>
    <xf numFmtId="49" fontId="42" fillId="20" borderId="110" xfId="116" applyNumberFormat="1" applyFont="1" applyFill="1" applyBorder="1" applyAlignment="1">
      <alignment horizontal="center" vertical="center" wrapText="1"/>
    </xf>
    <xf numFmtId="2" fontId="34" fillId="51" borderId="109" xfId="0" applyNumberFormat="1" applyFont="1" applyFill="1" applyBorder="1" applyAlignment="1" applyProtection="1">
      <alignment horizontal="center" vertical="center"/>
      <protection locked="0"/>
    </xf>
    <xf numFmtId="2" fontId="44" fillId="51" borderId="109" xfId="0" applyNumberFormat="1" applyFont="1" applyFill="1" applyBorder="1" applyAlignment="1" applyProtection="1">
      <alignment horizontal="center" vertical="center"/>
      <protection locked="0"/>
    </xf>
    <xf numFmtId="0" fontId="11" fillId="0" borderId="111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68" fillId="52" borderId="116" xfId="0" applyFont="1" applyFill="1" applyBorder="1" applyAlignment="1">
      <alignment horizontal="center" vertical="center"/>
    </xf>
    <xf numFmtId="0" fontId="68" fillId="53" borderId="116" xfId="0" applyFont="1" applyFill="1" applyBorder="1" applyAlignment="1">
      <alignment horizontal="center" vertical="center"/>
    </xf>
    <xf numFmtId="0" fontId="68" fillId="54" borderId="116" xfId="0" applyFont="1" applyFill="1" applyBorder="1" applyAlignment="1">
      <alignment horizontal="center" vertical="center"/>
    </xf>
    <xf numFmtId="0" fontId="68" fillId="55" borderId="116" xfId="0" applyFont="1" applyFill="1" applyBorder="1" applyAlignment="1">
      <alignment horizontal="center" vertical="center"/>
    </xf>
    <xf numFmtId="0" fontId="69" fillId="56" borderId="116" xfId="0" applyFont="1" applyFill="1" applyBorder="1" applyAlignment="1">
      <alignment horizontal="center" vertical="center"/>
    </xf>
    <xf numFmtId="0" fontId="0" fillId="0" borderId="0" xfId="0" quotePrefix="1"/>
    <xf numFmtId="0" fontId="53" fillId="45" borderId="33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8" borderId="0" xfId="83" applyFill="1"/>
    <xf numFmtId="14" fontId="52" fillId="28" borderId="0" xfId="83" applyNumberFormat="1" applyFill="1" applyAlignment="1">
      <alignment horizontal="right"/>
    </xf>
    <xf numFmtId="14" fontId="52" fillId="28" borderId="0" xfId="83" applyNumberFormat="1" applyFill="1"/>
    <xf numFmtId="0" fontId="0" fillId="26" borderId="26" xfId="0" applyFill="1" applyBorder="1" applyAlignment="1">
      <alignment horizontal="center" vertical="center"/>
    </xf>
    <xf numFmtId="14" fontId="0" fillId="27" borderId="119" xfId="0" applyNumberFormat="1" applyFill="1" applyBorder="1" applyAlignment="1">
      <alignment horizontal="center" vertical="center" wrapText="1"/>
    </xf>
    <xf numFmtId="14" fontId="0" fillId="27" borderId="120" xfId="0" applyNumberFormat="1" applyFill="1" applyBorder="1" applyAlignment="1">
      <alignment horizontal="center" vertical="center" wrapText="1"/>
    </xf>
    <xf numFmtId="4" fontId="65" fillId="35" borderId="115" xfId="116" applyNumberFormat="1" applyFont="1" applyFill="1" applyBorder="1" applyAlignment="1">
      <alignment horizontal="center" vertical="center" wrapText="1"/>
    </xf>
    <xf numFmtId="183" fontId="65" fillId="35" borderId="15" xfId="618" applyNumberFormat="1" applyFont="1" applyFill="1" applyBorder="1" applyAlignment="1" applyProtection="1">
      <alignment horizontal="center" vertical="center" wrapText="1"/>
    </xf>
    <xf numFmtId="180" fontId="34" fillId="35" borderId="15" xfId="0" applyNumberFormat="1" applyFont="1" applyFill="1" applyBorder="1" applyAlignment="1">
      <alignment horizontal="center" vertical="center"/>
    </xf>
    <xf numFmtId="4" fontId="65" fillId="35" borderId="15" xfId="0" applyNumberFormat="1" applyFont="1" applyFill="1" applyBorder="1" applyAlignment="1">
      <alignment horizontal="center" vertical="center"/>
    </xf>
    <xf numFmtId="14" fontId="65" fillId="35" borderId="15" xfId="0" applyNumberFormat="1" applyFont="1" applyFill="1" applyBorder="1" applyAlignment="1">
      <alignment horizontal="center" vertical="center" wrapText="1"/>
    </xf>
    <xf numFmtId="173" fontId="70" fillId="35" borderId="15" xfId="0" applyNumberFormat="1" applyFont="1" applyFill="1" applyBorder="1" applyAlignment="1">
      <alignment vertical="center" wrapText="1"/>
    </xf>
    <xf numFmtId="14" fontId="37" fillId="35" borderId="15" xfId="0" applyNumberFormat="1" applyFont="1" applyFill="1" applyBorder="1" applyAlignment="1">
      <alignment horizontal="left" vertical="center"/>
    </xf>
    <xf numFmtId="180" fontId="65" fillId="35" borderId="15" xfId="0" applyNumberFormat="1" applyFont="1" applyFill="1" applyBorder="1" applyAlignment="1">
      <alignment horizontal="center" vertical="center"/>
    </xf>
    <xf numFmtId="14" fontId="65" fillId="35" borderId="15" xfId="116" applyNumberFormat="1" applyFont="1" applyFill="1" applyBorder="1" applyAlignment="1">
      <alignment horizontal="center" vertical="center" wrapText="1"/>
    </xf>
    <xf numFmtId="4" fontId="66" fillId="35" borderId="12" xfId="116" applyNumberFormat="1" applyFont="1" applyFill="1" applyBorder="1" applyAlignment="1">
      <alignment horizontal="center" vertical="center" wrapText="1"/>
    </xf>
    <xf numFmtId="183" fontId="65" fillId="35" borderId="29" xfId="618" applyNumberFormat="1" applyFont="1" applyFill="1" applyBorder="1" applyAlignment="1" applyProtection="1">
      <alignment horizontal="center" vertical="center" wrapText="1"/>
    </xf>
    <xf numFmtId="180" fontId="65" fillId="35" borderId="29" xfId="0" applyNumberFormat="1" applyFont="1" applyFill="1" applyBorder="1" applyAlignment="1">
      <alignment horizontal="center" vertical="center"/>
    </xf>
    <xf numFmtId="4" fontId="65" fillId="35" borderId="29" xfId="0" applyNumberFormat="1" applyFont="1" applyFill="1" applyBorder="1" applyAlignment="1">
      <alignment horizontal="center" vertical="center"/>
    </xf>
    <xf numFmtId="14" fontId="66" fillId="35" borderId="29" xfId="116" applyNumberFormat="1" applyFont="1" applyFill="1" applyBorder="1" applyAlignment="1">
      <alignment horizontal="center" vertical="center" wrapText="1"/>
    </xf>
    <xf numFmtId="173" fontId="70" fillId="35" borderId="29" xfId="0" applyNumberFormat="1" applyFont="1" applyFill="1" applyBorder="1" applyAlignment="1">
      <alignment vertical="center" wrapText="1"/>
    </xf>
    <xf numFmtId="14" fontId="37" fillId="35" borderId="29" xfId="0" applyNumberFormat="1" applyFont="1" applyFill="1" applyBorder="1" applyAlignment="1">
      <alignment horizontal="left" vertical="center"/>
    </xf>
    <xf numFmtId="14" fontId="52" fillId="0" borderId="64" xfId="0" applyNumberFormat="1" applyFont="1" applyBorder="1" applyAlignment="1">
      <alignment horizontal="left" vertical="center"/>
    </xf>
    <xf numFmtId="4" fontId="65" fillId="0" borderId="117" xfId="0" applyNumberFormat="1" applyFont="1" applyBorder="1" applyAlignment="1">
      <alignment horizontal="center" vertical="center" wrapText="1"/>
    </xf>
    <xf numFmtId="184" fontId="65" fillId="0" borderId="15" xfId="0" applyNumberFormat="1" applyFont="1" applyBorder="1" applyAlignment="1">
      <alignment horizontal="center" vertical="center" wrapText="1"/>
    </xf>
    <xf numFmtId="4" fontId="65" fillId="0" borderId="15" xfId="0" applyNumberFormat="1" applyFont="1" applyBorder="1" applyAlignment="1">
      <alignment horizontal="center" vertical="center"/>
    </xf>
    <xf numFmtId="4" fontId="65" fillId="0" borderId="118" xfId="0" applyNumberFormat="1" applyFont="1" applyBorder="1" applyAlignment="1">
      <alignment horizontal="center" vertical="center"/>
    </xf>
    <xf numFmtId="14" fontId="65" fillId="0" borderId="15" xfId="0" applyNumberFormat="1" applyFont="1" applyBorder="1" applyAlignment="1">
      <alignment horizontal="center" vertical="center" wrapText="1"/>
    </xf>
    <xf numFmtId="173" fontId="65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5" fillId="0" borderId="15" xfId="0" applyNumberFormat="1" applyFont="1" applyBorder="1" applyAlignment="1">
      <alignment horizontal="center" vertical="center"/>
    </xf>
    <xf numFmtId="184" fontId="65" fillId="0" borderId="29" xfId="0" applyNumberFormat="1" applyFont="1" applyBorder="1" applyAlignment="1">
      <alignment horizontal="center" vertical="center" wrapText="1"/>
    </xf>
    <xf numFmtId="180" fontId="65" fillId="0" borderId="29" xfId="0" applyNumberFormat="1" applyFont="1" applyBorder="1" applyAlignment="1">
      <alignment horizontal="center" vertical="center"/>
    </xf>
    <xf numFmtId="4" fontId="65" fillId="0" borderId="29" xfId="0" applyNumberFormat="1" applyFont="1" applyBorder="1" applyAlignment="1">
      <alignment horizontal="center" vertical="center"/>
    </xf>
    <xf numFmtId="14" fontId="66" fillId="0" borderId="29" xfId="0" applyNumberFormat="1" applyFont="1" applyBorder="1" applyAlignment="1">
      <alignment horizontal="center" vertical="center" wrapText="1"/>
    </xf>
    <xf numFmtId="173" fontId="65" fillId="0" borderId="29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57" borderId="42" xfId="82" applyNumberFormat="1" applyFont="1" applyFill="1" applyBorder="1" applyAlignment="1">
      <alignment horizontal="center" vertical="center"/>
    </xf>
    <xf numFmtId="0" fontId="75" fillId="0" borderId="128" xfId="0" applyFont="1" applyBorder="1" applyAlignment="1" applyProtection="1">
      <alignment horizontal="center" vertical="center"/>
      <protection locked="0"/>
    </xf>
    <xf numFmtId="0" fontId="75" fillId="34" borderId="128" xfId="0" applyFont="1" applyFill="1" applyBorder="1" applyAlignment="1" applyProtection="1">
      <alignment horizontal="center" vertical="center"/>
      <protection locked="0"/>
    </xf>
    <xf numFmtId="0" fontId="76" fillId="0" borderId="130" xfId="0" applyFont="1" applyBorder="1" applyAlignment="1" applyProtection="1">
      <alignment horizontal="center"/>
      <protection locked="0"/>
    </xf>
    <xf numFmtId="0" fontId="76" fillId="34" borderId="130" xfId="0" applyFont="1" applyFill="1" applyBorder="1" applyAlignment="1" applyProtection="1">
      <alignment horizontal="center"/>
      <protection locked="0"/>
    </xf>
    <xf numFmtId="164" fontId="52" fillId="0" borderId="26" xfId="622" applyFont="1" applyFill="1" applyBorder="1" applyAlignment="1">
      <alignment horizontal="center"/>
    </xf>
    <xf numFmtId="186" fontId="52" fillId="0" borderId="26" xfId="72" applyNumberFormat="1" applyBorder="1" applyAlignment="1">
      <alignment horizontal="center"/>
    </xf>
    <xf numFmtId="4" fontId="52" fillId="0" borderId="26" xfId="81" applyNumberFormat="1" applyBorder="1"/>
    <xf numFmtId="4" fontId="52" fillId="26" borderId="26" xfId="81" applyNumberFormat="1" applyFill="1" applyBorder="1"/>
    <xf numFmtId="0" fontId="33" fillId="59" borderId="26" xfId="72" applyFont="1" applyFill="1" applyBorder="1" applyAlignment="1">
      <alignment horizontal="center" vertical="center"/>
    </xf>
    <xf numFmtId="0" fontId="34" fillId="8" borderId="132" xfId="0" applyFont="1" applyFill="1" applyBorder="1" applyAlignment="1">
      <alignment horizontal="center" vertical="center"/>
    </xf>
    <xf numFmtId="0" fontId="34" fillId="6" borderId="132" xfId="0" applyFont="1" applyFill="1" applyBorder="1" applyAlignment="1">
      <alignment horizontal="center" vertical="center"/>
    </xf>
    <xf numFmtId="4" fontId="65" fillId="0" borderId="133" xfId="0" applyNumberFormat="1" applyFont="1" applyBorder="1" applyAlignment="1">
      <alignment horizontal="center" vertical="center"/>
    </xf>
    <xf numFmtId="49" fontId="45" fillId="35" borderId="127" xfId="621" applyNumberFormat="1" applyFont="1" applyFill="1" applyBorder="1" applyAlignment="1">
      <alignment horizontal="center" vertical="center"/>
    </xf>
    <xf numFmtId="0" fontId="52" fillId="35" borderId="0" xfId="80" applyFill="1"/>
    <xf numFmtId="49" fontId="45" fillId="35" borderId="29" xfId="621" applyNumberFormat="1" applyFont="1" applyFill="1" applyBorder="1" applyAlignment="1">
      <alignment horizontal="center" vertical="center"/>
    </xf>
    <xf numFmtId="0" fontId="72" fillId="35" borderId="26" xfId="80" applyFont="1" applyFill="1" applyBorder="1" applyAlignment="1" applyProtection="1">
      <alignment horizontal="center" vertical="center"/>
      <protection hidden="1"/>
    </xf>
    <xf numFmtId="185" fontId="78" fillId="35" borderId="26" xfId="80" applyNumberFormat="1" applyFont="1" applyFill="1" applyBorder="1" applyAlignment="1" applyProtection="1">
      <alignment horizontal="center" vertical="center"/>
      <protection hidden="1"/>
    </xf>
    <xf numFmtId="0" fontId="52" fillId="35" borderId="0" xfId="80" applyFill="1" applyAlignment="1" applyProtection="1">
      <alignment vertical="center"/>
      <protection hidden="1"/>
    </xf>
    <xf numFmtId="0" fontId="33" fillId="59" borderId="122" xfId="81" applyFont="1" applyFill="1" applyBorder="1" applyAlignment="1">
      <alignment vertical="center"/>
    </xf>
    <xf numFmtId="0" fontId="33" fillId="59" borderId="126" xfId="81" applyFont="1" applyFill="1" applyBorder="1" applyAlignment="1">
      <alignment vertical="center"/>
    </xf>
    <xf numFmtId="4" fontId="34" fillId="0" borderId="134" xfId="0" applyNumberFormat="1" applyFont="1" applyBorder="1" applyAlignment="1">
      <alignment horizontal="center" vertical="center"/>
    </xf>
    <xf numFmtId="0" fontId="34" fillId="8" borderId="135" xfId="0" applyFont="1" applyFill="1" applyBorder="1" applyAlignment="1">
      <alignment horizontal="center" vertical="center"/>
    </xf>
    <xf numFmtId="0" fontId="34" fillId="14" borderId="135" xfId="0" applyFont="1" applyFill="1" applyBorder="1" applyAlignment="1">
      <alignment horizontal="center" vertical="center"/>
    </xf>
    <xf numFmtId="0" fontId="34" fillId="33" borderId="135" xfId="0" applyFont="1" applyFill="1" applyBorder="1" applyAlignment="1">
      <alignment horizontal="center" vertical="center"/>
    </xf>
    <xf numFmtId="0" fontId="44" fillId="41" borderId="135" xfId="0" applyFont="1" applyFill="1" applyBorder="1" applyAlignment="1">
      <alignment horizontal="center" vertical="center"/>
    </xf>
    <xf numFmtId="0" fontId="11" fillId="0" borderId="136" xfId="619" applyFont="1" applyBorder="1" applyAlignment="1">
      <alignment horizontal="left" wrapText="1"/>
    </xf>
    <xf numFmtId="4" fontId="68" fillId="0" borderId="137" xfId="0" applyNumberFormat="1" applyFont="1" applyBorder="1" applyAlignment="1">
      <alignment horizontal="center" vertical="center"/>
    </xf>
    <xf numFmtId="44" fontId="34" fillId="35" borderId="26" xfId="304" applyFont="1" applyFill="1" applyBorder="1" applyAlignment="1" applyProtection="1">
      <alignment horizontal="center" vertical="center"/>
      <protection hidden="1"/>
    </xf>
    <xf numFmtId="44" fontId="52" fillId="35" borderId="26" xfId="304" applyFont="1" applyFill="1" applyBorder="1" applyProtection="1">
      <protection hidden="1"/>
    </xf>
    <xf numFmtId="44" fontId="71" fillId="0" borderId="26" xfId="304" applyFont="1" applyBorder="1" applyAlignment="1" applyProtection="1">
      <alignment horizontal="center" vertical="center"/>
      <protection hidden="1"/>
    </xf>
    <xf numFmtId="44" fontId="52" fillId="35" borderId="0" xfId="304" applyFill="1" applyAlignment="1">
      <alignment horizontal="center"/>
    </xf>
    <xf numFmtId="44" fontId="52" fillId="35" borderId="0" xfId="304" applyFill="1"/>
    <xf numFmtId="0" fontId="0" fillId="35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74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83" xfId="82" applyNumberFormat="1" applyFont="1" applyFill="1" applyBorder="1" applyAlignment="1">
      <alignment horizontal="left" vertical="center"/>
    </xf>
    <xf numFmtId="14" fontId="49" fillId="24" borderId="83" xfId="82" applyNumberFormat="1" applyFont="1" applyFill="1" applyBorder="1" applyAlignment="1">
      <alignment horizontal="left" vertical="center"/>
    </xf>
    <xf numFmtId="1" fontId="49" fillId="0" borderId="83" xfId="82" applyNumberFormat="1" applyFont="1" applyBorder="1" applyAlignment="1">
      <alignment horizontal="center" vertical="center"/>
    </xf>
    <xf numFmtId="0" fontId="0" fillId="0" borderId="23" xfId="82" applyFont="1" applyBorder="1" applyAlignment="1">
      <alignment vertical="center"/>
    </xf>
    <xf numFmtId="1" fontId="49" fillId="0" borderId="120" xfId="82" applyNumberFormat="1" applyFont="1" applyBorder="1" applyAlignment="1">
      <alignment horizontal="center" vertical="center"/>
    </xf>
    <xf numFmtId="0" fontId="0" fillId="0" borderId="58" xfId="81" applyFont="1" applyBorder="1"/>
    <xf numFmtId="0" fontId="33" fillId="60" borderId="42" xfId="82" applyFont="1" applyFill="1" applyBorder="1" applyAlignment="1">
      <alignment horizontal="center" vertical="center"/>
    </xf>
    <xf numFmtId="0" fontId="33" fillId="60" borderId="46" xfId="82" applyFont="1" applyFill="1" applyBorder="1" applyAlignment="1">
      <alignment horizontal="center" vertical="center"/>
    </xf>
    <xf numFmtId="0" fontId="0" fillId="60" borderId="139" xfId="82" applyFont="1" applyFill="1" applyBorder="1" applyAlignment="1">
      <alignment horizontal="center" vertical="center" wrapText="1"/>
    </xf>
    <xf numFmtId="0" fontId="0" fillId="60" borderId="140" xfId="82" applyFont="1" applyFill="1" applyBorder="1" applyAlignment="1">
      <alignment horizontal="center" vertical="center" wrapText="1"/>
    </xf>
    <xf numFmtId="0" fontId="0" fillId="60" borderId="141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57" borderId="32" xfId="82" applyNumberFormat="1" applyFont="1" applyFill="1" applyBorder="1" applyAlignment="1">
      <alignment horizontal="center" vertical="center"/>
    </xf>
    <xf numFmtId="172" fontId="34" fillId="57" borderId="154" xfId="82" applyNumberFormat="1" applyFont="1" applyFill="1" applyBorder="1" applyAlignment="1">
      <alignment horizontal="center" vertical="center"/>
    </xf>
    <xf numFmtId="4" fontId="68" fillId="61" borderId="156" xfId="0" applyNumberFormat="1" applyFont="1" applyFill="1" applyBorder="1" applyAlignment="1">
      <alignment horizontal="left" vertical="center"/>
    </xf>
    <xf numFmtId="0" fontId="34" fillId="60" borderId="157" xfId="82" applyFont="1" applyFill="1" applyBorder="1" applyAlignment="1">
      <alignment vertical="center"/>
    </xf>
    <xf numFmtId="0" fontId="77" fillId="57" borderId="157" xfId="82" applyFont="1" applyFill="1" applyBorder="1" applyAlignment="1">
      <alignment horizontal="center" vertical="center"/>
    </xf>
    <xf numFmtId="1" fontId="37" fillId="57" borderId="157" xfId="82" applyNumberFormat="1" applyFont="1" applyFill="1" applyBorder="1" applyAlignment="1">
      <alignment horizontal="center" vertical="center"/>
    </xf>
    <xf numFmtId="1" fontId="37" fillId="24" borderId="157" xfId="82" applyNumberFormat="1" applyFont="1" applyFill="1" applyBorder="1" applyAlignment="1">
      <alignment horizontal="center" vertical="center"/>
    </xf>
    <xf numFmtId="177" fontId="34" fillId="24" borderId="157" xfId="82" applyNumberFormat="1" applyFont="1" applyFill="1" applyBorder="1" applyAlignment="1">
      <alignment horizontal="center" vertical="center"/>
    </xf>
    <xf numFmtId="0" fontId="34" fillId="24" borderId="158" xfId="82" applyFont="1" applyFill="1" applyBorder="1" applyAlignment="1">
      <alignment horizontal="center" vertical="center"/>
    </xf>
    <xf numFmtId="0" fontId="33" fillId="60" borderId="80" xfId="82" applyFont="1" applyFill="1" applyBorder="1" applyAlignment="1">
      <alignment horizontal="center" vertical="center"/>
    </xf>
    <xf numFmtId="0" fontId="33" fillId="60" borderId="159" xfId="82" applyFont="1" applyFill="1" applyBorder="1" applyAlignment="1">
      <alignment horizontal="center" vertical="center"/>
    </xf>
    <xf numFmtId="0" fontId="44" fillId="61" borderId="160" xfId="81" applyFont="1" applyFill="1" applyBorder="1" applyAlignment="1">
      <alignment horizontal="center" vertical="center"/>
    </xf>
    <xf numFmtId="0" fontId="33" fillId="60" borderId="75" xfId="82" applyFont="1" applyFill="1" applyBorder="1" applyAlignment="1">
      <alignment horizontal="center" vertical="center"/>
    </xf>
    <xf numFmtId="0" fontId="44" fillId="59" borderId="27" xfId="81" applyFont="1" applyFill="1" applyBorder="1" applyAlignment="1">
      <alignment horizontal="center"/>
    </xf>
    <xf numFmtId="0" fontId="74" fillId="58" borderId="162" xfId="81" applyFont="1" applyFill="1" applyBorder="1"/>
    <xf numFmtId="0" fontId="74" fillId="58" borderId="163" xfId="81" applyFont="1" applyFill="1" applyBorder="1"/>
    <xf numFmtId="0" fontId="74" fillId="58" borderId="164" xfId="81" applyFont="1" applyFill="1" applyBorder="1"/>
    <xf numFmtId="1" fontId="74" fillId="58" borderId="162" xfId="81" applyNumberFormat="1" applyFont="1" applyFill="1" applyBorder="1"/>
    <xf numFmtId="1" fontId="74" fillId="58" borderId="164" xfId="81" applyNumberFormat="1" applyFont="1" applyFill="1" applyBorder="1"/>
    <xf numFmtId="0" fontId="34" fillId="58" borderId="162" xfId="81" applyFont="1" applyFill="1" applyBorder="1"/>
    <xf numFmtId="0" fontId="34" fillId="58" borderId="164" xfId="81" applyFont="1" applyFill="1" applyBorder="1"/>
    <xf numFmtId="0" fontId="34" fillId="58" borderId="162" xfId="81" applyFont="1" applyFill="1" applyBorder="1" applyAlignment="1">
      <alignment horizontal="left"/>
    </xf>
    <xf numFmtId="0" fontId="34" fillId="58" borderId="164" xfId="81" applyFont="1" applyFill="1" applyBorder="1" applyAlignment="1">
      <alignment horizontal="left"/>
    </xf>
    <xf numFmtId="0" fontId="44" fillId="58" borderId="164" xfId="81" applyFont="1" applyFill="1" applyBorder="1"/>
    <xf numFmtId="0" fontId="44" fillId="58" borderId="162" xfId="81" applyFont="1" applyFill="1" applyBorder="1"/>
    <xf numFmtId="0" fontId="52" fillId="58" borderId="164" xfId="81" applyFill="1" applyBorder="1"/>
    <xf numFmtId="0" fontId="44" fillId="58" borderId="165" xfId="81" applyFont="1" applyFill="1" applyBorder="1"/>
    <xf numFmtId="0" fontId="52" fillId="24" borderId="142" xfId="82" applyFill="1" applyBorder="1" applyAlignment="1">
      <alignment horizontal="center"/>
    </xf>
    <xf numFmtId="0" fontId="0" fillId="24" borderId="143" xfId="82" applyFont="1" applyFill="1" applyBorder="1" applyAlignment="1">
      <alignment horizontal="center"/>
    </xf>
    <xf numFmtId="0" fontId="0" fillId="24" borderId="144" xfId="82" applyFont="1" applyFill="1" applyBorder="1" applyAlignment="1">
      <alignment horizontal="center"/>
    </xf>
    <xf numFmtId="0" fontId="44" fillId="60" borderId="42" xfId="82" applyFont="1" applyFill="1" applyBorder="1" applyAlignment="1">
      <alignment horizontal="center" vertical="center"/>
    </xf>
    <xf numFmtId="0" fontId="34" fillId="60" borderId="123" xfId="82" applyFont="1" applyFill="1" applyBorder="1" applyAlignment="1">
      <alignment vertical="center"/>
    </xf>
    <xf numFmtId="0" fontId="34" fillId="60" borderId="125" xfId="82" applyFont="1" applyFill="1" applyBorder="1" applyAlignment="1">
      <alignment vertical="center"/>
    </xf>
    <xf numFmtId="0" fontId="44" fillId="60" borderId="42" xfId="82" applyFont="1" applyFill="1" applyBorder="1" applyAlignment="1">
      <alignment horizontal="center"/>
    </xf>
    <xf numFmtId="0" fontId="44" fillId="61" borderId="42" xfId="82" applyFont="1" applyFill="1" applyBorder="1" applyAlignment="1">
      <alignment horizontal="center"/>
    </xf>
    <xf numFmtId="0" fontId="34" fillId="0" borderId="58" xfId="81" applyFont="1" applyBorder="1"/>
    <xf numFmtId="4" fontId="68" fillId="24" borderId="169" xfId="82" applyNumberFormat="1" applyFont="1" applyFill="1" applyBorder="1" applyAlignment="1">
      <alignment horizontal="right" vertical="center"/>
    </xf>
    <xf numFmtId="4" fontId="68" fillId="60" borderId="169" xfId="82" applyNumberFormat="1" applyFont="1" applyFill="1" applyBorder="1" applyAlignment="1">
      <alignment horizontal="right" vertical="center"/>
    </xf>
    <xf numFmtId="4" fontId="68" fillId="0" borderId="169" xfId="81" applyNumberFormat="1" applyFont="1" applyBorder="1" applyAlignment="1">
      <alignment vertical="center"/>
    </xf>
    <xf numFmtId="4" fontId="68" fillId="24" borderId="169" xfId="82" applyNumberFormat="1" applyFont="1" applyFill="1" applyBorder="1" applyAlignment="1">
      <alignment vertical="center"/>
    </xf>
    <xf numFmtId="4" fontId="69" fillId="60" borderId="169" xfId="82" applyNumberFormat="1" applyFont="1" applyFill="1" applyBorder="1" applyAlignment="1">
      <alignment vertical="center"/>
    </xf>
    <xf numFmtId="0" fontId="74" fillId="58" borderId="164" xfId="81" quotePrefix="1" applyFont="1" applyFill="1" applyBorder="1"/>
    <xf numFmtId="1" fontId="34" fillId="58" borderId="19" xfId="81" applyNumberFormat="1" applyFont="1" applyFill="1" applyBorder="1"/>
    <xf numFmtId="1" fontId="34" fillId="58" borderId="170" xfId="81" applyNumberFormat="1" applyFont="1" applyFill="1" applyBorder="1"/>
    <xf numFmtId="0" fontId="34" fillId="58" borderId="171" xfId="81" applyFont="1" applyFill="1" applyBorder="1"/>
    <xf numFmtId="1" fontId="34" fillId="58" borderId="171" xfId="81" applyNumberFormat="1" applyFont="1" applyFill="1" applyBorder="1"/>
    <xf numFmtId="1" fontId="34" fillId="58" borderId="172" xfId="81" applyNumberFormat="1" applyFont="1" applyFill="1" applyBorder="1"/>
    <xf numFmtId="0" fontId="34" fillId="58" borderId="19" xfId="81" applyFont="1" applyFill="1" applyBorder="1" applyAlignment="1">
      <alignment horizontal="left"/>
    </xf>
    <xf numFmtId="0" fontId="34" fillId="58" borderId="20" xfId="81" applyFont="1" applyFill="1" applyBorder="1" applyAlignment="1">
      <alignment horizontal="left"/>
    </xf>
    <xf numFmtId="0" fontId="52" fillId="24" borderId="172" xfId="82" applyFill="1" applyBorder="1" applyAlignment="1">
      <alignment horizontal="center"/>
    </xf>
    <xf numFmtId="1" fontId="34" fillId="58" borderId="20" xfId="81" applyNumberFormat="1" applyFont="1" applyFill="1" applyBorder="1"/>
    <xf numFmtId="0" fontId="34" fillId="58" borderId="19" xfId="81" applyFont="1" applyFill="1" applyBorder="1" applyAlignment="1">
      <alignment horizontal="center"/>
    </xf>
    <xf numFmtId="171" fontId="37" fillId="36" borderId="44" xfId="107" applyNumberFormat="1" applyFont="1" applyFill="1" applyBorder="1" applyAlignment="1">
      <alignment horizontal="center" vertical="center" wrapText="1"/>
    </xf>
    <xf numFmtId="171" fontId="37" fillId="34" borderId="44" xfId="107" applyNumberFormat="1" applyFont="1" applyFill="1" applyBorder="1" applyAlignment="1">
      <alignment horizontal="center" vertical="center" wrapText="1"/>
    </xf>
    <xf numFmtId="0" fontId="80" fillId="62" borderId="109" xfId="116" applyFont="1" applyFill="1" applyBorder="1" applyAlignment="1">
      <alignment horizontal="left"/>
    </xf>
    <xf numFmtId="0" fontId="80" fillId="0" borderId="111" xfId="116" applyFont="1" applyBorder="1" applyAlignment="1">
      <alignment horizontal="left"/>
    </xf>
    <xf numFmtId="0" fontId="81" fillId="0" borderId="111" xfId="625" applyFont="1" applyBorder="1" applyAlignment="1">
      <alignment horizontal="left"/>
    </xf>
    <xf numFmtId="0" fontId="81" fillId="0" borderId="111" xfId="116" applyFont="1" applyBorder="1" applyAlignment="1">
      <alignment horizontal="left"/>
    </xf>
    <xf numFmtId="0" fontId="52" fillId="28" borderId="0" xfId="83" applyFill="1" applyAlignment="1">
      <alignment horizontal="right"/>
    </xf>
    <xf numFmtId="183" fontId="34" fillId="0" borderId="173" xfId="618" applyNumberFormat="1" applyFont="1" applyBorder="1" applyAlignment="1" applyProtection="1">
      <alignment horizontal="center" vertical="center" wrapText="1"/>
    </xf>
    <xf numFmtId="180" fontId="34" fillId="0" borderId="173" xfId="0" applyNumberFormat="1" applyFont="1" applyBorder="1" applyAlignment="1">
      <alignment horizontal="center" vertical="center"/>
    </xf>
    <xf numFmtId="4" fontId="34" fillId="0" borderId="173" xfId="0" applyNumberFormat="1" applyFont="1" applyBorder="1" applyAlignment="1">
      <alignment horizontal="center" vertical="center"/>
    </xf>
    <xf numFmtId="14" fontId="34" fillId="0" borderId="173" xfId="116" applyNumberFormat="1" applyFont="1" applyBorder="1" applyAlignment="1">
      <alignment horizontal="center" vertical="center" wrapText="1"/>
    </xf>
    <xf numFmtId="184" fontId="68" fillId="0" borderId="173" xfId="0" applyNumberFormat="1" applyFont="1" applyBorder="1" applyAlignment="1">
      <alignment horizontal="center" vertical="center" wrapText="1"/>
    </xf>
    <xf numFmtId="180" fontId="68" fillId="0" borderId="173" xfId="0" applyNumberFormat="1" applyFont="1" applyBorder="1" applyAlignment="1">
      <alignment horizontal="center" vertical="center"/>
    </xf>
    <xf numFmtId="4" fontId="68" fillId="0" borderId="173" xfId="0" applyNumberFormat="1" applyFont="1" applyBorder="1" applyAlignment="1">
      <alignment horizontal="center" vertical="center"/>
    </xf>
    <xf numFmtId="14" fontId="68" fillId="0" borderId="173" xfId="0" applyNumberFormat="1" applyFont="1" applyBorder="1" applyAlignment="1">
      <alignment horizontal="center" vertical="center" wrapText="1"/>
    </xf>
    <xf numFmtId="173" fontId="68" fillId="0" borderId="173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64" fontId="0" fillId="0" borderId="0" xfId="627" applyFont="1" applyProtection="1"/>
    <xf numFmtId="0" fontId="1" fillId="0" borderId="76" xfId="626" applyBorder="1"/>
    <xf numFmtId="0" fontId="1" fillId="0" borderId="63" xfId="626" applyBorder="1"/>
    <xf numFmtId="164" fontId="0" fillId="0" borderId="63" xfId="627" applyFont="1" applyBorder="1" applyProtection="1"/>
    <xf numFmtId="0" fontId="1" fillId="0" borderId="64" xfId="626" applyBorder="1"/>
    <xf numFmtId="0" fontId="1" fillId="0" borderId="67" xfId="626" applyBorder="1"/>
    <xf numFmtId="0" fontId="1" fillId="0" borderId="66" xfId="626" applyBorder="1"/>
    <xf numFmtId="0" fontId="88" fillId="0" borderId="0" xfId="628" applyBorder="1" applyProtection="1"/>
    <xf numFmtId="164" fontId="0" fillId="0" borderId="0" xfId="627" applyFont="1" applyBorder="1" applyProtection="1"/>
    <xf numFmtId="0" fontId="90" fillId="0" borderId="68" xfId="626" applyFont="1" applyBorder="1" applyAlignment="1">
      <alignment vertical="center"/>
    </xf>
    <xf numFmtId="164" fontId="0" fillId="61" borderId="176" xfId="627" applyFont="1" applyFill="1" applyBorder="1" applyAlignment="1" applyProtection="1">
      <alignment vertical="center"/>
      <protection locked="0"/>
    </xf>
    <xf numFmtId="164" fontId="0" fillId="0" borderId="0" xfId="627" applyFont="1" applyFill="1" applyBorder="1" applyAlignment="1" applyProtection="1">
      <alignment vertical="center"/>
    </xf>
    <xf numFmtId="0" fontId="90" fillId="0" borderId="72" xfId="626" applyFont="1" applyBorder="1" applyAlignment="1">
      <alignment vertical="center"/>
    </xf>
    <xf numFmtId="164" fontId="0" fillId="61" borderId="177" xfId="627" applyFont="1" applyFill="1" applyBorder="1" applyAlignment="1" applyProtection="1">
      <alignment vertical="center"/>
      <protection locked="0"/>
    </xf>
    <xf numFmtId="0" fontId="91" fillId="0" borderId="174" xfId="626" applyFont="1" applyBorder="1" applyAlignment="1">
      <alignment vertical="center"/>
    </xf>
    <xf numFmtId="164" fontId="0" fillId="0" borderId="178" xfId="627" applyFont="1" applyBorder="1" applyAlignment="1" applyProtection="1">
      <alignment vertical="center"/>
    </xf>
    <xf numFmtId="0" fontId="91" fillId="0" borderId="63" xfId="626" applyFont="1" applyBorder="1" applyAlignment="1">
      <alignment vertical="center"/>
    </xf>
    <xf numFmtId="164" fontId="0" fillId="0" borderId="0" xfId="627" applyFont="1" applyBorder="1" applyAlignment="1" applyProtection="1">
      <alignment vertical="center"/>
    </xf>
    <xf numFmtId="0" fontId="90" fillId="0" borderId="69" xfId="626" applyFont="1" applyBorder="1" applyAlignment="1">
      <alignment horizontal="left" wrapText="1"/>
    </xf>
    <xf numFmtId="164" fontId="0" fillId="61" borderId="181" xfId="627" applyFont="1" applyFill="1" applyBorder="1" applyAlignment="1" applyProtection="1">
      <alignment vertical="center"/>
      <protection locked="0"/>
    </xf>
    <xf numFmtId="0" fontId="84" fillId="0" borderId="0" xfId="626" applyFont="1"/>
    <xf numFmtId="0" fontId="84" fillId="0" borderId="66" xfId="626" applyFont="1" applyBorder="1"/>
    <xf numFmtId="0" fontId="82" fillId="0" borderId="68" xfId="626" applyFont="1" applyBorder="1" applyAlignment="1">
      <alignment horizontal="center" vertical="center"/>
    </xf>
    <xf numFmtId="0" fontId="82" fillId="0" borderId="182" xfId="626" applyFont="1" applyBorder="1" applyAlignment="1">
      <alignment horizontal="center" vertical="center"/>
    </xf>
    <xf numFmtId="0" fontId="84" fillId="46" borderId="174" xfId="626" applyFont="1" applyFill="1" applyBorder="1" applyAlignment="1">
      <alignment horizontal="left" vertical="center"/>
    </xf>
    <xf numFmtId="164" fontId="0" fillId="61" borderId="174" xfId="627" applyFont="1" applyFill="1" applyBorder="1" applyAlignment="1" applyProtection="1">
      <alignment vertical="center"/>
      <protection locked="0"/>
    </xf>
    <xf numFmtId="187" fontId="0" fillId="61" borderId="174" xfId="627" applyNumberFormat="1" applyFont="1" applyFill="1" applyBorder="1" applyAlignment="1" applyProtection="1">
      <alignment vertical="center"/>
      <protection locked="0"/>
    </xf>
    <xf numFmtId="0" fontId="93" fillId="0" borderId="66" xfId="626" applyFont="1" applyBorder="1" applyAlignment="1">
      <alignment vertical="center" wrapText="1"/>
    </xf>
    <xf numFmtId="164" fontId="0" fillId="0" borderId="174" xfId="627" applyFont="1" applyBorder="1" applyAlignment="1" applyProtection="1">
      <alignment vertical="center"/>
    </xf>
    <xf numFmtId="0" fontId="94" fillId="0" borderId="72" xfId="626" applyFont="1" applyBorder="1" applyAlignment="1">
      <alignment horizontal="left" vertical="center" wrapText="1"/>
    </xf>
    <xf numFmtId="164" fontId="93" fillId="0" borderId="0" xfId="627" applyFont="1" applyBorder="1" applyAlignment="1" applyProtection="1">
      <alignment horizontal="left" vertical="center" wrapText="1"/>
    </xf>
    <xf numFmtId="0" fontId="93" fillId="0" borderId="0" xfId="626" applyFont="1" applyAlignment="1">
      <alignment horizontal="left" vertical="center" wrapText="1"/>
    </xf>
    <xf numFmtId="0" fontId="93" fillId="0" borderId="66" xfId="626" applyFont="1" applyBorder="1" applyAlignment="1">
      <alignment horizontal="left" vertical="center" wrapText="1"/>
    </xf>
    <xf numFmtId="0" fontId="95" fillId="0" borderId="76" xfId="626" applyFont="1" applyBorder="1" applyAlignment="1">
      <alignment horizontal="left" vertical="center" wrapText="1"/>
    </xf>
    <xf numFmtId="164" fontId="0" fillId="0" borderId="0" xfId="627" applyFont="1" applyFill="1" applyBorder="1" applyAlignment="1" applyProtection="1">
      <alignment vertical="center"/>
      <protection locked="0"/>
    </xf>
    <xf numFmtId="0" fontId="91" fillId="46" borderId="72" xfId="626" applyFont="1" applyFill="1" applyBorder="1" applyAlignment="1">
      <alignment vertical="center"/>
    </xf>
    <xf numFmtId="0" fontId="1" fillId="0" borderId="174" xfId="626" applyBorder="1" applyAlignment="1">
      <alignment vertical="center"/>
    </xf>
    <xf numFmtId="164" fontId="84" fillId="0" borderId="174" xfId="627" applyFont="1" applyBorder="1" applyAlignment="1" applyProtection="1">
      <alignment vertical="center"/>
    </xf>
    <xf numFmtId="0" fontId="84" fillId="0" borderId="174" xfId="626" applyFont="1" applyBorder="1" applyAlignment="1">
      <alignment vertical="center"/>
    </xf>
    <xf numFmtId="164" fontId="84" fillId="0" borderId="183" xfId="627" applyFont="1" applyBorder="1" applyAlignment="1" applyProtection="1">
      <alignment vertical="center"/>
    </xf>
    <xf numFmtId="0" fontId="84" fillId="26" borderId="72" xfId="626" applyFont="1" applyFill="1" applyBorder="1" applyAlignment="1">
      <alignment vertical="center"/>
    </xf>
    <xf numFmtId="164" fontId="84" fillId="42" borderId="184" xfId="627" applyFont="1" applyFill="1" applyBorder="1" applyAlignment="1" applyProtection="1">
      <alignment vertical="center"/>
    </xf>
    <xf numFmtId="164" fontId="1" fillId="0" borderId="0" xfId="626" applyNumberFormat="1"/>
    <xf numFmtId="0" fontId="1" fillId="0" borderId="68" xfId="626" applyBorder="1"/>
    <xf numFmtId="0" fontId="1" fillId="0" borderId="69" xfId="626" applyBorder="1"/>
    <xf numFmtId="164" fontId="0" fillId="0" borderId="69" xfId="627" applyFont="1" applyBorder="1" applyProtection="1"/>
    <xf numFmtId="0" fontId="1" fillId="0" borderId="70" xfId="626" applyBorder="1"/>
    <xf numFmtId="0" fontId="84" fillId="0" borderId="63" xfId="626" applyFont="1" applyBorder="1" applyAlignment="1">
      <alignment wrapText="1"/>
    </xf>
    <xf numFmtId="0" fontId="1" fillId="0" borderId="63" xfId="626" applyBorder="1" applyAlignment="1">
      <alignment wrapText="1"/>
    </xf>
    <xf numFmtId="0" fontId="1" fillId="0" borderId="64" xfId="626" applyBorder="1" applyAlignment="1">
      <alignment wrapText="1"/>
    </xf>
    <xf numFmtId="0" fontId="84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66" xfId="626" applyBorder="1" applyAlignment="1">
      <alignment wrapText="1"/>
    </xf>
    <xf numFmtId="0" fontId="1" fillId="0" borderId="66" xfId="626" applyBorder="1" applyAlignment="1">
      <alignment vertical="center" wrapText="1"/>
    </xf>
    <xf numFmtId="0" fontId="1" fillId="0" borderId="67" xfId="626" applyBorder="1" applyAlignment="1">
      <alignment horizontal="left" wrapText="1"/>
    </xf>
    <xf numFmtId="0" fontId="1" fillId="0" borderId="66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6" fillId="0" borderId="26" xfId="626" applyFont="1" applyBorder="1" applyAlignment="1">
      <alignment horizontal="center" vertical="center" wrapText="1"/>
    </xf>
    <xf numFmtId="0" fontId="96" fillId="0" borderId="66" xfId="626" applyFont="1" applyBorder="1" applyAlignment="1">
      <alignment vertical="center" wrapText="1"/>
    </xf>
    <xf numFmtId="0" fontId="84" fillId="0" borderId="26" xfId="626" applyFont="1" applyBorder="1" applyAlignment="1">
      <alignment horizontal="center" vertical="center"/>
    </xf>
    <xf numFmtId="164" fontId="0" fillId="0" borderId="26" xfId="627" applyFont="1" applyBorder="1" applyAlignment="1">
      <alignment horizontal="right" vertical="center"/>
    </xf>
    <xf numFmtId="0" fontId="85" fillId="0" borderId="66" xfId="626" applyFont="1" applyBorder="1" applyAlignment="1">
      <alignment vertical="center" wrapText="1"/>
    </xf>
    <xf numFmtId="164" fontId="0" fillId="0" borderId="0" xfId="627" applyFont="1" applyBorder="1" applyAlignment="1">
      <alignment horizontal="left" vertical="center"/>
    </xf>
    <xf numFmtId="164" fontId="0" fillId="0" borderId="0" xfId="627" applyFont="1" applyFill="1" applyBorder="1" applyAlignment="1">
      <alignment horizontal="center" vertical="center"/>
    </xf>
    <xf numFmtId="164" fontId="0" fillId="0" borderId="0" xfId="627" applyFont="1" applyFill="1" applyBorder="1" applyProtection="1"/>
    <xf numFmtId="164" fontId="97" fillId="0" borderId="0" xfId="627" applyFont="1" applyBorder="1" applyAlignment="1">
      <alignment horizontal="left" vertical="center"/>
    </xf>
    <xf numFmtId="164" fontId="0" fillId="0" borderId="0" xfId="627" applyFont="1" applyBorder="1" applyAlignment="1">
      <alignment horizontal="right" vertical="center"/>
    </xf>
    <xf numFmtId="0" fontId="85" fillId="0" borderId="0" xfId="626" applyFont="1" applyAlignment="1">
      <alignment horizontal="center" vertical="center" wrapText="1"/>
    </xf>
    <xf numFmtId="0" fontId="98" fillId="67" borderId="185" xfId="626" applyFont="1" applyFill="1" applyBorder="1" applyAlignment="1">
      <alignment horizontal="center" vertical="center" wrapText="1"/>
    </xf>
    <xf numFmtId="0" fontId="99" fillId="68" borderId="185" xfId="626" applyFont="1" applyFill="1" applyBorder="1" applyAlignment="1">
      <alignment vertical="center" wrapText="1"/>
    </xf>
    <xf numFmtId="0" fontId="99" fillId="68" borderId="185" xfId="626" applyFont="1" applyFill="1" applyBorder="1" applyAlignment="1">
      <alignment horizontal="center" vertical="center" wrapText="1"/>
    </xf>
    <xf numFmtId="0" fontId="99" fillId="0" borderId="185" xfId="626" applyFont="1" applyBorder="1" applyAlignment="1">
      <alignment vertical="center" wrapText="1"/>
    </xf>
    <xf numFmtId="0" fontId="99" fillId="0" borderId="185" xfId="626" applyFont="1" applyBorder="1" applyAlignment="1">
      <alignment horizontal="center" vertical="center" wrapText="1"/>
    </xf>
    <xf numFmtId="164" fontId="0" fillId="0" borderId="69" xfId="627" applyFont="1" applyBorder="1" applyAlignment="1">
      <alignment horizontal="right" vertical="center"/>
    </xf>
    <xf numFmtId="0" fontId="85" fillId="0" borderId="69" xfId="626" applyFont="1" applyBorder="1" applyAlignment="1">
      <alignment horizontal="center" vertical="center" wrapText="1"/>
    </xf>
    <xf numFmtId="0" fontId="85" fillId="0" borderId="70" xfId="626" applyFont="1" applyBorder="1" applyAlignment="1">
      <alignment vertical="center" wrapText="1"/>
    </xf>
    <xf numFmtId="188" fontId="1" fillId="0" borderId="26" xfId="626" applyNumberFormat="1" applyBorder="1" applyAlignment="1">
      <alignment horizontal="center"/>
    </xf>
    <xf numFmtId="188" fontId="1" fillId="0" borderId="0" xfId="626" applyNumberFormat="1"/>
    <xf numFmtId="9" fontId="1" fillId="0" borderId="0" xfId="626" applyNumberFormat="1"/>
    <xf numFmtId="0" fontId="84" fillId="61" borderId="26" xfId="626" applyFont="1" applyFill="1" applyBorder="1"/>
    <xf numFmtId="188" fontId="1" fillId="0" borderId="26" xfId="626" applyNumberFormat="1" applyBorder="1"/>
    <xf numFmtId="10" fontId="0" fillId="0" borderId="26" xfId="629" applyNumberFormat="1" applyFont="1" applyBorder="1"/>
    <xf numFmtId="188" fontId="1" fillId="69" borderId="26" xfId="626" applyNumberFormat="1" applyFill="1" applyBorder="1"/>
    <xf numFmtId="189" fontId="0" fillId="69" borderId="26" xfId="629" applyNumberFormat="1" applyFont="1" applyFill="1" applyBorder="1"/>
    <xf numFmtId="0" fontId="1" fillId="0" borderId="0" xfId="626" applyAlignment="1">
      <alignment horizontal="left"/>
    </xf>
    <xf numFmtId="0" fontId="1" fillId="61" borderId="26" xfId="626" applyFill="1" applyBorder="1"/>
    <xf numFmtId="0" fontId="1" fillId="0" borderId="26" xfId="626" applyBorder="1"/>
    <xf numFmtId="164" fontId="1" fillId="0" borderId="26" xfId="626" applyNumberFormat="1" applyBorder="1"/>
    <xf numFmtId="10" fontId="0" fillId="0" borderId="26" xfId="629" applyNumberFormat="1" applyFont="1" applyFill="1" applyBorder="1"/>
    <xf numFmtId="164" fontId="0" fillId="0" borderId="26" xfId="627" applyFont="1" applyFill="1" applyBorder="1"/>
    <xf numFmtId="191" fontId="1" fillId="0" borderId="0" xfId="626" applyNumberFormat="1"/>
    <xf numFmtId="192" fontId="1" fillId="0" borderId="173" xfId="626" applyNumberFormat="1" applyBorder="1" applyAlignment="1">
      <alignment horizontal="center"/>
    </xf>
    <xf numFmtId="188" fontId="89" fillId="36" borderId="177" xfId="626" applyNumberFormat="1" applyFont="1" applyFill="1" applyBorder="1"/>
    <xf numFmtId="164" fontId="84" fillId="36" borderId="187" xfId="627" applyFont="1" applyFill="1" applyBorder="1"/>
    <xf numFmtId="0" fontId="84" fillId="0" borderId="0" xfId="626" applyFont="1" applyAlignment="1">
      <alignment horizontal="center"/>
    </xf>
    <xf numFmtId="164" fontId="84" fillId="36" borderId="73" xfId="627" applyFont="1" applyFill="1" applyBorder="1" applyAlignment="1">
      <alignment horizontal="center" vertical="center"/>
    </xf>
    <xf numFmtId="188" fontId="84" fillId="70" borderId="26" xfId="626" applyNumberFormat="1" applyFont="1" applyFill="1" applyBorder="1" applyAlignment="1">
      <alignment horizontal="center"/>
    </xf>
    <xf numFmtId="0" fontId="89" fillId="0" borderId="0" xfId="626" applyFont="1" applyAlignment="1">
      <alignment horizontal="center" vertical="center"/>
    </xf>
    <xf numFmtId="0" fontId="84" fillId="0" borderId="26" xfId="626" applyFont="1" applyBorder="1" applyAlignment="1">
      <alignment vertical="center" wrapText="1"/>
    </xf>
    <xf numFmtId="164" fontId="0" fillId="0" borderId="26" xfId="627" applyFont="1" applyBorder="1" applyAlignment="1">
      <alignment vertical="center"/>
    </xf>
    <xf numFmtId="0" fontId="1" fillId="0" borderId="26" xfId="626" applyBorder="1" applyAlignment="1">
      <alignment vertical="center"/>
    </xf>
    <xf numFmtId="0" fontId="101" fillId="0" borderId="26" xfId="626" applyFont="1" applyBorder="1" applyAlignment="1">
      <alignment vertical="center" wrapText="1"/>
    </xf>
    <xf numFmtId="0" fontId="84" fillId="0" borderId="26" xfId="626" applyFont="1" applyBorder="1" applyAlignment="1">
      <alignment vertical="center"/>
    </xf>
    <xf numFmtId="0" fontId="84" fillId="0" borderId="26" xfId="626" applyFont="1" applyBorder="1" applyAlignment="1">
      <alignment horizontal="center" vertical="center" wrapText="1"/>
    </xf>
    <xf numFmtId="164" fontId="84" fillId="26" borderId="26" xfId="626" applyNumberFormat="1" applyFont="1" applyFill="1" applyBorder="1"/>
    <xf numFmtId="0" fontId="84" fillId="0" borderId="26" xfId="626" applyFont="1" applyBorder="1" applyAlignment="1">
      <alignment horizontal="left" vertical="center" wrapText="1"/>
    </xf>
    <xf numFmtId="164" fontId="0" fillId="0" borderId="26" xfId="627" applyFont="1" applyBorder="1"/>
    <xf numFmtId="164" fontId="1" fillId="0" borderId="173" xfId="626" applyNumberFormat="1" applyBorder="1"/>
    <xf numFmtId="0" fontId="84" fillId="69" borderId="172" xfId="626" applyFont="1" applyFill="1" applyBorder="1" applyAlignment="1">
      <alignment horizontal="left" vertical="center" wrapText="1"/>
    </xf>
    <xf numFmtId="164" fontId="1" fillId="69" borderId="26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88" fillId="0" borderId="0" xfId="628"/>
    <xf numFmtId="0" fontId="84" fillId="0" borderId="26" xfId="626" applyFont="1" applyBorder="1" applyAlignment="1">
      <alignment horizontal="center"/>
    </xf>
    <xf numFmtId="164" fontId="85" fillId="0" borderId="26" xfId="627" applyFont="1" applyBorder="1" applyAlignment="1">
      <alignment vertical="center" wrapText="1"/>
    </xf>
    <xf numFmtId="188" fontId="83" fillId="0" borderId="0" xfId="626" applyNumberFormat="1" applyFont="1"/>
    <xf numFmtId="193" fontId="1" fillId="0" borderId="26" xfId="626" applyNumberFormat="1" applyBorder="1" applyAlignment="1">
      <alignment horizontal="center"/>
    </xf>
    <xf numFmtId="188" fontId="89" fillId="36" borderId="26" xfId="626" applyNumberFormat="1" applyFont="1" applyFill="1" applyBorder="1"/>
    <xf numFmtId="164" fontId="84" fillId="36" borderId="73" xfId="627" applyFont="1" applyFill="1" applyBorder="1" applyAlignment="1">
      <alignment horizontal="center"/>
    </xf>
    <xf numFmtId="0" fontId="84" fillId="0" borderId="0" xfId="626" applyFont="1" applyAlignment="1">
      <alignment horizontal="left" wrapText="1"/>
    </xf>
    <xf numFmtId="164" fontId="1" fillId="26" borderId="26" xfId="626" applyNumberFormat="1" applyFill="1" applyBorder="1"/>
    <xf numFmtId="0" fontId="37" fillId="60" borderId="140" xfId="82" applyFont="1" applyFill="1" applyBorder="1" applyAlignment="1">
      <alignment horizontal="center" vertical="center" wrapText="1"/>
    </xf>
    <xf numFmtId="2" fontId="44" fillId="51" borderId="0" xfId="0" applyNumberFormat="1" applyFont="1" applyFill="1" applyAlignment="1" applyProtection="1">
      <alignment horizontal="center" vertical="center"/>
      <protection locked="0"/>
    </xf>
    <xf numFmtId="4" fontId="66" fillId="38" borderId="0" xfId="0" applyNumberFormat="1" applyFont="1" applyFill="1" applyAlignment="1">
      <alignment horizontal="center" vertical="center"/>
    </xf>
    <xf numFmtId="2" fontId="34" fillId="38" borderId="0" xfId="0" applyNumberFormat="1" applyFont="1" applyFill="1" applyAlignment="1" applyProtection="1">
      <alignment horizontal="center" vertical="center"/>
      <protection locked="0"/>
    </xf>
    <xf numFmtId="4" fontId="65" fillId="0" borderId="188" xfId="0" applyNumberFormat="1" applyFont="1" applyBorder="1" applyAlignment="1">
      <alignment horizontal="center" vertical="center" wrapText="1"/>
    </xf>
    <xf numFmtId="14" fontId="52" fillId="0" borderId="189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0" fontId="33" fillId="60" borderId="145" xfId="82" applyFont="1" applyFill="1" applyBorder="1" applyAlignment="1">
      <alignment horizontal="center"/>
    </xf>
    <xf numFmtId="0" fontId="33" fillId="60" borderId="146" xfId="82" applyFont="1" applyFill="1" applyBorder="1" applyAlignment="1">
      <alignment horizontal="center"/>
    </xf>
    <xf numFmtId="0" fontId="33" fillId="60" borderId="161" xfId="82" applyFont="1" applyFill="1" applyBorder="1" applyAlignment="1">
      <alignment horizontal="center"/>
    </xf>
    <xf numFmtId="0" fontId="33" fillId="60" borderId="147" xfId="82" applyFont="1" applyFill="1" applyBorder="1" applyAlignment="1">
      <alignment horizontal="center"/>
    </xf>
    <xf numFmtId="0" fontId="33" fillId="60" borderId="148" xfId="82" applyFont="1" applyFill="1" applyBorder="1" applyAlignment="1">
      <alignment horizontal="center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4" xfId="81" applyFont="1" applyBorder="1" applyAlignment="1">
      <alignment horizontal="left" vertical="center" wrapText="1"/>
    </xf>
    <xf numFmtId="16" fontId="44" fillId="60" borderId="150" xfId="82" applyNumberFormat="1" applyFont="1" applyFill="1" applyBorder="1" applyAlignment="1">
      <alignment horizontal="center" vertical="center"/>
    </xf>
    <xf numFmtId="0" fontId="51" fillId="35" borderId="109" xfId="82" applyFont="1" applyFill="1" applyBorder="1" applyAlignment="1">
      <alignment horizontal="left" vertical="center" wrapText="1"/>
    </xf>
    <xf numFmtId="0" fontId="51" fillId="35" borderId="149" xfId="82" applyFont="1" applyFill="1" applyBorder="1" applyAlignment="1">
      <alignment horizontal="left" vertical="center" wrapText="1"/>
    </xf>
    <xf numFmtId="16" fontId="44" fillId="60" borderId="167" xfId="82" applyNumberFormat="1" applyFont="1" applyFill="1" applyBorder="1" applyAlignment="1">
      <alignment horizontal="center" vertical="center"/>
    </xf>
    <xf numFmtId="0" fontId="51" fillId="35" borderId="138" xfId="82" applyFont="1" applyFill="1" applyBorder="1" applyAlignment="1">
      <alignment horizontal="left" vertical="center" wrapText="1"/>
    </xf>
    <xf numFmtId="0" fontId="51" fillId="35" borderId="152" xfId="82" applyFont="1" applyFill="1" applyBorder="1" applyAlignment="1">
      <alignment horizontal="left" vertical="center" wrapText="1"/>
    </xf>
    <xf numFmtId="0" fontId="51" fillId="35" borderId="166" xfId="82" applyFont="1" applyFill="1" applyBorder="1" applyAlignment="1">
      <alignment horizontal="left" vertical="center" wrapText="1"/>
    </xf>
    <xf numFmtId="0" fontId="51" fillId="35" borderId="168" xfId="82" applyFont="1" applyFill="1" applyBorder="1" applyAlignment="1">
      <alignment horizontal="left" vertical="center" wrapText="1"/>
    </xf>
    <xf numFmtId="0" fontId="51" fillId="35" borderId="69" xfId="82" applyFont="1" applyFill="1" applyBorder="1" applyAlignment="1">
      <alignment horizontal="left" vertical="center" wrapText="1"/>
    </xf>
    <xf numFmtId="0" fontId="51" fillId="35" borderId="70" xfId="82" applyFont="1" applyFill="1" applyBorder="1" applyAlignment="1">
      <alignment horizontal="left" vertical="center" wrapText="1"/>
    </xf>
    <xf numFmtId="0" fontId="0" fillId="24" borderId="0" xfId="82" applyFont="1" applyFill="1" applyAlignment="1">
      <alignment horizontal="left"/>
    </xf>
    <xf numFmtId="0" fontId="43" fillId="61" borderId="17" xfId="81" applyFont="1" applyFill="1" applyBorder="1" applyAlignment="1">
      <alignment horizontal="center" vertical="center"/>
    </xf>
    <xf numFmtId="0" fontId="43" fillId="61" borderId="18" xfId="81" applyFont="1" applyFill="1" applyBorder="1" applyAlignment="1">
      <alignment horizontal="center" vertical="center"/>
    </xf>
    <xf numFmtId="0" fontId="43" fillId="61" borderId="19" xfId="81" applyFont="1" applyFill="1" applyBorder="1" applyAlignment="1">
      <alignment horizontal="center" vertical="center"/>
    </xf>
    <xf numFmtId="0" fontId="43" fillId="61" borderId="20" xfId="81" applyFont="1" applyFill="1" applyBorder="1" applyAlignment="1">
      <alignment horizontal="center" vertical="center"/>
    </xf>
    <xf numFmtId="0" fontId="33" fillId="61" borderId="59" xfId="81" applyFont="1" applyFill="1" applyBorder="1" applyAlignment="1">
      <alignment horizontal="center"/>
    </xf>
    <xf numFmtId="0" fontId="33" fillId="61" borderId="18" xfId="81" applyFont="1" applyFill="1" applyBorder="1" applyAlignment="1">
      <alignment horizontal="center"/>
    </xf>
    <xf numFmtId="0" fontId="33" fillId="61" borderId="21" xfId="81" applyFont="1" applyFill="1" applyBorder="1" applyAlignment="1">
      <alignment horizontal="center"/>
    </xf>
    <xf numFmtId="0" fontId="43" fillId="61" borderId="38" xfId="81" applyFont="1" applyFill="1" applyBorder="1" applyAlignment="1">
      <alignment horizontal="center" vertical="center"/>
    </xf>
    <xf numFmtId="0" fontId="43" fillId="61" borderId="60" xfId="81" applyFont="1" applyFill="1" applyBorder="1" applyAlignment="1">
      <alignment horizontal="center" vertical="center"/>
    </xf>
    <xf numFmtId="0" fontId="43" fillId="61" borderId="5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4" xfId="81" applyFont="1" applyBorder="1" applyAlignment="1">
      <alignment horizontal="left" wrapText="1"/>
    </xf>
    <xf numFmtId="0" fontId="33" fillId="60" borderId="31" xfId="82" applyFont="1" applyFill="1" applyBorder="1" applyAlignment="1">
      <alignment horizontal="center"/>
    </xf>
    <xf numFmtId="0" fontId="33" fillId="60" borderId="149" xfId="82" applyFont="1" applyFill="1" applyBorder="1" applyAlignment="1">
      <alignment horizontal="center"/>
    </xf>
    <xf numFmtId="0" fontId="33" fillId="24" borderId="151" xfId="82" applyFont="1" applyFill="1" applyBorder="1" applyAlignment="1">
      <alignment horizontal="center" vertical="center" wrapText="1"/>
    </xf>
    <xf numFmtId="0" fontId="33" fillId="24" borderId="152" xfId="82" applyFont="1" applyFill="1" applyBorder="1" applyAlignment="1">
      <alignment horizontal="center" vertical="center" wrapText="1"/>
    </xf>
    <xf numFmtId="0" fontId="33" fillId="24" borderId="153" xfId="82" applyFont="1" applyFill="1" applyBorder="1" applyAlignment="1">
      <alignment horizontal="center" vertical="center" wrapText="1"/>
    </xf>
    <xf numFmtId="0" fontId="33" fillId="24" borderId="67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68" xfId="82" applyFont="1" applyFill="1" applyBorder="1" applyAlignment="1">
      <alignment horizontal="center" vertical="center" wrapText="1"/>
    </xf>
    <xf numFmtId="0" fontId="33" fillId="24" borderId="69" xfId="82" applyFont="1" applyFill="1" applyBorder="1" applyAlignment="1">
      <alignment horizontal="center" vertical="center" wrapText="1"/>
    </xf>
    <xf numFmtId="0" fontId="33" fillId="24" borderId="71" xfId="82" applyFont="1" applyFill="1" applyBorder="1" applyAlignment="1">
      <alignment horizontal="center" vertical="center" wrapText="1"/>
    </xf>
    <xf numFmtId="0" fontId="34" fillId="35" borderId="32" xfId="82" applyFont="1" applyFill="1" applyBorder="1" applyAlignment="1">
      <alignment horizontal="center" vertical="center"/>
    </xf>
    <xf numFmtId="0" fontId="33" fillId="60" borderId="79" xfId="82" applyFont="1" applyFill="1" applyBorder="1" applyAlignment="1">
      <alignment horizontal="center"/>
    </xf>
    <xf numFmtId="0" fontId="33" fillId="60" borderId="80" xfId="82" applyFont="1" applyFill="1" applyBorder="1" applyAlignment="1">
      <alignment horizontal="center"/>
    </xf>
    <xf numFmtId="0" fontId="33" fillId="60" borderId="75" xfId="82" applyFont="1" applyFill="1" applyBorder="1" applyAlignment="1">
      <alignment horizontal="center"/>
    </xf>
    <xf numFmtId="176" fontId="34" fillId="35" borderId="155" xfId="82" applyNumberFormat="1" applyFont="1" applyFill="1" applyBorder="1" applyAlignment="1">
      <alignment horizontal="center" vertical="center"/>
    </xf>
    <xf numFmtId="14" fontId="34" fillId="57" borderId="155" xfId="82" applyNumberFormat="1" applyFont="1" applyFill="1" applyBorder="1" applyAlignment="1">
      <alignment horizontal="center" vertical="center"/>
    </xf>
    <xf numFmtId="14" fontId="34" fillId="57" borderId="82" xfId="82" applyNumberFormat="1" applyFont="1" applyFill="1" applyBorder="1" applyAlignment="1">
      <alignment horizontal="center" vertical="center"/>
    </xf>
    <xf numFmtId="0" fontId="33" fillId="60" borderId="79" xfId="82" applyFont="1" applyFill="1" applyBorder="1" applyAlignment="1">
      <alignment horizontal="center" vertical="center"/>
    </xf>
    <xf numFmtId="0" fontId="33" fillId="60" borderId="80" xfId="82" applyFont="1" applyFill="1" applyBorder="1" applyAlignment="1">
      <alignment horizontal="center" vertical="center"/>
    </xf>
    <xf numFmtId="1" fontId="37" fillId="57" borderId="157" xfId="82" applyNumberFormat="1" applyFont="1" applyFill="1" applyBorder="1" applyAlignment="1">
      <alignment horizontal="center" vertical="center"/>
    </xf>
    <xf numFmtId="0" fontId="33" fillId="24" borderId="150" xfId="82" applyFont="1" applyFill="1" applyBorder="1" applyAlignment="1">
      <alignment horizontal="left" vertical="center"/>
    </xf>
    <xf numFmtId="0" fontId="33" fillId="24" borderId="31" xfId="82" applyFont="1" applyFill="1" applyBorder="1" applyAlignment="1">
      <alignment horizontal="left" vertical="center"/>
    </xf>
    <xf numFmtId="0" fontId="43" fillId="24" borderId="0" xfId="82" applyFont="1" applyFill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8" borderId="11" xfId="0" applyFont="1" applyFill="1" applyBorder="1" applyAlignment="1">
      <alignment horizontal="left" vertical="center"/>
    </xf>
    <xf numFmtId="0" fontId="49" fillId="20" borderId="9" xfId="0" applyFont="1" applyFill="1" applyBorder="1" applyAlignment="1">
      <alignment horizontal="center" vertical="center"/>
    </xf>
    <xf numFmtId="14" fontId="35" fillId="26" borderId="26" xfId="107" applyNumberFormat="1" applyFont="1" applyFill="1" applyBorder="1" applyAlignment="1" applyProtection="1">
      <alignment horizontal="center" vertical="center"/>
      <protection locked="0"/>
    </xf>
    <xf numFmtId="14" fontId="35" fillId="38" borderId="26" xfId="107" applyNumberFormat="1" applyFont="1" applyFill="1" applyBorder="1" applyAlignment="1" applyProtection="1">
      <alignment horizontal="center" vertical="center"/>
      <protection locked="0"/>
    </xf>
    <xf numFmtId="14" fontId="35" fillId="38" borderId="38" xfId="107" applyNumberFormat="1" applyFont="1" applyFill="1" applyBorder="1" applyAlignment="1" applyProtection="1">
      <alignment horizontal="center" vertical="center"/>
      <protection locked="0"/>
    </xf>
    <xf numFmtId="14" fontId="35" fillId="38" borderId="50" xfId="107" applyNumberFormat="1" applyFont="1" applyFill="1" applyBorder="1" applyAlignment="1" applyProtection="1">
      <alignment horizontal="center" vertical="center"/>
      <protection locked="0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8" xfId="0" applyNumberFormat="1" applyFont="1" applyFill="1" applyBorder="1" applyAlignment="1">
      <alignment horizontal="center" vertical="center"/>
    </xf>
    <xf numFmtId="1" fontId="0" fillId="20" borderId="42" xfId="0" applyNumberFormat="1" applyFill="1" applyBorder="1" applyAlignment="1">
      <alignment horizontal="center" vertical="center" wrapText="1"/>
    </xf>
    <xf numFmtId="0" fontId="37" fillId="25" borderId="0" xfId="107" applyFont="1" applyFill="1" applyAlignment="1">
      <alignment horizontal="left"/>
    </xf>
    <xf numFmtId="0" fontId="33" fillId="20" borderId="79" xfId="0" applyFont="1" applyFill="1" applyBorder="1" applyAlignment="1">
      <alignment horizontal="center"/>
    </xf>
    <xf numFmtId="0" fontId="33" fillId="20" borderId="80" xfId="0" applyFont="1" applyFill="1" applyBorder="1" applyAlignment="1">
      <alignment horizontal="center"/>
    </xf>
    <xf numFmtId="0" fontId="33" fillId="20" borderId="75" xfId="0" applyFont="1" applyFill="1" applyBorder="1" applyAlignment="1">
      <alignment horizontal="center"/>
    </xf>
    <xf numFmtId="14" fontId="39" fillId="50" borderId="42" xfId="0" applyNumberFormat="1" applyFont="1" applyFill="1" applyBorder="1" applyAlignment="1">
      <alignment horizontal="left"/>
    </xf>
    <xf numFmtId="1" fontId="39" fillId="48" borderId="42" xfId="0" applyNumberFormat="1" applyFont="1" applyFill="1" applyBorder="1" applyAlignment="1">
      <alignment horizontal="left"/>
    </xf>
    <xf numFmtId="174" fontId="49" fillId="2" borderId="76" xfId="0" applyNumberFormat="1" applyFont="1" applyFill="1" applyBorder="1" applyAlignment="1">
      <alignment horizontal="center" vertical="center"/>
    </xf>
    <xf numFmtId="174" fontId="49" fillId="2" borderId="67" xfId="0" applyNumberFormat="1" applyFont="1" applyFill="1" applyBorder="1" applyAlignment="1">
      <alignment horizontal="center" vertical="center"/>
    </xf>
    <xf numFmtId="175" fontId="39" fillId="2" borderId="42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6" borderId="68" xfId="0" applyFill="1" applyBorder="1" applyAlignment="1">
      <alignment horizontal="center" vertical="center"/>
    </xf>
    <xf numFmtId="0" fontId="0" fillId="46" borderId="71" xfId="0" applyFill="1" applyBorder="1" applyAlignment="1">
      <alignment horizontal="center" vertical="center"/>
    </xf>
    <xf numFmtId="0" fontId="0" fillId="46" borderId="69" xfId="0" applyFill="1" applyBorder="1" applyAlignment="1">
      <alignment horizontal="center" vertical="center"/>
    </xf>
    <xf numFmtId="0" fontId="0" fillId="46" borderId="70" xfId="0" applyFill="1" applyBorder="1" applyAlignment="1">
      <alignment horizontal="center" vertical="center"/>
    </xf>
    <xf numFmtId="174" fontId="49" fillId="2" borderId="63" xfId="0" applyNumberFormat="1" applyFont="1" applyFill="1" applyBorder="1" applyAlignment="1">
      <alignment horizontal="center" vertical="center"/>
    </xf>
    <xf numFmtId="174" fontId="49" fillId="2" borderId="64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66" xfId="0" applyNumberFormat="1" applyFont="1" applyFill="1" applyBorder="1" applyAlignment="1">
      <alignment horizontal="center" vertical="center"/>
    </xf>
    <xf numFmtId="14" fontId="60" fillId="2" borderId="63" xfId="0" applyNumberFormat="1" applyFont="1" applyFill="1" applyBorder="1" applyAlignment="1">
      <alignment horizontal="center" vertical="center"/>
    </xf>
    <xf numFmtId="14" fontId="60" fillId="2" borderId="0" xfId="0" applyNumberFormat="1" applyFont="1" applyFill="1" applyAlignment="1">
      <alignment horizontal="center" vertical="center"/>
    </xf>
    <xf numFmtId="14" fontId="60" fillId="2" borderId="64" xfId="0" applyNumberFormat="1" applyFont="1" applyFill="1" applyBorder="1" applyAlignment="1">
      <alignment horizontal="center" vertical="center"/>
    </xf>
    <xf numFmtId="14" fontId="60" fillId="2" borderId="66" xfId="0" applyNumberFormat="1" applyFont="1" applyFill="1" applyBorder="1" applyAlignment="1">
      <alignment horizontal="center" vertical="center"/>
    </xf>
    <xf numFmtId="174" fontId="0" fillId="25" borderId="40" xfId="0" applyNumberFormat="1" applyFill="1" applyBorder="1" applyAlignment="1">
      <alignment horizontal="center"/>
    </xf>
    <xf numFmtId="174" fontId="0" fillId="25" borderId="41" xfId="0" applyNumberFormat="1" applyFill="1" applyBorder="1" applyAlignment="1">
      <alignment horizontal="center"/>
    </xf>
    <xf numFmtId="174" fontId="0" fillId="2" borderId="64" xfId="0" applyNumberFormat="1" applyFill="1" applyBorder="1" applyAlignment="1">
      <alignment horizontal="center" vertical="center"/>
    </xf>
    <xf numFmtId="174" fontId="0" fillId="2" borderId="66" xfId="0" applyNumberFormat="1" applyFill="1" applyBorder="1" applyAlignment="1">
      <alignment horizontal="center" vertical="center"/>
    </xf>
    <xf numFmtId="174" fontId="0" fillId="2" borderId="81" xfId="0" applyNumberFormat="1" applyFill="1" applyBorder="1" applyAlignment="1">
      <alignment horizontal="center" vertical="center"/>
    </xf>
    <xf numFmtId="0" fontId="0" fillId="49" borderId="67" xfId="0" applyFill="1" applyBorder="1" applyAlignment="1">
      <alignment horizontal="center" vertical="center"/>
    </xf>
    <xf numFmtId="0" fontId="0" fillId="49" borderId="66" xfId="0" applyFill="1" applyBorder="1" applyAlignment="1">
      <alignment horizontal="center" vertical="center"/>
    </xf>
    <xf numFmtId="0" fontId="43" fillId="24" borderId="37" xfId="82" applyFont="1" applyFill="1" applyBorder="1" applyAlignment="1">
      <alignment horizontal="center"/>
    </xf>
    <xf numFmtId="0" fontId="33" fillId="60" borderId="42" xfId="82" applyFont="1" applyFill="1" applyBorder="1" applyAlignment="1">
      <alignment horizontal="center" vertical="center"/>
    </xf>
    <xf numFmtId="1" fontId="37" fillId="24" borderId="42" xfId="82" applyNumberFormat="1" applyFont="1" applyFill="1" applyBorder="1" applyAlignment="1">
      <alignment horizontal="center" vertical="center"/>
    </xf>
    <xf numFmtId="0" fontId="33" fillId="60" borderId="42" xfId="82" applyFont="1" applyFill="1" applyBorder="1" applyAlignment="1">
      <alignment horizontal="left" vertical="center"/>
    </xf>
    <xf numFmtId="0" fontId="33" fillId="60" borderId="42" xfId="82" applyFont="1" applyFill="1" applyBorder="1" applyAlignment="1">
      <alignment horizontal="center"/>
    </xf>
    <xf numFmtId="0" fontId="33" fillId="24" borderId="119" xfId="82" applyFont="1" applyFill="1" applyBorder="1" applyAlignment="1">
      <alignment horizontal="center" vertical="center" wrapText="1"/>
    </xf>
    <xf numFmtId="0" fontId="0" fillId="0" borderId="83" xfId="0" applyBorder="1"/>
    <xf numFmtId="0" fontId="0" fillId="0" borderId="120" xfId="0" applyBorder="1"/>
    <xf numFmtId="0" fontId="0" fillId="0" borderId="14" xfId="0" applyBorder="1"/>
    <xf numFmtId="0" fontId="0" fillId="0" borderId="0" xfId="0"/>
    <xf numFmtId="0" fontId="0" fillId="0" borderId="23" xfId="0" applyBorder="1"/>
    <xf numFmtId="0" fontId="0" fillId="0" borderId="84" xfId="0" applyBorder="1"/>
    <xf numFmtId="0" fontId="0" fillId="0" borderId="85" xfId="0" applyBorder="1"/>
    <xf numFmtId="0" fontId="0" fillId="0" borderId="132" xfId="0" applyBorder="1"/>
    <xf numFmtId="0" fontId="34" fillId="35" borderId="42" xfId="82" applyFont="1" applyFill="1" applyBorder="1" applyAlignment="1">
      <alignment horizontal="center" vertical="center"/>
    </xf>
    <xf numFmtId="176" fontId="34" fillId="35" borderId="42" xfId="82" applyNumberFormat="1" applyFont="1" applyFill="1" applyBorder="1" applyAlignment="1">
      <alignment horizontal="center" vertical="center"/>
    </xf>
    <xf numFmtId="14" fontId="34" fillId="57" borderId="42" xfId="82" applyNumberFormat="1" applyFont="1" applyFill="1" applyBorder="1" applyAlignment="1">
      <alignment horizontal="center" vertical="center"/>
    </xf>
    <xf numFmtId="1" fontId="34" fillId="24" borderId="42" xfId="82" applyNumberFormat="1" applyFont="1" applyFill="1" applyBorder="1" applyAlignment="1">
      <alignment horizontal="left"/>
    </xf>
    <xf numFmtId="0" fontId="34" fillId="24" borderId="42" xfId="82" applyFont="1" applyFill="1" applyBorder="1" applyAlignment="1">
      <alignment horizontal="left"/>
    </xf>
    <xf numFmtId="4" fontId="34" fillId="24" borderId="42" xfId="82" applyNumberFormat="1" applyFont="1" applyFill="1" applyBorder="1" applyAlignment="1">
      <alignment horizontal="right" vertical="center"/>
    </xf>
    <xf numFmtId="4" fontId="34" fillId="24" borderId="39" xfId="82" applyNumberFormat="1" applyFont="1" applyFill="1" applyBorder="1" applyAlignment="1">
      <alignment horizontal="right" vertical="center"/>
    </xf>
    <xf numFmtId="4" fontId="34" fillId="24" borderId="46" xfId="82" applyNumberFormat="1" applyFont="1" applyFill="1" applyBorder="1" applyAlignment="1">
      <alignment horizontal="right" vertical="center"/>
    </xf>
    <xf numFmtId="0" fontId="44" fillId="0" borderId="42" xfId="82" applyFont="1" applyBorder="1" applyAlignment="1">
      <alignment horizontal="left"/>
    </xf>
    <xf numFmtId="4" fontId="44" fillId="60" borderId="42" xfId="82" applyNumberFormat="1" applyFont="1" applyFill="1" applyBorder="1" applyAlignment="1">
      <alignment horizontal="right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16" fontId="44" fillId="60" borderId="42" xfId="82" applyNumberFormat="1" applyFont="1" applyFill="1" applyBorder="1" applyAlignment="1">
      <alignment horizontal="center" vertical="center"/>
    </xf>
    <xf numFmtId="0" fontId="51" fillId="35" borderId="42" xfId="82" applyFont="1" applyFill="1" applyBorder="1" applyAlignment="1">
      <alignment horizontal="left" vertical="center" wrapText="1"/>
    </xf>
    <xf numFmtId="0" fontId="51" fillId="35" borderId="45" xfId="82" applyFont="1" applyFill="1" applyBorder="1" applyAlignment="1">
      <alignment horizontal="left" vertical="center" wrapText="1"/>
    </xf>
    <xf numFmtId="0" fontId="51" fillId="35" borderId="47" xfId="82" applyFont="1" applyFill="1" applyBorder="1" applyAlignment="1">
      <alignment horizontal="left" vertical="center" wrapText="1"/>
    </xf>
    <xf numFmtId="0" fontId="51" fillId="35" borderId="43" xfId="82" applyFont="1" applyFill="1" applyBorder="1" applyAlignment="1">
      <alignment horizontal="left" vertical="center" wrapText="1"/>
    </xf>
    <xf numFmtId="0" fontId="51" fillId="35" borderId="35" xfId="82" applyFont="1" applyFill="1" applyBorder="1" applyAlignment="1">
      <alignment horizontal="left" vertical="center" wrapText="1"/>
    </xf>
    <xf numFmtId="0" fontId="51" fillId="35" borderId="37" xfId="82" applyFont="1" applyFill="1" applyBorder="1" applyAlignment="1">
      <alignment horizontal="left" vertical="center" wrapText="1"/>
    </xf>
    <xf numFmtId="0" fontId="51" fillId="35" borderId="36" xfId="82" applyFont="1" applyFill="1" applyBorder="1" applyAlignment="1">
      <alignment horizontal="left" vertical="center" wrapText="1"/>
    </xf>
    <xf numFmtId="0" fontId="0" fillId="24" borderId="47" xfId="82" applyFont="1" applyFill="1" applyBorder="1" applyAlignment="1">
      <alignment horizontal="left" wrapText="1"/>
    </xf>
    <xf numFmtId="0" fontId="44" fillId="24" borderId="42" xfId="82" applyFont="1" applyFill="1" applyBorder="1" applyAlignment="1">
      <alignment horizontal="left"/>
    </xf>
    <xf numFmtId="4" fontId="34" fillId="60" borderId="42" xfId="82" applyNumberFormat="1" applyFont="1" applyFill="1" applyBorder="1" applyAlignment="1">
      <alignment horizontal="right" vertical="center"/>
    </xf>
    <xf numFmtId="44" fontId="73" fillId="35" borderId="127" xfId="304" applyFont="1" applyFill="1" applyBorder="1" applyAlignment="1">
      <alignment horizontal="center" vertical="center" wrapText="1"/>
    </xf>
    <xf numFmtId="44" fontId="73" fillId="35" borderId="29" xfId="304" applyFont="1" applyFill="1" applyBorder="1" applyAlignment="1">
      <alignment horizontal="center" vertical="center" wrapText="1"/>
    </xf>
    <xf numFmtId="44" fontId="45" fillId="35" borderId="127" xfId="304" applyFont="1" applyFill="1" applyBorder="1" applyAlignment="1">
      <alignment horizontal="center" vertical="center" wrapText="1"/>
    </xf>
    <xf numFmtId="44" fontId="45" fillId="35" borderId="29" xfId="304" applyFont="1" applyFill="1" applyBorder="1" applyAlignment="1">
      <alignment horizontal="center" vertical="center" wrapText="1"/>
    </xf>
    <xf numFmtId="44" fontId="45" fillId="35" borderId="127" xfId="304" applyFont="1" applyFill="1" applyBorder="1" applyAlignment="1">
      <alignment horizontal="center" vertical="center"/>
    </xf>
    <xf numFmtId="44" fontId="45" fillId="35" borderId="29" xfId="304" applyFont="1" applyFill="1" applyBorder="1" applyAlignment="1">
      <alignment horizontal="center" vertical="center"/>
    </xf>
    <xf numFmtId="49" fontId="45" fillId="35" borderId="127" xfId="621" applyNumberFormat="1" applyFont="1" applyFill="1" applyBorder="1" applyAlignment="1">
      <alignment horizontal="center" vertical="center"/>
    </xf>
    <xf numFmtId="49" fontId="45" fillId="35" borderId="29" xfId="621" applyNumberFormat="1" applyFont="1" applyFill="1" applyBorder="1" applyAlignment="1">
      <alignment horizontal="center" vertical="center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7" borderId="47" xfId="116" applyNumberFormat="1" applyFont="1" applyFill="1" applyBorder="1" applyAlignment="1">
      <alignment horizontal="center" vertical="center" wrapText="1"/>
    </xf>
    <xf numFmtId="49" fontId="46" fillId="27" borderId="43" xfId="116" applyNumberFormat="1" applyFont="1" applyFill="1" applyBorder="1" applyAlignment="1">
      <alignment horizontal="center" vertical="center" wrapText="1"/>
    </xf>
    <xf numFmtId="49" fontId="46" fillId="20" borderId="44" xfId="116" applyNumberFormat="1" applyFont="1" applyFill="1" applyBorder="1" applyAlignment="1">
      <alignment horizontal="center" vertical="center"/>
    </xf>
    <xf numFmtId="49" fontId="46" fillId="20" borderId="54" xfId="116" applyNumberFormat="1" applyFont="1" applyFill="1" applyBorder="1" applyAlignment="1">
      <alignment horizontal="center" vertical="center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43" xfId="116" applyNumberFormat="1" applyFont="1" applyFill="1" applyBorder="1" applyAlignment="1">
      <alignment horizontal="center" vertical="center" wrapText="1"/>
    </xf>
    <xf numFmtId="49" fontId="46" fillId="20" borderId="55" xfId="116" applyNumberFormat="1" applyFont="1" applyFill="1" applyBorder="1" applyAlignment="1">
      <alignment horizontal="center" vertical="center" wrapText="1"/>
    </xf>
    <xf numFmtId="49" fontId="46" fillId="20" borderId="56" xfId="116" applyNumberFormat="1" applyFont="1" applyFill="1" applyBorder="1" applyAlignment="1">
      <alignment horizontal="center" vertical="center" wrapText="1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43" xfId="82" applyNumberFormat="1" applyFont="1" applyFill="1" applyBorder="1" applyAlignment="1">
      <alignment horizontal="center" vertical="center"/>
    </xf>
    <xf numFmtId="4" fontId="46" fillId="20" borderId="55" xfId="82" applyNumberFormat="1" applyFont="1" applyFill="1" applyBorder="1" applyAlignment="1">
      <alignment horizontal="center" vertical="center"/>
    </xf>
    <xf numFmtId="4" fontId="46" fillId="20" borderId="56" xfId="82" applyNumberFormat="1" applyFont="1" applyFill="1" applyBorder="1" applyAlignment="1">
      <alignment horizontal="center" vertical="center"/>
    </xf>
    <xf numFmtId="49" fontId="46" fillId="20" borderId="39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/>
    </xf>
    <xf numFmtId="49" fontId="46" fillId="20" borderId="46" xfId="116" applyNumberFormat="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39" xfId="82" applyNumberFormat="1" applyFont="1" applyBorder="1" applyAlignment="1">
      <alignment horizontal="center" vertical="center"/>
    </xf>
    <xf numFmtId="1" fontId="49" fillId="0" borderId="46" xfId="82" applyNumberFormat="1" applyFont="1" applyBorder="1" applyAlignment="1">
      <alignment horizontal="center" vertical="center"/>
    </xf>
    <xf numFmtId="0" fontId="52" fillId="0" borderId="125" xfId="82" applyBorder="1" applyAlignment="1">
      <alignment horizontal="center" vertical="center" wrapText="1"/>
    </xf>
    <xf numFmtId="0" fontId="52" fillId="0" borderId="135" xfId="82" applyBorder="1" applyAlignment="1">
      <alignment horizontal="center" vertical="center" wrapText="1"/>
    </xf>
    <xf numFmtId="49" fontId="36" fillId="20" borderId="42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2" xfId="82" applyFont="1" applyFill="1" applyBorder="1" applyAlignment="1">
      <alignment horizontal="center" vertical="center"/>
    </xf>
    <xf numFmtId="174" fontId="0" fillId="0" borderId="42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22" xfId="80" applyBorder="1" applyAlignment="1">
      <alignment horizontal="left"/>
    </xf>
    <xf numFmtId="0" fontId="52" fillId="0" borderId="124" xfId="80" applyBorder="1" applyAlignment="1">
      <alignment horizontal="left"/>
    </xf>
    <xf numFmtId="0" fontId="52" fillId="0" borderId="126" xfId="80" applyBorder="1" applyAlignment="1">
      <alignment horizontal="left"/>
    </xf>
    <xf numFmtId="0" fontId="33" fillId="59" borderId="122" xfId="72" applyFont="1" applyFill="1" applyBorder="1" applyAlignment="1">
      <alignment horizontal="center"/>
    </xf>
    <xf numFmtId="0" fontId="33" fillId="59" borderId="124" xfId="72" applyFont="1" applyFill="1" applyBorder="1" applyAlignment="1">
      <alignment horizontal="center"/>
    </xf>
    <xf numFmtId="0" fontId="33" fillId="59" borderId="126" xfId="72" applyFont="1" applyFill="1" applyBorder="1" applyAlignment="1">
      <alignment horizontal="center"/>
    </xf>
    <xf numFmtId="0" fontId="33" fillId="59" borderId="131" xfId="72" applyFont="1" applyFill="1" applyBorder="1" applyAlignment="1">
      <alignment horizontal="center" vertical="center"/>
    </xf>
    <xf numFmtId="0" fontId="33" fillId="59" borderId="18" xfId="72" applyFont="1" applyFill="1" applyBorder="1" applyAlignment="1">
      <alignment horizontal="center" vertical="center"/>
    </xf>
    <xf numFmtId="0" fontId="33" fillId="59" borderId="129" xfId="72" applyFont="1" applyFill="1" applyBorder="1" applyAlignment="1">
      <alignment horizontal="center" vertical="center"/>
    </xf>
    <xf numFmtId="0" fontId="33" fillId="59" borderId="121" xfId="72" applyFont="1" applyFill="1" applyBorder="1" applyAlignment="1">
      <alignment horizontal="center" vertical="center"/>
    </xf>
    <xf numFmtId="0" fontId="33" fillId="59" borderId="51" xfId="72" applyFont="1" applyFill="1" applyBorder="1" applyAlignment="1">
      <alignment horizontal="center" vertical="center"/>
    </xf>
    <xf numFmtId="0" fontId="33" fillId="59" borderId="52" xfId="72" applyFont="1" applyFill="1" applyBorder="1" applyAlignment="1">
      <alignment horizontal="center" vertical="center"/>
    </xf>
    <xf numFmtId="4" fontId="52" fillId="0" borderId="122" xfId="80" applyNumberFormat="1" applyBorder="1" applyAlignment="1">
      <alignment horizontal="left"/>
    </xf>
    <xf numFmtId="4" fontId="52" fillId="0" borderId="124" xfId="80" applyNumberFormat="1" applyBorder="1" applyAlignment="1">
      <alignment horizontal="left"/>
    </xf>
    <xf numFmtId="4" fontId="52" fillId="0" borderId="126" xfId="80" applyNumberFormat="1" applyBorder="1" applyAlignment="1">
      <alignment horizontal="left"/>
    </xf>
    <xf numFmtId="0" fontId="1" fillId="0" borderId="0" xfId="626" applyAlignment="1">
      <alignment horizontal="justify" vertical="center" wrapText="1"/>
    </xf>
    <xf numFmtId="164" fontId="84" fillId="0" borderId="0" xfId="627" applyFont="1" applyAlignment="1" applyProtection="1">
      <alignment horizontal="center" wrapText="1"/>
    </xf>
    <xf numFmtId="0" fontId="86" fillId="63" borderId="0" xfId="626" applyFont="1" applyFill="1" applyAlignment="1">
      <alignment horizontal="center"/>
    </xf>
    <xf numFmtId="0" fontId="87" fillId="63" borderId="0" xfId="626" applyFont="1" applyFill="1" applyAlignment="1">
      <alignment horizontal="center"/>
    </xf>
    <xf numFmtId="164" fontId="89" fillId="61" borderId="0" xfId="627" applyFont="1" applyFill="1" applyBorder="1" applyAlignment="1" applyProtection="1">
      <alignment horizontal="center" vertical="center"/>
    </xf>
    <xf numFmtId="0" fontId="82" fillId="63" borderId="174" xfId="626" applyFont="1" applyFill="1" applyBorder="1" applyAlignment="1">
      <alignment horizontal="center" vertical="center"/>
    </xf>
    <xf numFmtId="0" fontId="82" fillId="63" borderId="175" xfId="626" applyFont="1" applyFill="1" applyBorder="1" applyAlignment="1">
      <alignment horizontal="center" vertical="center"/>
    </xf>
    <xf numFmtId="0" fontId="92" fillId="0" borderId="179" xfId="626" applyFont="1" applyBorder="1" applyAlignment="1">
      <alignment horizontal="left" wrapText="1"/>
    </xf>
    <xf numFmtId="0" fontId="92" fillId="0" borderId="180" xfId="626" applyFont="1" applyBorder="1" applyAlignment="1">
      <alignment horizontal="left" wrapText="1"/>
    </xf>
    <xf numFmtId="0" fontId="82" fillId="63" borderId="179" xfId="626" applyFont="1" applyFill="1" applyBorder="1" applyAlignment="1">
      <alignment horizontal="center" vertical="center"/>
    </xf>
    <xf numFmtId="0" fontId="82" fillId="63" borderId="180" xfId="626" applyFont="1" applyFill="1" applyBorder="1" applyAlignment="1">
      <alignment horizontal="center" vertical="center"/>
    </xf>
    <xf numFmtId="0" fontId="82" fillId="64" borderId="174" xfId="626" applyFont="1" applyFill="1" applyBorder="1" applyAlignment="1">
      <alignment horizontal="center" vertical="center"/>
    </xf>
    <xf numFmtId="0" fontId="82" fillId="65" borderId="174" xfId="626" applyFont="1" applyFill="1" applyBorder="1" applyAlignment="1">
      <alignment horizontal="center" vertical="center"/>
    </xf>
    <xf numFmtId="0" fontId="82" fillId="66" borderId="72" xfId="626" applyFont="1" applyFill="1" applyBorder="1" applyAlignment="1">
      <alignment horizontal="center" vertical="center"/>
    </xf>
    <xf numFmtId="0" fontId="82" fillId="66" borderId="73" xfId="626" applyFont="1" applyFill="1" applyBorder="1" applyAlignment="1">
      <alignment horizontal="center" vertical="center"/>
    </xf>
    <xf numFmtId="164" fontId="0" fillId="0" borderId="18" xfId="627" applyFont="1" applyBorder="1" applyAlignment="1">
      <alignment horizontal="left" vertical="center"/>
    </xf>
    <xf numFmtId="164" fontId="89" fillId="0" borderId="172" xfId="627" applyFont="1" applyFill="1" applyBorder="1" applyAlignment="1">
      <alignment horizontal="left" vertical="center"/>
    </xf>
    <xf numFmtId="164" fontId="89" fillId="0" borderId="164" xfId="627" applyFont="1" applyFill="1" applyBorder="1" applyAlignment="1">
      <alignment horizontal="left" vertical="center"/>
    </xf>
    <xf numFmtId="164" fontId="89" fillId="0" borderId="126" xfId="627" applyFont="1" applyFill="1" applyBorder="1" applyAlignment="1">
      <alignment horizontal="left" vertical="center"/>
    </xf>
    <xf numFmtId="164" fontId="0" fillId="0" borderId="186" xfId="627" applyFont="1" applyBorder="1" applyAlignment="1">
      <alignment horizontal="left" vertical="center"/>
    </xf>
    <xf numFmtId="0" fontId="96" fillId="0" borderId="172" xfId="626" applyFont="1" applyBorder="1" applyAlignment="1">
      <alignment horizontal="center" vertical="center" wrapText="1"/>
    </xf>
    <xf numFmtId="0" fontId="96" fillId="0" borderId="126" xfId="626" applyFont="1" applyBorder="1" applyAlignment="1">
      <alignment horizontal="center" vertical="center" wrapText="1"/>
    </xf>
    <xf numFmtId="0" fontId="96" fillId="0" borderId="26" xfId="626" applyFont="1" applyBorder="1" applyAlignment="1">
      <alignment horizontal="center" vertical="center" wrapText="1"/>
    </xf>
    <xf numFmtId="0" fontId="85" fillId="0" borderId="26" xfId="626" applyFont="1" applyBorder="1" applyAlignment="1">
      <alignment horizontal="center" vertical="center" wrapText="1"/>
    </xf>
    <xf numFmtId="0" fontId="84" fillId="61" borderId="26" xfId="626" applyFont="1" applyFill="1" applyBorder="1" applyAlignment="1">
      <alignment horizontal="center"/>
    </xf>
    <xf numFmtId="188" fontId="1" fillId="0" borderId="26" xfId="626" applyNumberFormat="1" applyBorder="1" applyAlignment="1">
      <alignment horizontal="center"/>
    </xf>
    <xf numFmtId="0" fontId="1" fillId="0" borderId="0" xfId="626" applyAlignment="1">
      <alignment horizontal="center"/>
    </xf>
    <xf numFmtId="0" fontId="84" fillId="69" borderId="26" xfId="626" applyFont="1" applyFill="1" applyBorder="1" applyAlignment="1">
      <alignment horizontal="center"/>
    </xf>
    <xf numFmtId="0" fontId="100" fillId="61" borderId="26" xfId="626" applyFont="1" applyFill="1" applyBorder="1" applyAlignment="1">
      <alignment horizontal="center" vertical="center"/>
    </xf>
    <xf numFmtId="2" fontId="84" fillId="0" borderId="26" xfId="626" applyNumberFormat="1" applyFont="1" applyBorder="1" applyAlignment="1">
      <alignment horizontal="right"/>
    </xf>
    <xf numFmtId="1" fontId="1" fillId="0" borderId="172" xfId="627" applyNumberFormat="1" applyFont="1" applyBorder="1" applyAlignment="1">
      <alignment horizontal="right"/>
    </xf>
    <xf numFmtId="1" fontId="1" fillId="0" borderId="126" xfId="627" applyNumberFormat="1" applyFont="1" applyBorder="1" applyAlignment="1">
      <alignment horizontal="right"/>
    </xf>
    <xf numFmtId="164" fontId="1" fillId="0" borderId="26" xfId="627" applyFont="1" applyBorder="1" applyAlignment="1">
      <alignment horizontal="center"/>
    </xf>
    <xf numFmtId="190" fontId="1" fillId="0" borderId="172" xfId="627" applyNumberFormat="1" applyFont="1" applyBorder="1" applyAlignment="1">
      <alignment horizontal="center"/>
    </xf>
    <xf numFmtId="190" fontId="1" fillId="0" borderId="126" xfId="627" applyNumberFormat="1" applyFont="1" applyBorder="1" applyAlignment="1">
      <alignment horizontal="center"/>
    </xf>
    <xf numFmtId="0" fontId="84" fillId="69" borderId="172" xfId="626" applyFont="1" applyFill="1" applyBorder="1" applyAlignment="1">
      <alignment horizontal="center"/>
    </xf>
    <xf numFmtId="0" fontId="1" fillId="26" borderId="26" xfId="626" applyFill="1" applyBorder="1" applyAlignment="1">
      <alignment horizontal="center"/>
    </xf>
    <xf numFmtId="0" fontId="84" fillId="0" borderId="0" xfId="626" applyFont="1" applyAlignment="1">
      <alignment horizontal="center"/>
    </xf>
    <xf numFmtId="0" fontId="84" fillId="0" borderId="26" xfId="626" applyFont="1" applyBorder="1" applyAlignment="1">
      <alignment horizontal="left" wrapText="1"/>
    </xf>
    <xf numFmtId="0" fontId="84" fillId="0" borderId="26" xfId="626" applyFont="1" applyBorder="1" applyAlignment="1">
      <alignment horizontal="left"/>
    </xf>
    <xf numFmtId="0" fontId="96" fillId="0" borderId="164" xfId="626" applyFont="1" applyBorder="1" applyAlignment="1">
      <alignment horizontal="center" vertical="center" wrapText="1"/>
    </xf>
    <xf numFmtId="188" fontId="1" fillId="0" borderId="172" xfId="627" applyNumberFormat="1" applyFont="1" applyBorder="1" applyAlignment="1">
      <alignment horizontal="right"/>
    </xf>
    <xf numFmtId="188" fontId="1" fillId="0" borderId="126" xfId="627" applyNumberFormat="1" applyFont="1" applyBorder="1" applyAlignment="1">
      <alignment horizontal="right"/>
    </xf>
    <xf numFmtId="188" fontId="1" fillId="0" borderId="26" xfId="627" applyNumberFormat="1" applyFont="1" applyBorder="1" applyAlignment="1">
      <alignment horizontal="center"/>
    </xf>
    <xf numFmtId="164" fontId="1" fillId="0" borderId="172" xfId="627" applyFont="1" applyBorder="1" applyAlignment="1">
      <alignment horizontal="center"/>
    </xf>
    <xf numFmtId="164" fontId="1" fillId="0" borderId="126" xfId="627" applyFont="1" applyBorder="1" applyAlignment="1">
      <alignment horizontal="center"/>
    </xf>
    <xf numFmtId="171" fontId="43" fillId="26" borderId="14" xfId="0" applyNumberFormat="1" applyFont="1" applyFill="1" applyBorder="1" applyAlignment="1">
      <alignment horizontal="center" vertical="center"/>
    </xf>
    <xf numFmtId="171" fontId="43" fillId="26" borderId="0" xfId="0" applyNumberFormat="1" applyFont="1" applyFill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59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GZ263"/>
  <sheetViews>
    <sheetView showGridLines="0" tabSelected="1" topLeftCell="I1" zoomScale="85" zoomScaleNormal="85" workbookViewId="0">
      <selection activeCell="GU4" sqref="GU4:GZ4"/>
    </sheetView>
  </sheetViews>
  <sheetFormatPr defaultColWidth="9.140625" defaultRowHeight="15" outlineLevelCol="2" x14ac:dyDescent="0.2"/>
  <cols>
    <col min="1" max="1" width="12.85546875" style="4" customWidth="1" outlineLevel="2"/>
    <col min="2" max="2" width="22.140625" style="4" customWidth="1" outlineLevel="2"/>
    <col min="3" max="3" width="5" style="5" customWidth="1"/>
    <col min="4" max="4" width="14.5703125" style="6" customWidth="1"/>
    <col min="5" max="5" width="9" style="6" customWidth="1"/>
    <col min="6" max="6" width="16.5703125" style="6" bestFit="1" customWidth="1"/>
    <col min="7" max="7" width="16.5703125" style="5" bestFit="1" customWidth="1"/>
    <col min="8" max="8" width="29.140625" style="4" customWidth="1"/>
    <col min="9" max="9" width="43.85546875" style="77" customWidth="1"/>
    <col min="10" max="10" width="13" style="4" bestFit="1" customWidth="1"/>
    <col min="11" max="11" width="8.5703125" style="4" customWidth="1"/>
    <col min="12" max="12" width="9.5703125" style="4" customWidth="1"/>
    <col min="13" max="13" width="10.140625" style="4" bestFit="1" customWidth="1"/>
    <col min="14" max="14" width="10.85546875" style="4" customWidth="1"/>
    <col min="15" max="15" width="27" style="4" hidden="1" customWidth="1"/>
    <col min="16" max="16" width="13.85546875" style="4" hidden="1" customWidth="1"/>
    <col min="17" max="20" width="11.140625" style="81" customWidth="1"/>
    <col min="21" max="16384" width="9.140625" style="4"/>
  </cols>
  <sheetData>
    <row r="1" spans="1:208" ht="18" customHeight="1" thickBot="1" x14ac:dyDescent="0.25">
      <c r="A1" s="630" t="s">
        <v>3165</v>
      </c>
      <c r="B1" s="630"/>
      <c r="C1" s="630"/>
      <c r="D1" s="630"/>
      <c r="E1" s="630"/>
      <c r="F1" s="630"/>
      <c r="G1" s="208" t="str">
        <f>'BASE C'!E4</f>
        <v>ABRIL</v>
      </c>
      <c r="H1" s="208"/>
      <c r="I1" s="629" t="s">
        <v>37</v>
      </c>
      <c r="J1" s="629"/>
      <c r="K1" s="7"/>
      <c r="L1" s="7"/>
      <c r="M1" s="7"/>
      <c r="N1" s="7"/>
      <c r="O1" s="7"/>
      <c r="P1" s="7"/>
      <c r="T1" s="81" t="s">
        <v>38</v>
      </c>
    </row>
    <row r="2" spans="1:208" s="76" customFormat="1" ht="44.25" customHeight="1" thickBot="1" x14ac:dyDescent="0.25">
      <c r="A2" s="630"/>
      <c r="B2" s="630"/>
      <c r="C2" s="630"/>
      <c r="D2" s="630"/>
      <c r="E2" s="630"/>
      <c r="F2" s="630"/>
      <c r="G2" s="209" t="s">
        <v>155</v>
      </c>
      <c r="H2" s="210"/>
      <c r="I2" s="629"/>
      <c r="J2" s="629"/>
      <c r="K2" s="7"/>
      <c r="L2" s="7"/>
      <c r="M2" s="7"/>
      <c r="N2" s="7"/>
      <c r="O2" s="7"/>
      <c r="P2" s="7"/>
      <c r="Q2" s="84"/>
      <c r="R2" s="84"/>
      <c r="S2" s="84"/>
      <c r="T2" s="84"/>
    </row>
    <row r="3" spans="1:208" s="8" customFormat="1" ht="11.25" x14ac:dyDescent="0.2">
      <c r="A3" s="8">
        <v>1</v>
      </c>
      <c r="B3" s="8">
        <f>A3+1</f>
        <v>2</v>
      </c>
      <c r="C3" s="8">
        <f t="shared" ref="C3:T3" si="0">B3+1</f>
        <v>3</v>
      </c>
      <c r="D3" s="8">
        <v>1</v>
      </c>
      <c r="E3" s="8">
        <f t="shared" si="0"/>
        <v>2</v>
      </c>
      <c r="F3" s="8">
        <f t="shared" si="0"/>
        <v>3</v>
      </c>
      <c r="G3" s="8">
        <f t="shared" si="0"/>
        <v>4</v>
      </c>
      <c r="H3" s="8">
        <f t="shared" si="0"/>
        <v>5</v>
      </c>
      <c r="I3" s="8">
        <f t="shared" si="0"/>
        <v>6</v>
      </c>
      <c r="J3" s="8">
        <f t="shared" si="0"/>
        <v>7</v>
      </c>
      <c r="K3" s="8">
        <f t="shared" si="0"/>
        <v>8</v>
      </c>
      <c r="L3" s="8">
        <f t="shared" si="0"/>
        <v>9</v>
      </c>
      <c r="M3" s="8">
        <f t="shared" si="0"/>
        <v>10</v>
      </c>
      <c r="N3" s="8">
        <v>10</v>
      </c>
      <c r="O3" s="8">
        <f t="shared" si="0"/>
        <v>11</v>
      </c>
      <c r="P3" s="8">
        <v>13</v>
      </c>
      <c r="Q3" s="8">
        <f t="shared" si="0"/>
        <v>14</v>
      </c>
      <c r="R3" s="8">
        <f t="shared" si="0"/>
        <v>15</v>
      </c>
      <c r="S3" s="8">
        <f t="shared" si="0"/>
        <v>16</v>
      </c>
      <c r="T3" s="8">
        <f t="shared" si="0"/>
        <v>17</v>
      </c>
    </row>
    <row r="4" spans="1:208" s="61" customFormat="1" ht="78.75" customHeight="1" x14ac:dyDescent="0.2">
      <c r="A4" s="190" t="s">
        <v>11</v>
      </c>
      <c r="B4" s="190" t="s">
        <v>17</v>
      </c>
      <c r="C4" s="190" t="s">
        <v>0</v>
      </c>
      <c r="D4" s="190" t="s">
        <v>14</v>
      </c>
      <c r="E4" s="190" t="s">
        <v>40</v>
      </c>
      <c r="F4" s="190" t="s">
        <v>16</v>
      </c>
      <c r="G4" s="190"/>
      <c r="H4" s="191" t="s">
        <v>12</v>
      </c>
      <c r="I4" s="192" t="s">
        <v>41</v>
      </c>
      <c r="J4" s="212" t="s">
        <v>42</v>
      </c>
      <c r="K4" s="213" t="s">
        <v>43</v>
      </c>
      <c r="L4" s="213" t="s">
        <v>44</v>
      </c>
      <c r="M4" s="213" t="s">
        <v>45</v>
      </c>
      <c r="N4" s="265" t="s">
        <v>46</v>
      </c>
      <c r="O4" s="214" t="s">
        <v>156</v>
      </c>
      <c r="P4" s="214" t="s">
        <v>157</v>
      </c>
      <c r="Q4" s="803" t="str">
        <f>F5</f>
        <v>01/04/2026</v>
      </c>
      <c r="R4" s="804"/>
      <c r="S4" s="804"/>
      <c r="T4" s="804"/>
      <c r="U4" s="804"/>
      <c r="V4" s="804"/>
      <c r="W4" s="803">
        <f>Q4+1</f>
        <v>46114</v>
      </c>
      <c r="X4" s="804"/>
      <c r="Y4" s="804"/>
      <c r="Z4" s="804"/>
      <c r="AA4" s="804"/>
      <c r="AB4" s="804"/>
      <c r="AC4" s="803">
        <f>W4+1</f>
        <v>46115</v>
      </c>
      <c r="AD4" s="804"/>
      <c r="AE4" s="804"/>
      <c r="AF4" s="804"/>
      <c r="AG4" s="804"/>
      <c r="AH4" s="804"/>
      <c r="AI4" s="803">
        <f>AC4+1</f>
        <v>46116</v>
      </c>
      <c r="AJ4" s="804"/>
      <c r="AK4" s="804"/>
      <c r="AL4" s="804"/>
      <c r="AM4" s="804"/>
      <c r="AN4" s="804"/>
      <c r="AO4" s="803">
        <f>AI4+1</f>
        <v>46117</v>
      </c>
      <c r="AP4" s="804"/>
      <c r="AQ4" s="804"/>
      <c r="AR4" s="804"/>
      <c r="AS4" s="804"/>
      <c r="AT4" s="804"/>
      <c r="AU4" s="803">
        <f>AO4+1</f>
        <v>46118</v>
      </c>
      <c r="AV4" s="804"/>
      <c r="AW4" s="804"/>
      <c r="AX4" s="804"/>
      <c r="AY4" s="804"/>
      <c r="AZ4" s="804"/>
      <c r="BA4" s="803">
        <f>AU4+1</f>
        <v>46119</v>
      </c>
      <c r="BB4" s="804"/>
      <c r="BC4" s="804"/>
      <c r="BD4" s="804"/>
      <c r="BE4" s="804"/>
      <c r="BF4" s="804"/>
      <c r="BG4" s="803">
        <f>BA4+1</f>
        <v>46120</v>
      </c>
      <c r="BH4" s="804"/>
      <c r="BI4" s="804"/>
      <c r="BJ4" s="804"/>
      <c r="BK4" s="804"/>
      <c r="BL4" s="804"/>
      <c r="BM4" s="803">
        <f>BG4+1</f>
        <v>46121</v>
      </c>
      <c r="BN4" s="804"/>
      <c r="BO4" s="804"/>
      <c r="BP4" s="804"/>
      <c r="BQ4" s="804"/>
      <c r="BR4" s="804"/>
      <c r="BS4" s="803">
        <f>BM4+1</f>
        <v>46122</v>
      </c>
      <c r="BT4" s="804"/>
      <c r="BU4" s="804"/>
      <c r="BV4" s="804"/>
      <c r="BW4" s="804"/>
      <c r="BX4" s="804"/>
      <c r="BY4" s="803">
        <f>BS4+1</f>
        <v>46123</v>
      </c>
      <c r="BZ4" s="804"/>
      <c r="CA4" s="804"/>
      <c r="CB4" s="804"/>
      <c r="CC4" s="804"/>
      <c r="CD4" s="804"/>
      <c r="CE4" s="803">
        <f>BY4+1</f>
        <v>46124</v>
      </c>
      <c r="CF4" s="804"/>
      <c r="CG4" s="804"/>
      <c r="CH4" s="804"/>
      <c r="CI4" s="804"/>
      <c r="CJ4" s="804"/>
      <c r="CK4" s="803">
        <f>CE4+1</f>
        <v>46125</v>
      </c>
      <c r="CL4" s="804"/>
      <c r="CM4" s="804"/>
      <c r="CN4" s="804"/>
      <c r="CO4" s="804"/>
      <c r="CP4" s="804"/>
      <c r="CQ4" s="803">
        <f>CK4+1</f>
        <v>46126</v>
      </c>
      <c r="CR4" s="804"/>
      <c r="CS4" s="804"/>
      <c r="CT4" s="804"/>
      <c r="CU4" s="804"/>
      <c r="CV4" s="804"/>
      <c r="CW4" s="803">
        <f>CQ4+1</f>
        <v>46127</v>
      </c>
      <c r="CX4" s="804"/>
      <c r="CY4" s="804"/>
      <c r="CZ4" s="804"/>
      <c r="DA4" s="804"/>
      <c r="DB4" s="804"/>
      <c r="DC4" s="803">
        <f>CW4+1</f>
        <v>46128</v>
      </c>
      <c r="DD4" s="804"/>
      <c r="DE4" s="804"/>
      <c r="DF4" s="804"/>
      <c r="DG4" s="804"/>
      <c r="DH4" s="804"/>
      <c r="DI4" s="803">
        <f>DC4</f>
        <v>46128</v>
      </c>
      <c r="DJ4" s="804"/>
      <c r="DK4" s="804"/>
      <c r="DL4" s="804"/>
      <c r="DM4" s="804"/>
      <c r="DN4" s="804"/>
      <c r="DO4" s="803">
        <f>DI4+1</f>
        <v>46129</v>
      </c>
      <c r="DP4" s="804"/>
      <c r="DQ4" s="804"/>
      <c r="DR4" s="804"/>
      <c r="DS4" s="804"/>
      <c r="DT4" s="804"/>
      <c r="DU4" s="803">
        <f>DO4+1</f>
        <v>46130</v>
      </c>
      <c r="DV4" s="804"/>
      <c r="DW4" s="804"/>
      <c r="DX4" s="804"/>
      <c r="DY4" s="804"/>
      <c r="DZ4" s="804"/>
      <c r="EA4" s="803">
        <f>DU4+1</f>
        <v>46131</v>
      </c>
      <c r="EB4" s="804"/>
      <c r="EC4" s="804"/>
      <c r="ED4" s="804"/>
      <c r="EE4" s="804"/>
      <c r="EF4" s="804"/>
      <c r="EG4" s="803">
        <f>EA4+1</f>
        <v>46132</v>
      </c>
      <c r="EH4" s="804"/>
      <c r="EI4" s="804"/>
      <c r="EJ4" s="804"/>
      <c r="EK4" s="804"/>
      <c r="EL4" s="804"/>
      <c r="EM4" s="803">
        <f>EG4+1</f>
        <v>46133</v>
      </c>
      <c r="EN4" s="804"/>
      <c r="EO4" s="804"/>
      <c r="EP4" s="804"/>
      <c r="EQ4" s="804"/>
      <c r="ER4" s="804"/>
      <c r="ES4" s="803">
        <f>EM4+1</f>
        <v>46134</v>
      </c>
      <c r="ET4" s="804"/>
      <c r="EU4" s="804"/>
      <c r="EV4" s="804"/>
      <c r="EW4" s="804"/>
      <c r="EX4" s="804"/>
      <c r="EY4" s="803">
        <f>ES4+1</f>
        <v>46135</v>
      </c>
      <c r="EZ4" s="804"/>
      <c r="FA4" s="804"/>
      <c r="FB4" s="804"/>
      <c r="FC4" s="804"/>
      <c r="FD4" s="804"/>
      <c r="FE4" s="803">
        <f>EY4+1</f>
        <v>46136</v>
      </c>
      <c r="FF4" s="804"/>
      <c r="FG4" s="804"/>
      <c r="FH4" s="804"/>
      <c r="FI4" s="804"/>
      <c r="FJ4" s="804"/>
      <c r="FK4" s="803">
        <f>FE4+1</f>
        <v>46137</v>
      </c>
      <c r="FL4" s="804"/>
      <c r="FM4" s="804"/>
      <c r="FN4" s="804"/>
      <c r="FO4" s="804"/>
      <c r="FP4" s="804"/>
      <c r="FQ4" s="803">
        <f>FK4+1</f>
        <v>46138</v>
      </c>
      <c r="FR4" s="804"/>
      <c r="FS4" s="804"/>
      <c r="FT4" s="804"/>
      <c r="FU4" s="804"/>
      <c r="FV4" s="804"/>
      <c r="FW4" s="803">
        <f>FQ4+1</f>
        <v>46139</v>
      </c>
      <c r="FX4" s="804"/>
      <c r="FY4" s="804"/>
      <c r="FZ4" s="804"/>
      <c r="GA4" s="804"/>
      <c r="GB4" s="804"/>
      <c r="GC4" s="803">
        <f>FW4+1</f>
        <v>46140</v>
      </c>
      <c r="GD4" s="804"/>
      <c r="GE4" s="804"/>
      <c r="GF4" s="804"/>
      <c r="GG4" s="804"/>
      <c r="GH4" s="804"/>
      <c r="GI4" s="803">
        <f>GC4+1</f>
        <v>46141</v>
      </c>
      <c r="GJ4" s="804"/>
      <c r="GK4" s="804"/>
      <c r="GL4" s="804"/>
      <c r="GM4" s="804"/>
      <c r="GN4" s="804"/>
      <c r="GO4" s="803">
        <f>GI4+1</f>
        <v>46142</v>
      </c>
      <c r="GP4" s="804"/>
      <c r="GQ4" s="804"/>
      <c r="GR4" s="804"/>
      <c r="GS4" s="804"/>
      <c r="GT4" s="804"/>
      <c r="GU4" s="803">
        <f>GO4+1</f>
        <v>46143</v>
      </c>
      <c r="GV4" s="804"/>
      <c r="GW4" s="804"/>
      <c r="GX4" s="804"/>
      <c r="GY4" s="804"/>
      <c r="GZ4" s="804"/>
    </row>
    <row r="5" spans="1:208" s="9" customFormat="1" ht="39" customHeight="1" thickBot="1" x14ac:dyDescent="0.25">
      <c r="A5" s="124"/>
      <c r="B5" s="125"/>
      <c r="C5" s="125"/>
      <c r="D5" s="125"/>
      <c r="E5" s="125"/>
      <c r="F5" s="285" t="s">
        <v>3166</v>
      </c>
      <c r="G5" s="286" t="s">
        <v>3167</v>
      </c>
      <c r="H5" s="126"/>
      <c r="I5" s="127"/>
      <c r="J5" s="128"/>
      <c r="K5" s="128"/>
      <c r="L5" s="128"/>
      <c r="M5" s="128"/>
      <c r="N5" s="266"/>
      <c r="O5" s="211"/>
      <c r="P5" s="211"/>
      <c r="Q5" s="98" t="s">
        <v>58</v>
      </c>
      <c r="R5" s="99" t="s">
        <v>59</v>
      </c>
      <c r="S5" s="98" t="s">
        <v>60</v>
      </c>
      <c r="T5" s="99" t="s">
        <v>61</v>
      </c>
      <c r="U5" s="194" t="s">
        <v>137</v>
      </c>
      <c r="V5" s="195" t="s">
        <v>138</v>
      </c>
      <c r="W5" s="98" t="s">
        <v>58</v>
      </c>
      <c r="X5" s="99" t="s">
        <v>59</v>
      </c>
      <c r="Y5" s="98" t="s">
        <v>60</v>
      </c>
      <c r="Z5" s="99" t="s">
        <v>61</v>
      </c>
      <c r="AA5" s="194" t="s">
        <v>137</v>
      </c>
      <c r="AB5" s="195" t="s">
        <v>138</v>
      </c>
      <c r="AC5" s="98" t="s">
        <v>58</v>
      </c>
      <c r="AD5" s="99" t="s">
        <v>59</v>
      </c>
      <c r="AE5" s="98" t="s">
        <v>60</v>
      </c>
      <c r="AF5" s="99" t="s">
        <v>61</v>
      </c>
      <c r="AG5" s="194" t="s">
        <v>137</v>
      </c>
      <c r="AH5" s="195" t="s">
        <v>138</v>
      </c>
      <c r="AI5" s="98" t="s">
        <v>58</v>
      </c>
      <c r="AJ5" s="99" t="s">
        <v>59</v>
      </c>
      <c r="AK5" s="98" t="s">
        <v>60</v>
      </c>
      <c r="AL5" s="99" t="s">
        <v>61</v>
      </c>
      <c r="AM5" s="194" t="s">
        <v>137</v>
      </c>
      <c r="AN5" s="195" t="s">
        <v>138</v>
      </c>
      <c r="AO5" s="98" t="s">
        <v>58</v>
      </c>
      <c r="AP5" s="99" t="s">
        <v>59</v>
      </c>
      <c r="AQ5" s="98" t="s">
        <v>60</v>
      </c>
      <c r="AR5" s="99" t="s">
        <v>61</v>
      </c>
      <c r="AS5" s="194" t="s">
        <v>137</v>
      </c>
      <c r="AT5" s="195" t="s">
        <v>138</v>
      </c>
      <c r="AU5" s="98" t="s">
        <v>58</v>
      </c>
      <c r="AV5" s="99" t="s">
        <v>59</v>
      </c>
      <c r="AW5" s="98" t="s">
        <v>60</v>
      </c>
      <c r="AX5" s="99" t="s">
        <v>61</v>
      </c>
      <c r="AY5" s="194" t="s">
        <v>137</v>
      </c>
      <c r="AZ5" s="195" t="s">
        <v>138</v>
      </c>
      <c r="BA5" s="98" t="s">
        <v>58</v>
      </c>
      <c r="BB5" s="99" t="s">
        <v>59</v>
      </c>
      <c r="BC5" s="98" t="s">
        <v>60</v>
      </c>
      <c r="BD5" s="99" t="s">
        <v>61</v>
      </c>
      <c r="BE5" s="194" t="s">
        <v>137</v>
      </c>
      <c r="BF5" s="195" t="s">
        <v>138</v>
      </c>
      <c r="BG5" s="98" t="s">
        <v>58</v>
      </c>
      <c r="BH5" s="99" t="s">
        <v>59</v>
      </c>
      <c r="BI5" s="98" t="s">
        <v>60</v>
      </c>
      <c r="BJ5" s="99" t="s">
        <v>61</v>
      </c>
      <c r="BK5" s="194" t="s">
        <v>137</v>
      </c>
      <c r="BL5" s="195" t="s">
        <v>138</v>
      </c>
      <c r="BM5" s="98" t="s">
        <v>58</v>
      </c>
      <c r="BN5" s="99" t="s">
        <v>59</v>
      </c>
      <c r="BO5" s="98" t="s">
        <v>60</v>
      </c>
      <c r="BP5" s="99" t="s">
        <v>61</v>
      </c>
      <c r="BQ5" s="194" t="s">
        <v>137</v>
      </c>
      <c r="BR5" s="195" t="s">
        <v>138</v>
      </c>
      <c r="BS5" s="98" t="s">
        <v>58</v>
      </c>
      <c r="BT5" s="99" t="s">
        <v>59</v>
      </c>
      <c r="BU5" s="98" t="s">
        <v>60</v>
      </c>
      <c r="BV5" s="99" t="s">
        <v>61</v>
      </c>
      <c r="BW5" s="194" t="s">
        <v>137</v>
      </c>
      <c r="BX5" s="195" t="s">
        <v>138</v>
      </c>
      <c r="BY5" s="98" t="s">
        <v>58</v>
      </c>
      <c r="BZ5" s="99" t="s">
        <v>59</v>
      </c>
      <c r="CA5" s="98" t="s">
        <v>60</v>
      </c>
      <c r="CB5" s="99" t="s">
        <v>61</v>
      </c>
      <c r="CC5" s="194" t="s">
        <v>137</v>
      </c>
      <c r="CD5" s="195" t="s">
        <v>138</v>
      </c>
      <c r="CE5" s="98" t="s">
        <v>58</v>
      </c>
      <c r="CF5" s="99" t="s">
        <v>59</v>
      </c>
      <c r="CG5" s="98" t="s">
        <v>60</v>
      </c>
      <c r="CH5" s="99" t="s">
        <v>61</v>
      </c>
      <c r="CI5" s="194" t="s">
        <v>137</v>
      </c>
      <c r="CJ5" s="195" t="s">
        <v>138</v>
      </c>
      <c r="CK5" s="98" t="s">
        <v>58</v>
      </c>
      <c r="CL5" s="99" t="s">
        <v>59</v>
      </c>
      <c r="CM5" s="98" t="s">
        <v>60</v>
      </c>
      <c r="CN5" s="99" t="s">
        <v>61</v>
      </c>
      <c r="CO5" s="194" t="s">
        <v>137</v>
      </c>
      <c r="CP5" s="195" t="s">
        <v>138</v>
      </c>
      <c r="CQ5" s="98" t="s">
        <v>58</v>
      </c>
      <c r="CR5" s="99" t="s">
        <v>59</v>
      </c>
      <c r="CS5" s="98" t="s">
        <v>60</v>
      </c>
      <c r="CT5" s="99" t="s">
        <v>61</v>
      </c>
      <c r="CU5" s="194" t="s">
        <v>137</v>
      </c>
      <c r="CV5" s="195" t="s">
        <v>138</v>
      </c>
      <c r="CW5" s="98" t="s">
        <v>58</v>
      </c>
      <c r="CX5" s="99" t="s">
        <v>59</v>
      </c>
      <c r="CY5" s="98" t="s">
        <v>60</v>
      </c>
      <c r="CZ5" s="99" t="s">
        <v>61</v>
      </c>
      <c r="DA5" s="194" t="s">
        <v>137</v>
      </c>
      <c r="DB5" s="195" t="s">
        <v>138</v>
      </c>
      <c r="DC5" s="98" t="s">
        <v>58</v>
      </c>
      <c r="DD5" s="99" t="s">
        <v>59</v>
      </c>
      <c r="DE5" s="98" t="s">
        <v>60</v>
      </c>
      <c r="DF5" s="99" t="s">
        <v>61</v>
      </c>
      <c r="DG5" s="194" t="s">
        <v>137</v>
      </c>
      <c r="DH5" s="195" t="s">
        <v>138</v>
      </c>
      <c r="DI5" s="98" t="s">
        <v>58</v>
      </c>
      <c r="DJ5" s="99" t="s">
        <v>59</v>
      </c>
      <c r="DK5" s="98" t="s">
        <v>60</v>
      </c>
      <c r="DL5" s="99" t="s">
        <v>61</v>
      </c>
      <c r="DM5" s="194" t="s">
        <v>137</v>
      </c>
      <c r="DN5" s="195" t="s">
        <v>138</v>
      </c>
      <c r="DO5" s="98" t="s">
        <v>58</v>
      </c>
      <c r="DP5" s="99" t="s">
        <v>59</v>
      </c>
      <c r="DQ5" s="98" t="s">
        <v>60</v>
      </c>
      <c r="DR5" s="99" t="s">
        <v>61</v>
      </c>
      <c r="DS5" s="194" t="s">
        <v>137</v>
      </c>
      <c r="DT5" s="195" t="s">
        <v>138</v>
      </c>
      <c r="DU5" s="98" t="s">
        <v>58</v>
      </c>
      <c r="DV5" s="99" t="s">
        <v>59</v>
      </c>
      <c r="DW5" s="98" t="s">
        <v>60</v>
      </c>
      <c r="DX5" s="99" t="s">
        <v>61</v>
      </c>
      <c r="DY5" s="194" t="s">
        <v>137</v>
      </c>
      <c r="DZ5" s="195" t="s">
        <v>138</v>
      </c>
      <c r="EA5" s="98" t="s">
        <v>58</v>
      </c>
      <c r="EB5" s="99" t="s">
        <v>59</v>
      </c>
      <c r="EC5" s="98" t="s">
        <v>60</v>
      </c>
      <c r="ED5" s="99" t="s">
        <v>61</v>
      </c>
      <c r="EE5" s="194" t="s">
        <v>137</v>
      </c>
      <c r="EF5" s="195" t="s">
        <v>138</v>
      </c>
      <c r="EG5" s="98" t="s">
        <v>58</v>
      </c>
      <c r="EH5" s="99" t="s">
        <v>59</v>
      </c>
      <c r="EI5" s="98" t="s">
        <v>60</v>
      </c>
      <c r="EJ5" s="99" t="s">
        <v>61</v>
      </c>
      <c r="EK5" s="194" t="s">
        <v>137</v>
      </c>
      <c r="EL5" s="195" t="s">
        <v>138</v>
      </c>
      <c r="EM5" s="98" t="s">
        <v>58</v>
      </c>
      <c r="EN5" s="99" t="s">
        <v>59</v>
      </c>
      <c r="EO5" s="98" t="s">
        <v>60</v>
      </c>
      <c r="EP5" s="99" t="s">
        <v>61</v>
      </c>
      <c r="EQ5" s="194" t="s">
        <v>137</v>
      </c>
      <c r="ER5" s="195" t="s">
        <v>138</v>
      </c>
      <c r="ES5" s="98" t="s">
        <v>58</v>
      </c>
      <c r="ET5" s="99" t="s">
        <v>59</v>
      </c>
      <c r="EU5" s="98" t="s">
        <v>60</v>
      </c>
      <c r="EV5" s="99" t="s">
        <v>61</v>
      </c>
      <c r="EW5" s="194" t="s">
        <v>137</v>
      </c>
      <c r="EX5" s="195" t="s">
        <v>138</v>
      </c>
      <c r="EY5" s="98" t="s">
        <v>58</v>
      </c>
      <c r="EZ5" s="99" t="s">
        <v>59</v>
      </c>
      <c r="FA5" s="98" t="s">
        <v>60</v>
      </c>
      <c r="FB5" s="99" t="s">
        <v>61</v>
      </c>
      <c r="FC5" s="194" t="s">
        <v>137</v>
      </c>
      <c r="FD5" s="195" t="s">
        <v>138</v>
      </c>
      <c r="FE5" s="98" t="s">
        <v>58</v>
      </c>
      <c r="FF5" s="99" t="s">
        <v>59</v>
      </c>
      <c r="FG5" s="98" t="s">
        <v>60</v>
      </c>
      <c r="FH5" s="99" t="s">
        <v>61</v>
      </c>
      <c r="FI5" s="194" t="s">
        <v>137</v>
      </c>
      <c r="FJ5" s="195" t="s">
        <v>138</v>
      </c>
      <c r="FK5" s="98" t="s">
        <v>58</v>
      </c>
      <c r="FL5" s="99" t="s">
        <v>59</v>
      </c>
      <c r="FM5" s="98" t="s">
        <v>60</v>
      </c>
      <c r="FN5" s="99" t="s">
        <v>61</v>
      </c>
      <c r="FO5" s="194" t="s">
        <v>137</v>
      </c>
      <c r="FP5" s="195" t="s">
        <v>138</v>
      </c>
      <c r="FQ5" s="98" t="s">
        <v>58</v>
      </c>
      <c r="FR5" s="99" t="s">
        <v>59</v>
      </c>
      <c r="FS5" s="98" t="s">
        <v>60</v>
      </c>
      <c r="FT5" s="99" t="s">
        <v>61</v>
      </c>
      <c r="FU5" s="194" t="s">
        <v>137</v>
      </c>
      <c r="FV5" s="195" t="s">
        <v>138</v>
      </c>
      <c r="FW5" s="98" t="s">
        <v>58</v>
      </c>
      <c r="FX5" s="99" t="s">
        <v>59</v>
      </c>
      <c r="FY5" s="98" t="s">
        <v>60</v>
      </c>
      <c r="FZ5" s="99" t="s">
        <v>61</v>
      </c>
      <c r="GA5" s="194" t="s">
        <v>137</v>
      </c>
      <c r="GB5" s="195" t="s">
        <v>138</v>
      </c>
      <c r="GC5" s="98" t="s">
        <v>58</v>
      </c>
      <c r="GD5" s="99" t="s">
        <v>59</v>
      </c>
      <c r="GE5" s="98" t="s">
        <v>60</v>
      </c>
      <c r="GF5" s="99" t="s">
        <v>61</v>
      </c>
      <c r="GG5" s="194" t="s">
        <v>137</v>
      </c>
      <c r="GH5" s="195" t="s">
        <v>138</v>
      </c>
      <c r="GI5" s="98" t="s">
        <v>58</v>
      </c>
      <c r="GJ5" s="99" t="s">
        <v>59</v>
      </c>
      <c r="GK5" s="98" t="s">
        <v>60</v>
      </c>
      <c r="GL5" s="99" t="s">
        <v>61</v>
      </c>
      <c r="GM5" s="194" t="s">
        <v>137</v>
      </c>
      <c r="GN5" s="195" t="s">
        <v>138</v>
      </c>
      <c r="GO5" s="98" t="s">
        <v>58</v>
      </c>
      <c r="GP5" s="99" t="s">
        <v>59</v>
      </c>
      <c r="GQ5" s="98" t="s">
        <v>60</v>
      </c>
      <c r="GR5" s="99" t="s">
        <v>61</v>
      </c>
      <c r="GS5" s="194" t="s">
        <v>137</v>
      </c>
      <c r="GT5" s="195" t="s">
        <v>138</v>
      </c>
      <c r="GU5" s="98" t="s">
        <v>58</v>
      </c>
      <c r="GV5" s="99" t="s">
        <v>59</v>
      </c>
      <c r="GW5" s="98" t="s">
        <v>60</v>
      </c>
      <c r="GX5" s="99" t="s">
        <v>61</v>
      </c>
      <c r="GY5" s="194" t="s">
        <v>137</v>
      </c>
      <c r="GZ5" s="195" t="s">
        <v>138</v>
      </c>
    </row>
    <row r="6" spans="1:208" s="62" customFormat="1" ht="22.5" customHeight="1" x14ac:dyDescent="0.2">
      <c r="A6" t="s">
        <v>3177</v>
      </c>
      <c r="B6" s="429" t="s">
        <v>3178</v>
      </c>
      <c r="C6" s="430">
        <v>1</v>
      </c>
      <c r="D6" s="431" t="s">
        <v>3179</v>
      </c>
      <c r="E6" s="431" t="s">
        <v>3180</v>
      </c>
      <c r="F6" s="432" t="s">
        <v>3166</v>
      </c>
      <c r="G6" s="432" t="s">
        <v>3167</v>
      </c>
      <c r="H6" s="270" t="s">
        <v>1463</v>
      </c>
      <c r="I6" s="271" t="s">
        <v>1463</v>
      </c>
      <c r="J6" s="328" t="s">
        <v>3168</v>
      </c>
      <c r="K6" s="329" t="s">
        <v>3169</v>
      </c>
      <c r="L6" s="256">
        <f>CONTINUA!BV6</f>
        <v>0</v>
      </c>
      <c r="M6" s="256">
        <f>CONTINUA!BW6</f>
        <v>0</v>
      </c>
      <c r="N6" s="267"/>
      <c r="O6" s="215" t="s">
        <v>3332</v>
      </c>
      <c r="P6" s="257">
        <v>0</v>
      </c>
      <c r="Q6" s="319">
        <v>4</v>
      </c>
      <c r="R6" s="320"/>
      <c r="S6" s="319">
        <v>0</v>
      </c>
      <c r="T6" s="320"/>
      <c r="U6" s="321">
        <v>0</v>
      </c>
      <c r="V6" s="322">
        <v>0</v>
      </c>
      <c r="W6" s="319">
        <v>4</v>
      </c>
      <c r="X6" s="320"/>
      <c r="Y6" s="319">
        <v>0</v>
      </c>
      <c r="Z6" s="320"/>
      <c r="AA6" s="321">
        <v>0</v>
      </c>
      <c r="AB6" s="322">
        <v>0</v>
      </c>
      <c r="AC6" s="319">
        <v>4</v>
      </c>
      <c r="AD6" s="320"/>
      <c r="AE6" s="319">
        <v>0</v>
      </c>
      <c r="AF6" s="320"/>
      <c r="AG6" s="321">
        <v>0</v>
      </c>
      <c r="AH6" s="322">
        <v>0</v>
      </c>
      <c r="AI6" s="319">
        <v>4</v>
      </c>
      <c r="AJ6" s="320"/>
      <c r="AK6" s="319">
        <v>0</v>
      </c>
      <c r="AL6" s="320"/>
      <c r="AM6" s="321">
        <v>0</v>
      </c>
      <c r="AN6" s="322">
        <v>0</v>
      </c>
      <c r="AO6" s="319">
        <v>4</v>
      </c>
      <c r="AP6" s="320"/>
      <c r="AQ6" s="319">
        <v>0</v>
      </c>
      <c r="AR6" s="320"/>
      <c r="AS6" s="321">
        <v>0</v>
      </c>
      <c r="AT6" s="322">
        <v>0</v>
      </c>
      <c r="AU6" s="319">
        <v>4</v>
      </c>
      <c r="AV6" s="320"/>
      <c r="AW6" s="319">
        <v>0</v>
      </c>
      <c r="AX6" s="320"/>
      <c r="AY6" s="321">
        <v>0</v>
      </c>
      <c r="AZ6" s="322">
        <v>0</v>
      </c>
      <c r="BA6" s="319">
        <v>4</v>
      </c>
      <c r="BB6" s="320"/>
      <c r="BC6" s="319">
        <v>0</v>
      </c>
      <c r="BD6" s="320"/>
      <c r="BE6" s="321">
        <v>0</v>
      </c>
      <c r="BF6" s="322">
        <v>0</v>
      </c>
      <c r="BG6" s="319">
        <v>4</v>
      </c>
      <c r="BH6" s="320"/>
      <c r="BI6" s="319">
        <v>0</v>
      </c>
      <c r="BJ6" s="320"/>
      <c r="BK6" s="321">
        <v>0</v>
      </c>
      <c r="BL6" s="322">
        <v>0</v>
      </c>
      <c r="BM6" s="319">
        <v>4</v>
      </c>
      <c r="BN6" s="320"/>
      <c r="BO6" s="319">
        <v>0</v>
      </c>
      <c r="BP6" s="320"/>
      <c r="BQ6" s="321">
        <v>0</v>
      </c>
      <c r="BR6" s="322">
        <v>0</v>
      </c>
      <c r="BS6" s="319">
        <v>4</v>
      </c>
      <c r="BT6" s="320"/>
      <c r="BU6" s="319">
        <v>0</v>
      </c>
      <c r="BV6" s="320"/>
      <c r="BW6" s="321">
        <v>0</v>
      </c>
      <c r="BX6" s="322">
        <v>0</v>
      </c>
      <c r="BY6" s="319">
        <v>4</v>
      </c>
      <c r="BZ6" s="320"/>
      <c r="CA6" s="319">
        <v>0</v>
      </c>
      <c r="CB6" s="320"/>
      <c r="CC6" s="321">
        <v>0</v>
      </c>
      <c r="CD6" s="322">
        <v>0</v>
      </c>
      <c r="CE6" s="319">
        <v>4</v>
      </c>
      <c r="CF6" s="320"/>
      <c r="CG6" s="319">
        <v>0</v>
      </c>
      <c r="CH6" s="320"/>
      <c r="CI6" s="321">
        <v>0</v>
      </c>
      <c r="CJ6" s="322">
        <v>0</v>
      </c>
      <c r="CK6" s="319">
        <v>4</v>
      </c>
      <c r="CL6" s="320"/>
      <c r="CM6" s="319">
        <v>0</v>
      </c>
      <c r="CN6" s="320"/>
      <c r="CO6" s="321">
        <v>0</v>
      </c>
      <c r="CP6" s="322">
        <v>0</v>
      </c>
      <c r="CQ6" s="319">
        <v>4</v>
      </c>
      <c r="CR6" s="320"/>
      <c r="CS6" s="319">
        <v>0</v>
      </c>
      <c r="CT6" s="320"/>
      <c r="CU6" s="321">
        <v>0</v>
      </c>
      <c r="CV6" s="322">
        <v>0</v>
      </c>
      <c r="CW6" s="319">
        <v>4</v>
      </c>
      <c r="CX6" s="320"/>
      <c r="CY6" s="319">
        <v>0</v>
      </c>
      <c r="CZ6" s="320"/>
      <c r="DA6" s="321">
        <v>0</v>
      </c>
      <c r="DB6" s="322">
        <v>0</v>
      </c>
      <c r="DC6" s="319">
        <v>4</v>
      </c>
      <c r="DD6" s="320"/>
      <c r="DE6" s="319">
        <v>0</v>
      </c>
      <c r="DF6" s="320"/>
      <c r="DG6" s="321">
        <v>0</v>
      </c>
      <c r="DH6" s="322">
        <v>0</v>
      </c>
      <c r="DI6" s="319">
        <v>4</v>
      </c>
      <c r="DJ6" s="320"/>
      <c r="DK6" s="319">
        <v>0</v>
      </c>
      <c r="DL6" s="320"/>
      <c r="DM6" s="321">
        <v>0</v>
      </c>
      <c r="DN6" s="322">
        <v>0</v>
      </c>
      <c r="DO6" s="319">
        <v>4</v>
      </c>
      <c r="DP6" s="320"/>
      <c r="DQ6" s="319">
        <v>0</v>
      </c>
      <c r="DR6" s="320"/>
      <c r="DS6" s="321">
        <v>0</v>
      </c>
      <c r="DT6" s="322">
        <v>0</v>
      </c>
      <c r="DU6" s="319">
        <v>4</v>
      </c>
      <c r="DV6" s="320"/>
      <c r="DW6" s="319">
        <v>0</v>
      </c>
      <c r="DX6" s="320"/>
      <c r="DY6" s="321">
        <v>0</v>
      </c>
      <c r="DZ6" s="322">
        <v>0</v>
      </c>
      <c r="EA6" s="319">
        <v>4</v>
      </c>
      <c r="EB6" s="320"/>
      <c r="EC6" s="319">
        <v>0</v>
      </c>
      <c r="ED6" s="320"/>
      <c r="EE6" s="321">
        <v>0</v>
      </c>
      <c r="EF6" s="322">
        <v>0</v>
      </c>
      <c r="EG6" s="319">
        <v>4</v>
      </c>
      <c r="EH6" s="320"/>
      <c r="EI6" s="319">
        <v>0</v>
      </c>
      <c r="EJ6" s="320"/>
      <c r="EK6" s="321">
        <v>0</v>
      </c>
      <c r="EL6" s="322">
        <v>0</v>
      </c>
      <c r="EM6" s="319">
        <v>4</v>
      </c>
      <c r="EN6" s="320"/>
      <c r="EO6" s="319">
        <v>0</v>
      </c>
      <c r="EP6" s="320"/>
      <c r="EQ6" s="321">
        <v>0</v>
      </c>
      <c r="ER6" s="322">
        <v>0</v>
      </c>
      <c r="ES6" s="319">
        <v>4</v>
      </c>
      <c r="ET6" s="320"/>
      <c r="EU6" s="319">
        <v>0</v>
      </c>
      <c r="EV6" s="320"/>
      <c r="EW6" s="321">
        <v>0</v>
      </c>
      <c r="EX6" s="322">
        <v>0</v>
      </c>
      <c r="EY6" s="319">
        <v>4</v>
      </c>
      <c r="EZ6" s="320"/>
      <c r="FA6" s="319">
        <v>0</v>
      </c>
      <c r="FB6" s="320"/>
      <c r="FC6" s="321">
        <v>0</v>
      </c>
      <c r="FD6" s="322">
        <v>0</v>
      </c>
      <c r="FE6" s="319">
        <v>4</v>
      </c>
      <c r="FF6" s="320"/>
      <c r="FG6" s="319">
        <v>0</v>
      </c>
      <c r="FH6" s="320"/>
      <c r="FI6" s="321">
        <v>0</v>
      </c>
      <c r="FJ6" s="322">
        <v>0</v>
      </c>
      <c r="FK6" s="319">
        <v>4</v>
      </c>
      <c r="FL6" s="320"/>
      <c r="FM6" s="319">
        <v>0</v>
      </c>
      <c r="FN6" s="320"/>
      <c r="FO6" s="321">
        <v>0</v>
      </c>
      <c r="FP6" s="322">
        <v>0</v>
      </c>
      <c r="FQ6" s="319">
        <v>4</v>
      </c>
      <c r="FR6" s="320"/>
      <c r="FS6" s="319">
        <v>0</v>
      </c>
      <c r="FT6" s="320"/>
      <c r="FU6" s="321">
        <v>0</v>
      </c>
      <c r="FV6" s="322">
        <v>0</v>
      </c>
      <c r="FW6" s="319">
        <v>4</v>
      </c>
      <c r="FX6" s="320"/>
      <c r="FY6" s="319">
        <v>0</v>
      </c>
      <c r="FZ6" s="320"/>
      <c r="GA6" s="321">
        <v>0</v>
      </c>
      <c r="GB6" s="322">
        <v>0</v>
      </c>
      <c r="GC6" s="319">
        <v>4</v>
      </c>
      <c r="GD6" s="320"/>
      <c r="GE6" s="319">
        <v>0</v>
      </c>
      <c r="GF6" s="320"/>
      <c r="GG6" s="321">
        <v>0</v>
      </c>
      <c r="GH6" s="322">
        <v>0</v>
      </c>
      <c r="GI6" s="319">
        <v>4</v>
      </c>
      <c r="GJ6" s="320"/>
      <c r="GK6" s="319">
        <v>0</v>
      </c>
      <c r="GL6" s="320"/>
      <c r="GM6" s="321">
        <v>0</v>
      </c>
      <c r="GN6" s="322">
        <v>0</v>
      </c>
      <c r="GO6" s="319">
        <v>4</v>
      </c>
      <c r="GP6" s="320"/>
      <c r="GQ6" s="319">
        <v>0</v>
      </c>
      <c r="GR6" s="320"/>
      <c r="GS6" s="321">
        <v>0</v>
      </c>
      <c r="GT6" s="322">
        <v>0</v>
      </c>
      <c r="GU6" s="319">
        <v>4</v>
      </c>
      <c r="GV6" s="320"/>
      <c r="GW6" s="319">
        <v>0</v>
      </c>
      <c r="GX6" s="320"/>
      <c r="GY6" s="321">
        <v>0</v>
      </c>
      <c r="GZ6" s="322">
        <v>0</v>
      </c>
    </row>
    <row r="7" spans="1:208" s="62" customFormat="1" ht="22.5" customHeight="1" x14ac:dyDescent="0.2">
      <c r="A7" s="287" t="s">
        <v>3177</v>
      </c>
      <c r="B7" s="288" t="s">
        <v>3178</v>
      </c>
      <c r="C7" s="289" t="s">
        <v>3170</v>
      </c>
      <c r="D7" s="290" t="s">
        <v>3179</v>
      </c>
      <c r="E7" s="290" t="s">
        <v>3180</v>
      </c>
      <c r="F7" s="291" t="s">
        <v>3166</v>
      </c>
      <c r="G7" s="291" t="s">
        <v>3167</v>
      </c>
      <c r="H7" s="292" t="s">
        <v>1463</v>
      </c>
      <c r="I7" s="293" t="s">
        <v>1463</v>
      </c>
      <c r="J7" s="340" t="s">
        <v>3168</v>
      </c>
      <c r="K7" s="340" t="s">
        <v>3171</v>
      </c>
      <c r="L7" s="256">
        <f>CONTINUA!BV7</f>
        <v>0</v>
      </c>
      <c r="M7" s="256">
        <f>CONTINUA!BW7</f>
        <v>0</v>
      </c>
      <c r="N7" s="267"/>
      <c r="O7" s="216" t="s">
        <v>3332</v>
      </c>
      <c r="P7" s="257">
        <v>0</v>
      </c>
      <c r="Q7" s="319">
        <v>49</v>
      </c>
      <c r="R7" s="320"/>
      <c r="S7" s="319">
        <v>0</v>
      </c>
      <c r="T7" s="320"/>
      <c r="U7" s="319">
        <v>0</v>
      </c>
      <c r="V7" s="320">
        <v>0</v>
      </c>
      <c r="W7" s="319">
        <v>49</v>
      </c>
      <c r="X7" s="320"/>
      <c r="Y7" s="319">
        <v>0</v>
      </c>
      <c r="Z7" s="320"/>
      <c r="AA7" s="319">
        <v>0</v>
      </c>
      <c r="AB7" s="320">
        <v>0</v>
      </c>
      <c r="AC7" s="319">
        <v>49</v>
      </c>
      <c r="AD7" s="320"/>
      <c r="AE7" s="319">
        <v>0</v>
      </c>
      <c r="AF7" s="320"/>
      <c r="AG7" s="319">
        <v>0</v>
      </c>
      <c r="AH7" s="320">
        <v>0</v>
      </c>
      <c r="AI7" s="319">
        <v>49</v>
      </c>
      <c r="AJ7" s="320"/>
      <c r="AK7" s="319">
        <v>0</v>
      </c>
      <c r="AL7" s="320"/>
      <c r="AM7" s="319">
        <v>0</v>
      </c>
      <c r="AN7" s="320">
        <v>0</v>
      </c>
      <c r="AO7" s="319">
        <v>49</v>
      </c>
      <c r="AP7" s="320"/>
      <c r="AQ7" s="319">
        <v>0</v>
      </c>
      <c r="AR7" s="320"/>
      <c r="AS7" s="319">
        <v>0</v>
      </c>
      <c r="AT7" s="320">
        <v>0</v>
      </c>
      <c r="AU7" s="319">
        <v>49</v>
      </c>
      <c r="AV7" s="320"/>
      <c r="AW7" s="319">
        <v>0</v>
      </c>
      <c r="AX7" s="320"/>
      <c r="AY7" s="319">
        <v>0</v>
      </c>
      <c r="AZ7" s="320">
        <v>0</v>
      </c>
      <c r="BA7" s="319">
        <v>49</v>
      </c>
      <c r="BB7" s="320"/>
      <c r="BC7" s="319">
        <v>0</v>
      </c>
      <c r="BD7" s="320"/>
      <c r="BE7" s="319">
        <v>0</v>
      </c>
      <c r="BF7" s="320">
        <v>0</v>
      </c>
      <c r="BG7" s="319">
        <v>49</v>
      </c>
      <c r="BH7" s="320"/>
      <c r="BI7" s="319">
        <v>0</v>
      </c>
      <c r="BJ7" s="320"/>
      <c r="BK7" s="319">
        <v>0</v>
      </c>
      <c r="BL7" s="320">
        <v>0</v>
      </c>
      <c r="BM7" s="319">
        <v>49</v>
      </c>
      <c r="BN7" s="320"/>
      <c r="BO7" s="319">
        <v>0</v>
      </c>
      <c r="BP7" s="320"/>
      <c r="BQ7" s="319">
        <v>0</v>
      </c>
      <c r="BR7" s="320">
        <v>0</v>
      </c>
      <c r="BS7" s="319">
        <v>49</v>
      </c>
      <c r="BT7" s="320"/>
      <c r="BU7" s="319">
        <v>0</v>
      </c>
      <c r="BV7" s="320"/>
      <c r="BW7" s="319">
        <v>0</v>
      </c>
      <c r="BX7" s="320">
        <v>0</v>
      </c>
      <c r="BY7" s="319">
        <v>49</v>
      </c>
      <c r="BZ7" s="320"/>
      <c r="CA7" s="319">
        <v>0</v>
      </c>
      <c r="CB7" s="320"/>
      <c r="CC7" s="319">
        <v>0</v>
      </c>
      <c r="CD7" s="320">
        <v>0</v>
      </c>
      <c r="CE7" s="319">
        <v>49</v>
      </c>
      <c r="CF7" s="320"/>
      <c r="CG7" s="319">
        <v>0</v>
      </c>
      <c r="CH7" s="320"/>
      <c r="CI7" s="319">
        <v>0</v>
      </c>
      <c r="CJ7" s="320">
        <v>0</v>
      </c>
      <c r="CK7" s="319">
        <v>49</v>
      </c>
      <c r="CL7" s="320"/>
      <c r="CM7" s="319">
        <v>0</v>
      </c>
      <c r="CN7" s="320"/>
      <c r="CO7" s="319">
        <v>0</v>
      </c>
      <c r="CP7" s="320">
        <v>0</v>
      </c>
      <c r="CQ7" s="319">
        <v>49</v>
      </c>
      <c r="CR7" s="320"/>
      <c r="CS7" s="319">
        <v>0</v>
      </c>
      <c r="CT7" s="320"/>
      <c r="CU7" s="319">
        <v>0</v>
      </c>
      <c r="CV7" s="320">
        <v>0</v>
      </c>
      <c r="CW7" s="319">
        <v>49</v>
      </c>
      <c r="CX7" s="320"/>
      <c r="CY7" s="319">
        <v>0</v>
      </c>
      <c r="CZ7" s="320"/>
      <c r="DA7" s="319">
        <v>0</v>
      </c>
      <c r="DB7" s="320">
        <v>0</v>
      </c>
      <c r="DC7" s="319">
        <v>49</v>
      </c>
      <c r="DD7" s="320"/>
      <c r="DE7" s="319">
        <v>0</v>
      </c>
      <c r="DF7" s="320"/>
      <c r="DG7" s="319">
        <v>0</v>
      </c>
      <c r="DH7" s="320">
        <v>0</v>
      </c>
      <c r="DI7" s="319">
        <v>49</v>
      </c>
      <c r="DJ7" s="320"/>
      <c r="DK7" s="319">
        <v>0</v>
      </c>
      <c r="DL7" s="320"/>
      <c r="DM7" s="319">
        <v>0</v>
      </c>
      <c r="DN7" s="320">
        <v>0</v>
      </c>
      <c r="DO7" s="319">
        <v>49</v>
      </c>
      <c r="DP7" s="320"/>
      <c r="DQ7" s="319">
        <v>0</v>
      </c>
      <c r="DR7" s="320"/>
      <c r="DS7" s="319">
        <v>0</v>
      </c>
      <c r="DT7" s="320">
        <v>0</v>
      </c>
      <c r="DU7" s="319">
        <v>49</v>
      </c>
      <c r="DV7" s="320"/>
      <c r="DW7" s="319">
        <v>0</v>
      </c>
      <c r="DX7" s="320"/>
      <c r="DY7" s="319">
        <v>0</v>
      </c>
      <c r="DZ7" s="320">
        <v>0</v>
      </c>
      <c r="EA7" s="319">
        <v>49</v>
      </c>
      <c r="EB7" s="320"/>
      <c r="EC7" s="319">
        <v>0</v>
      </c>
      <c r="ED7" s="320"/>
      <c r="EE7" s="319">
        <v>0</v>
      </c>
      <c r="EF7" s="320">
        <v>0</v>
      </c>
      <c r="EG7" s="319">
        <v>49</v>
      </c>
      <c r="EH7" s="320"/>
      <c r="EI7" s="319">
        <v>0</v>
      </c>
      <c r="EJ7" s="320"/>
      <c r="EK7" s="319">
        <v>0</v>
      </c>
      <c r="EL7" s="320">
        <v>0</v>
      </c>
      <c r="EM7" s="319">
        <v>49</v>
      </c>
      <c r="EN7" s="320"/>
      <c r="EO7" s="319">
        <v>0</v>
      </c>
      <c r="EP7" s="320"/>
      <c r="EQ7" s="319">
        <v>0</v>
      </c>
      <c r="ER7" s="320">
        <v>0</v>
      </c>
      <c r="ES7" s="319">
        <v>49</v>
      </c>
      <c r="ET7" s="320"/>
      <c r="EU7" s="319">
        <v>0</v>
      </c>
      <c r="EV7" s="320"/>
      <c r="EW7" s="319">
        <v>0</v>
      </c>
      <c r="EX7" s="320">
        <v>0</v>
      </c>
      <c r="EY7" s="319">
        <v>49</v>
      </c>
      <c r="EZ7" s="320"/>
      <c r="FA7" s="319">
        <v>0</v>
      </c>
      <c r="FB7" s="320"/>
      <c r="FC7" s="319">
        <v>0</v>
      </c>
      <c r="FD7" s="320">
        <v>0</v>
      </c>
      <c r="FE7" s="319">
        <v>49</v>
      </c>
      <c r="FF7" s="320"/>
      <c r="FG7" s="319">
        <v>0</v>
      </c>
      <c r="FH7" s="320"/>
      <c r="FI7" s="319">
        <v>0</v>
      </c>
      <c r="FJ7" s="320">
        <v>0</v>
      </c>
      <c r="FK7" s="319">
        <v>49</v>
      </c>
      <c r="FL7" s="320"/>
      <c r="FM7" s="319">
        <v>0</v>
      </c>
      <c r="FN7" s="320"/>
      <c r="FO7" s="319">
        <v>0</v>
      </c>
      <c r="FP7" s="320">
        <v>0</v>
      </c>
      <c r="FQ7" s="319">
        <v>49</v>
      </c>
      <c r="FR7" s="320"/>
      <c r="FS7" s="319">
        <v>0</v>
      </c>
      <c r="FT7" s="320"/>
      <c r="FU7" s="319">
        <v>0</v>
      </c>
      <c r="FV7" s="320">
        <v>0</v>
      </c>
      <c r="FW7" s="319">
        <v>49</v>
      </c>
      <c r="FX7" s="320"/>
      <c r="FY7" s="319">
        <v>0</v>
      </c>
      <c r="FZ7" s="320"/>
      <c r="GA7" s="319">
        <v>0</v>
      </c>
      <c r="GB7" s="320">
        <v>0</v>
      </c>
      <c r="GC7" s="319">
        <v>49</v>
      </c>
      <c r="GD7" s="320"/>
      <c r="GE7" s="319">
        <v>0</v>
      </c>
      <c r="GF7" s="320"/>
      <c r="GG7" s="319">
        <v>0</v>
      </c>
      <c r="GH7" s="320">
        <v>0</v>
      </c>
      <c r="GI7" s="319">
        <v>49</v>
      </c>
      <c r="GJ7" s="320"/>
      <c r="GK7" s="319">
        <v>0</v>
      </c>
      <c r="GL7" s="320"/>
      <c r="GM7" s="319">
        <v>0</v>
      </c>
      <c r="GN7" s="320">
        <v>0</v>
      </c>
      <c r="GO7" s="319">
        <v>49</v>
      </c>
      <c r="GP7" s="320"/>
      <c r="GQ7" s="319">
        <v>0</v>
      </c>
      <c r="GR7" s="320"/>
      <c r="GS7" s="319">
        <v>0</v>
      </c>
      <c r="GT7" s="320">
        <v>0</v>
      </c>
      <c r="GU7" s="319">
        <v>49</v>
      </c>
      <c r="GV7" s="320"/>
      <c r="GW7" s="319">
        <v>0</v>
      </c>
      <c r="GX7" s="320"/>
      <c r="GY7" s="319">
        <v>0</v>
      </c>
      <c r="GZ7" s="320">
        <v>0</v>
      </c>
    </row>
    <row r="8" spans="1:208" s="62" customFormat="1" ht="22.5" customHeight="1" x14ac:dyDescent="0.2">
      <c r="A8" s="287" t="s">
        <v>3177</v>
      </c>
      <c r="B8" s="288" t="s">
        <v>3178</v>
      </c>
      <c r="C8" s="294" t="s">
        <v>3170</v>
      </c>
      <c r="D8" s="290" t="s">
        <v>3179</v>
      </c>
      <c r="E8" s="290" t="s">
        <v>3180</v>
      </c>
      <c r="F8" s="295" t="s">
        <v>3166</v>
      </c>
      <c r="G8" s="295" t="s">
        <v>3167</v>
      </c>
      <c r="H8" s="292" t="s">
        <v>1463</v>
      </c>
      <c r="I8" s="293" t="s">
        <v>1463</v>
      </c>
      <c r="J8" s="340" t="s">
        <v>3168</v>
      </c>
      <c r="K8" s="341" t="s">
        <v>3172</v>
      </c>
      <c r="L8" s="256">
        <f>CONTINUA!BV8</f>
        <v>0</v>
      </c>
      <c r="M8" s="256">
        <f>CONTINUA!BW8</f>
        <v>0</v>
      </c>
      <c r="N8" s="267"/>
      <c r="O8" s="216" t="s">
        <v>3332</v>
      </c>
      <c r="P8" s="257">
        <v>0</v>
      </c>
      <c r="Q8" s="319">
        <v>0</v>
      </c>
      <c r="R8" s="320"/>
      <c r="S8" s="319">
        <v>0</v>
      </c>
      <c r="T8" s="320"/>
      <c r="U8" s="319">
        <v>0</v>
      </c>
      <c r="V8" s="320">
        <v>0</v>
      </c>
      <c r="W8" s="319">
        <v>0</v>
      </c>
      <c r="X8" s="320"/>
      <c r="Y8" s="319">
        <v>0</v>
      </c>
      <c r="Z8" s="320"/>
      <c r="AA8" s="319">
        <v>0</v>
      </c>
      <c r="AB8" s="320">
        <v>0</v>
      </c>
      <c r="AC8" s="319">
        <v>0</v>
      </c>
      <c r="AD8" s="320"/>
      <c r="AE8" s="319">
        <v>0</v>
      </c>
      <c r="AF8" s="320"/>
      <c r="AG8" s="319">
        <v>0</v>
      </c>
      <c r="AH8" s="320">
        <v>0</v>
      </c>
      <c r="AI8" s="319">
        <v>0</v>
      </c>
      <c r="AJ8" s="320"/>
      <c r="AK8" s="319">
        <v>0</v>
      </c>
      <c r="AL8" s="320"/>
      <c r="AM8" s="319">
        <v>0</v>
      </c>
      <c r="AN8" s="320">
        <v>0</v>
      </c>
      <c r="AO8" s="319">
        <v>0</v>
      </c>
      <c r="AP8" s="320"/>
      <c r="AQ8" s="319">
        <v>0</v>
      </c>
      <c r="AR8" s="320"/>
      <c r="AS8" s="319">
        <v>0</v>
      </c>
      <c r="AT8" s="320">
        <v>0</v>
      </c>
      <c r="AU8" s="319">
        <v>0</v>
      </c>
      <c r="AV8" s="320"/>
      <c r="AW8" s="319">
        <v>0</v>
      </c>
      <c r="AX8" s="320"/>
      <c r="AY8" s="319">
        <v>0</v>
      </c>
      <c r="AZ8" s="320">
        <v>0</v>
      </c>
      <c r="BA8" s="319">
        <v>0</v>
      </c>
      <c r="BB8" s="320"/>
      <c r="BC8" s="319">
        <v>0</v>
      </c>
      <c r="BD8" s="320"/>
      <c r="BE8" s="319">
        <v>0</v>
      </c>
      <c r="BF8" s="320">
        <v>0</v>
      </c>
      <c r="BG8" s="319">
        <v>0</v>
      </c>
      <c r="BH8" s="320"/>
      <c r="BI8" s="319">
        <v>0</v>
      </c>
      <c r="BJ8" s="320"/>
      <c r="BK8" s="319">
        <v>0</v>
      </c>
      <c r="BL8" s="320">
        <v>0</v>
      </c>
      <c r="BM8" s="319">
        <v>0</v>
      </c>
      <c r="BN8" s="320"/>
      <c r="BO8" s="319">
        <v>0</v>
      </c>
      <c r="BP8" s="320"/>
      <c r="BQ8" s="319">
        <v>0</v>
      </c>
      <c r="BR8" s="320">
        <v>0</v>
      </c>
      <c r="BS8" s="319">
        <v>0</v>
      </c>
      <c r="BT8" s="320"/>
      <c r="BU8" s="319">
        <v>0</v>
      </c>
      <c r="BV8" s="320"/>
      <c r="BW8" s="319">
        <v>0</v>
      </c>
      <c r="BX8" s="320">
        <v>0</v>
      </c>
      <c r="BY8" s="319">
        <v>0</v>
      </c>
      <c r="BZ8" s="320"/>
      <c r="CA8" s="319">
        <v>0</v>
      </c>
      <c r="CB8" s="320"/>
      <c r="CC8" s="319">
        <v>0</v>
      </c>
      <c r="CD8" s="320">
        <v>0</v>
      </c>
      <c r="CE8" s="319">
        <v>0</v>
      </c>
      <c r="CF8" s="320"/>
      <c r="CG8" s="319">
        <v>0</v>
      </c>
      <c r="CH8" s="320"/>
      <c r="CI8" s="319">
        <v>0</v>
      </c>
      <c r="CJ8" s="320">
        <v>0</v>
      </c>
      <c r="CK8" s="319">
        <v>0</v>
      </c>
      <c r="CL8" s="320"/>
      <c r="CM8" s="319">
        <v>0</v>
      </c>
      <c r="CN8" s="320"/>
      <c r="CO8" s="319">
        <v>0</v>
      </c>
      <c r="CP8" s="320">
        <v>0</v>
      </c>
      <c r="CQ8" s="319">
        <v>0</v>
      </c>
      <c r="CR8" s="320"/>
      <c r="CS8" s="319">
        <v>0</v>
      </c>
      <c r="CT8" s="320"/>
      <c r="CU8" s="319">
        <v>0</v>
      </c>
      <c r="CV8" s="320">
        <v>0</v>
      </c>
      <c r="CW8" s="319">
        <v>0</v>
      </c>
      <c r="CX8" s="320"/>
      <c r="CY8" s="319">
        <v>0</v>
      </c>
      <c r="CZ8" s="320"/>
      <c r="DA8" s="319">
        <v>0</v>
      </c>
      <c r="DB8" s="320">
        <v>0</v>
      </c>
      <c r="DC8" s="319">
        <v>0</v>
      </c>
      <c r="DD8" s="320"/>
      <c r="DE8" s="319">
        <v>0</v>
      </c>
      <c r="DF8" s="320"/>
      <c r="DG8" s="319">
        <v>0</v>
      </c>
      <c r="DH8" s="320">
        <v>0</v>
      </c>
      <c r="DI8" s="319">
        <v>0</v>
      </c>
      <c r="DJ8" s="320"/>
      <c r="DK8" s="319">
        <v>0</v>
      </c>
      <c r="DL8" s="320"/>
      <c r="DM8" s="319">
        <v>0</v>
      </c>
      <c r="DN8" s="320">
        <v>0</v>
      </c>
      <c r="DO8" s="319">
        <v>0</v>
      </c>
      <c r="DP8" s="320"/>
      <c r="DQ8" s="319">
        <v>0</v>
      </c>
      <c r="DR8" s="320"/>
      <c r="DS8" s="319">
        <v>0</v>
      </c>
      <c r="DT8" s="320">
        <v>0</v>
      </c>
      <c r="DU8" s="319">
        <v>0</v>
      </c>
      <c r="DV8" s="320"/>
      <c r="DW8" s="319">
        <v>0</v>
      </c>
      <c r="DX8" s="320"/>
      <c r="DY8" s="319">
        <v>0</v>
      </c>
      <c r="DZ8" s="320">
        <v>0</v>
      </c>
      <c r="EA8" s="319">
        <v>0</v>
      </c>
      <c r="EB8" s="320"/>
      <c r="EC8" s="319">
        <v>0</v>
      </c>
      <c r="ED8" s="320"/>
      <c r="EE8" s="319">
        <v>0</v>
      </c>
      <c r="EF8" s="320">
        <v>0</v>
      </c>
      <c r="EG8" s="319">
        <v>0</v>
      </c>
      <c r="EH8" s="320"/>
      <c r="EI8" s="319">
        <v>0</v>
      </c>
      <c r="EJ8" s="320"/>
      <c r="EK8" s="319">
        <v>0</v>
      </c>
      <c r="EL8" s="320">
        <v>0</v>
      </c>
      <c r="EM8" s="319">
        <v>0</v>
      </c>
      <c r="EN8" s="320"/>
      <c r="EO8" s="319">
        <v>0</v>
      </c>
      <c r="EP8" s="320"/>
      <c r="EQ8" s="319">
        <v>0</v>
      </c>
      <c r="ER8" s="320">
        <v>0</v>
      </c>
      <c r="ES8" s="319">
        <v>0</v>
      </c>
      <c r="ET8" s="320"/>
      <c r="EU8" s="319">
        <v>0</v>
      </c>
      <c r="EV8" s="320"/>
      <c r="EW8" s="319">
        <v>0</v>
      </c>
      <c r="EX8" s="320">
        <v>0</v>
      </c>
      <c r="EY8" s="319">
        <v>0</v>
      </c>
      <c r="EZ8" s="320"/>
      <c r="FA8" s="319">
        <v>0</v>
      </c>
      <c r="FB8" s="320"/>
      <c r="FC8" s="319">
        <v>0</v>
      </c>
      <c r="FD8" s="320">
        <v>0</v>
      </c>
      <c r="FE8" s="319">
        <v>0</v>
      </c>
      <c r="FF8" s="320"/>
      <c r="FG8" s="319">
        <v>0</v>
      </c>
      <c r="FH8" s="320"/>
      <c r="FI8" s="319">
        <v>0</v>
      </c>
      <c r="FJ8" s="320">
        <v>0</v>
      </c>
      <c r="FK8" s="319">
        <v>0</v>
      </c>
      <c r="FL8" s="320"/>
      <c r="FM8" s="319">
        <v>0</v>
      </c>
      <c r="FN8" s="320"/>
      <c r="FO8" s="319">
        <v>0</v>
      </c>
      <c r="FP8" s="320">
        <v>0</v>
      </c>
      <c r="FQ8" s="319">
        <v>0</v>
      </c>
      <c r="FR8" s="320"/>
      <c r="FS8" s="319">
        <v>0</v>
      </c>
      <c r="FT8" s="320"/>
      <c r="FU8" s="319">
        <v>0</v>
      </c>
      <c r="FV8" s="320">
        <v>0</v>
      </c>
      <c r="FW8" s="319">
        <v>0</v>
      </c>
      <c r="FX8" s="320"/>
      <c r="FY8" s="319">
        <v>0</v>
      </c>
      <c r="FZ8" s="320"/>
      <c r="GA8" s="319">
        <v>0</v>
      </c>
      <c r="GB8" s="320">
        <v>0</v>
      </c>
      <c r="GC8" s="319">
        <v>0</v>
      </c>
      <c r="GD8" s="320"/>
      <c r="GE8" s="319">
        <v>0</v>
      </c>
      <c r="GF8" s="320"/>
      <c r="GG8" s="319">
        <v>0</v>
      </c>
      <c r="GH8" s="320">
        <v>0</v>
      </c>
      <c r="GI8" s="319">
        <v>0</v>
      </c>
      <c r="GJ8" s="320"/>
      <c r="GK8" s="319">
        <v>0</v>
      </c>
      <c r="GL8" s="320"/>
      <c r="GM8" s="319">
        <v>0</v>
      </c>
      <c r="GN8" s="320">
        <v>0</v>
      </c>
      <c r="GO8" s="319">
        <v>0</v>
      </c>
      <c r="GP8" s="320"/>
      <c r="GQ8" s="319">
        <v>0</v>
      </c>
      <c r="GR8" s="320"/>
      <c r="GS8" s="319">
        <v>0</v>
      </c>
      <c r="GT8" s="320">
        <v>0</v>
      </c>
      <c r="GU8" s="319">
        <v>0</v>
      </c>
      <c r="GV8" s="320"/>
      <c r="GW8" s="319">
        <v>0</v>
      </c>
      <c r="GX8" s="320"/>
      <c r="GY8" s="319">
        <v>0</v>
      </c>
      <c r="GZ8" s="320">
        <v>0</v>
      </c>
    </row>
    <row r="9" spans="1:208" s="63" customFormat="1" ht="22.5" customHeight="1" x14ac:dyDescent="0.2">
      <c r="A9" s="287" t="s">
        <v>3177</v>
      </c>
      <c r="B9" s="288" t="s">
        <v>3178</v>
      </c>
      <c r="C9" s="294" t="s">
        <v>3170</v>
      </c>
      <c r="D9" s="290" t="s">
        <v>3179</v>
      </c>
      <c r="E9" s="290" t="s">
        <v>3180</v>
      </c>
      <c r="F9" s="295" t="s">
        <v>3166</v>
      </c>
      <c r="G9" s="295" t="s">
        <v>3167</v>
      </c>
      <c r="H9" s="292" t="s">
        <v>1463</v>
      </c>
      <c r="I9" s="293" t="s">
        <v>1463</v>
      </c>
      <c r="J9" s="340" t="s">
        <v>3168</v>
      </c>
      <c r="K9" s="342" t="s">
        <v>3173</v>
      </c>
      <c r="L9" s="256">
        <f>CONTINUA!BV9</f>
        <v>0</v>
      </c>
      <c r="M9" s="256">
        <f>CONTINUA!BW9</f>
        <v>0</v>
      </c>
      <c r="N9" s="267"/>
      <c r="O9" s="216" t="s">
        <v>3332</v>
      </c>
      <c r="P9" s="257">
        <v>0</v>
      </c>
      <c r="Q9" s="319">
        <v>0</v>
      </c>
      <c r="R9" s="320"/>
      <c r="S9" s="319">
        <v>0</v>
      </c>
      <c r="T9" s="320"/>
      <c r="U9" s="319">
        <v>0</v>
      </c>
      <c r="V9" s="320">
        <v>0</v>
      </c>
      <c r="W9" s="319">
        <v>0</v>
      </c>
      <c r="X9" s="320"/>
      <c r="Y9" s="319">
        <v>0</v>
      </c>
      <c r="Z9" s="320"/>
      <c r="AA9" s="319">
        <v>0</v>
      </c>
      <c r="AB9" s="320">
        <v>0</v>
      </c>
      <c r="AC9" s="319">
        <v>0</v>
      </c>
      <c r="AD9" s="320"/>
      <c r="AE9" s="319">
        <v>0</v>
      </c>
      <c r="AF9" s="320"/>
      <c r="AG9" s="319">
        <v>0</v>
      </c>
      <c r="AH9" s="320">
        <v>0</v>
      </c>
      <c r="AI9" s="319">
        <v>0</v>
      </c>
      <c r="AJ9" s="320"/>
      <c r="AK9" s="319">
        <v>0</v>
      </c>
      <c r="AL9" s="320"/>
      <c r="AM9" s="319">
        <v>0</v>
      </c>
      <c r="AN9" s="320">
        <v>0</v>
      </c>
      <c r="AO9" s="319">
        <v>0</v>
      </c>
      <c r="AP9" s="320"/>
      <c r="AQ9" s="319">
        <v>0</v>
      </c>
      <c r="AR9" s="320"/>
      <c r="AS9" s="319">
        <v>0</v>
      </c>
      <c r="AT9" s="320">
        <v>0</v>
      </c>
      <c r="AU9" s="319">
        <v>0</v>
      </c>
      <c r="AV9" s="320"/>
      <c r="AW9" s="319">
        <v>0</v>
      </c>
      <c r="AX9" s="320"/>
      <c r="AY9" s="319">
        <v>0</v>
      </c>
      <c r="AZ9" s="320">
        <v>0</v>
      </c>
      <c r="BA9" s="319">
        <v>0</v>
      </c>
      <c r="BB9" s="320"/>
      <c r="BC9" s="319">
        <v>0</v>
      </c>
      <c r="BD9" s="320"/>
      <c r="BE9" s="319">
        <v>0</v>
      </c>
      <c r="BF9" s="320">
        <v>0</v>
      </c>
      <c r="BG9" s="319">
        <v>0</v>
      </c>
      <c r="BH9" s="320"/>
      <c r="BI9" s="319">
        <v>0</v>
      </c>
      <c r="BJ9" s="320"/>
      <c r="BK9" s="319">
        <v>0</v>
      </c>
      <c r="BL9" s="320">
        <v>0</v>
      </c>
      <c r="BM9" s="319">
        <v>0</v>
      </c>
      <c r="BN9" s="320"/>
      <c r="BO9" s="319">
        <v>0</v>
      </c>
      <c r="BP9" s="320"/>
      <c r="BQ9" s="319">
        <v>0</v>
      </c>
      <c r="BR9" s="320">
        <v>0</v>
      </c>
      <c r="BS9" s="319">
        <v>0</v>
      </c>
      <c r="BT9" s="320"/>
      <c r="BU9" s="319">
        <v>0</v>
      </c>
      <c r="BV9" s="320"/>
      <c r="BW9" s="319">
        <v>0</v>
      </c>
      <c r="BX9" s="320">
        <v>0</v>
      </c>
      <c r="BY9" s="319">
        <v>0</v>
      </c>
      <c r="BZ9" s="320"/>
      <c r="CA9" s="319">
        <v>0</v>
      </c>
      <c r="CB9" s="320"/>
      <c r="CC9" s="319">
        <v>0</v>
      </c>
      <c r="CD9" s="320">
        <v>0</v>
      </c>
      <c r="CE9" s="319">
        <v>0</v>
      </c>
      <c r="CF9" s="320"/>
      <c r="CG9" s="319">
        <v>0</v>
      </c>
      <c r="CH9" s="320"/>
      <c r="CI9" s="319">
        <v>0</v>
      </c>
      <c r="CJ9" s="320">
        <v>0</v>
      </c>
      <c r="CK9" s="319">
        <v>0</v>
      </c>
      <c r="CL9" s="320"/>
      <c r="CM9" s="319">
        <v>0</v>
      </c>
      <c r="CN9" s="320"/>
      <c r="CO9" s="319">
        <v>0</v>
      </c>
      <c r="CP9" s="320">
        <v>0</v>
      </c>
      <c r="CQ9" s="319">
        <v>0</v>
      </c>
      <c r="CR9" s="320"/>
      <c r="CS9" s="319">
        <v>0</v>
      </c>
      <c r="CT9" s="320"/>
      <c r="CU9" s="319">
        <v>0</v>
      </c>
      <c r="CV9" s="320">
        <v>0</v>
      </c>
      <c r="CW9" s="319">
        <v>0</v>
      </c>
      <c r="CX9" s="320"/>
      <c r="CY9" s="319">
        <v>0</v>
      </c>
      <c r="CZ9" s="320"/>
      <c r="DA9" s="319">
        <v>0</v>
      </c>
      <c r="DB9" s="320">
        <v>0</v>
      </c>
      <c r="DC9" s="319">
        <v>0</v>
      </c>
      <c r="DD9" s="320"/>
      <c r="DE9" s="319">
        <v>0</v>
      </c>
      <c r="DF9" s="320"/>
      <c r="DG9" s="319">
        <v>0</v>
      </c>
      <c r="DH9" s="320">
        <v>0</v>
      </c>
      <c r="DI9" s="319">
        <v>0</v>
      </c>
      <c r="DJ9" s="320"/>
      <c r="DK9" s="319">
        <v>0</v>
      </c>
      <c r="DL9" s="320"/>
      <c r="DM9" s="319">
        <v>0</v>
      </c>
      <c r="DN9" s="320">
        <v>0</v>
      </c>
      <c r="DO9" s="319">
        <v>0</v>
      </c>
      <c r="DP9" s="320"/>
      <c r="DQ9" s="319">
        <v>0</v>
      </c>
      <c r="DR9" s="320"/>
      <c r="DS9" s="319">
        <v>0</v>
      </c>
      <c r="DT9" s="320">
        <v>0</v>
      </c>
      <c r="DU9" s="319">
        <v>0</v>
      </c>
      <c r="DV9" s="320"/>
      <c r="DW9" s="319">
        <v>0</v>
      </c>
      <c r="DX9" s="320"/>
      <c r="DY9" s="319">
        <v>0</v>
      </c>
      <c r="DZ9" s="320">
        <v>0</v>
      </c>
      <c r="EA9" s="319">
        <v>0</v>
      </c>
      <c r="EB9" s="320"/>
      <c r="EC9" s="319">
        <v>0</v>
      </c>
      <c r="ED9" s="320"/>
      <c r="EE9" s="319">
        <v>0</v>
      </c>
      <c r="EF9" s="320">
        <v>0</v>
      </c>
      <c r="EG9" s="319">
        <v>0</v>
      </c>
      <c r="EH9" s="320"/>
      <c r="EI9" s="319">
        <v>0</v>
      </c>
      <c r="EJ9" s="320"/>
      <c r="EK9" s="319">
        <v>0</v>
      </c>
      <c r="EL9" s="320">
        <v>0</v>
      </c>
      <c r="EM9" s="319">
        <v>0</v>
      </c>
      <c r="EN9" s="320"/>
      <c r="EO9" s="319">
        <v>0</v>
      </c>
      <c r="EP9" s="320"/>
      <c r="EQ9" s="319">
        <v>0</v>
      </c>
      <c r="ER9" s="320">
        <v>0</v>
      </c>
      <c r="ES9" s="319">
        <v>0</v>
      </c>
      <c r="ET9" s="320"/>
      <c r="EU9" s="319">
        <v>0</v>
      </c>
      <c r="EV9" s="320"/>
      <c r="EW9" s="319">
        <v>0</v>
      </c>
      <c r="EX9" s="320">
        <v>0</v>
      </c>
      <c r="EY9" s="319">
        <v>0</v>
      </c>
      <c r="EZ9" s="320"/>
      <c r="FA9" s="319">
        <v>0</v>
      </c>
      <c r="FB9" s="320"/>
      <c r="FC9" s="319">
        <v>0</v>
      </c>
      <c r="FD9" s="320">
        <v>0</v>
      </c>
      <c r="FE9" s="319">
        <v>0</v>
      </c>
      <c r="FF9" s="320"/>
      <c r="FG9" s="319">
        <v>0</v>
      </c>
      <c r="FH9" s="320"/>
      <c r="FI9" s="319">
        <v>0</v>
      </c>
      <c r="FJ9" s="320">
        <v>0</v>
      </c>
      <c r="FK9" s="319">
        <v>0</v>
      </c>
      <c r="FL9" s="320"/>
      <c r="FM9" s="319">
        <v>0</v>
      </c>
      <c r="FN9" s="320"/>
      <c r="FO9" s="319">
        <v>0</v>
      </c>
      <c r="FP9" s="320">
        <v>0</v>
      </c>
      <c r="FQ9" s="319">
        <v>0</v>
      </c>
      <c r="FR9" s="320"/>
      <c r="FS9" s="319">
        <v>0</v>
      </c>
      <c r="FT9" s="320"/>
      <c r="FU9" s="319">
        <v>0</v>
      </c>
      <c r="FV9" s="320">
        <v>0</v>
      </c>
      <c r="FW9" s="319">
        <v>0</v>
      </c>
      <c r="FX9" s="320"/>
      <c r="FY9" s="319">
        <v>0</v>
      </c>
      <c r="FZ9" s="320"/>
      <c r="GA9" s="319">
        <v>0</v>
      </c>
      <c r="GB9" s="320">
        <v>0</v>
      </c>
      <c r="GC9" s="319">
        <v>0</v>
      </c>
      <c r="GD9" s="320"/>
      <c r="GE9" s="319">
        <v>0</v>
      </c>
      <c r="GF9" s="320"/>
      <c r="GG9" s="319">
        <v>0</v>
      </c>
      <c r="GH9" s="320">
        <v>0</v>
      </c>
      <c r="GI9" s="319">
        <v>0</v>
      </c>
      <c r="GJ9" s="320"/>
      <c r="GK9" s="319">
        <v>0</v>
      </c>
      <c r="GL9" s="320"/>
      <c r="GM9" s="319">
        <v>0</v>
      </c>
      <c r="GN9" s="320">
        <v>0</v>
      </c>
      <c r="GO9" s="319">
        <v>0</v>
      </c>
      <c r="GP9" s="320"/>
      <c r="GQ9" s="319">
        <v>0</v>
      </c>
      <c r="GR9" s="320"/>
      <c r="GS9" s="319">
        <v>0</v>
      </c>
      <c r="GT9" s="320">
        <v>0</v>
      </c>
      <c r="GU9" s="319">
        <v>0</v>
      </c>
      <c r="GV9" s="320"/>
      <c r="GW9" s="319">
        <v>0</v>
      </c>
      <c r="GX9" s="320"/>
      <c r="GY9" s="319">
        <v>0</v>
      </c>
      <c r="GZ9" s="320">
        <v>0</v>
      </c>
    </row>
    <row r="10" spans="1:208" s="89" customFormat="1" ht="22.5" customHeight="1" thickBot="1" x14ac:dyDescent="0.25">
      <c r="A10" s="296" t="s">
        <v>3177</v>
      </c>
      <c r="B10" s="297" t="s">
        <v>3178</v>
      </c>
      <c r="C10" s="298" t="s">
        <v>3170</v>
      </c>
      <c r="D10" s="299" t="s">
        <v>3179</v>
      </c>
      <c r="E10" s="299" t="s">
        <v>3180</v>
      </c>
      <c r="F10" s="300" t="s">
        <v>3166</v>
      </c>
      <c r="G10" s="300" t="s">
        <v>3167</v>
      </c>
      <c r="H10" s="301" t="s">
        <v>1463</v>
      </c>
      <c r="I10" s="302" t="s">
        <v>1463</v>
      </c>
      <c r="J10" s="340" t="s">
        <v>3168</v>
      </c>
      <c r="K10" s="343" t="s">
        <v>53</v>
      </c>
      <c r="L10" s="256">
        <f>CONTINUA!BV10</f>
        <v>0</v>
      </c>
      <c r="M10" s="256">
        <f>CONTINUA!BW10</f>
        <v>0</v>
      </c>
      <c r="N10" s="268"/>
      <c r="O10" s="217" t="s">
        <v>3332</v>
      </c>
      <c r="P10" s="257">
        <v>0</v>
      </c>
      <c r="Q10" s="319">
        <v>0</v>
      </c>
      <c r="R10" s="320"/>
      <c r="S10" s="319">
        <v>0</v>
      </c>
      <c r="T10" s="320"/>
      <c r="U10" s="321">
        <v>0</v>
      </c>
      <c r="V10" s="322">
        <v>0</v>
      </c>
      <c r="W10" s="319">
        <v>0</v>
      </c>
      <c r="X10" s="320"/>
      <c r="Y10" s="319">
        <v>0</v>
      </c>
      <c r="Z10" s="320"/>
      <c r="AA10" s="321">
        <v>0</v>
      </c>
      <c r="AB10" s="322">
        <v>0</v>
      </c>
      <c r="AC10" s="319">
        <v>0</v>
      </c>
      <c r="AD10" s="320"/>
      <c r="AE10" s="319">
        <v>0</v>
      </c>
      <c r="AF10" s="320"/>
      <c r="AG10" s="321">
        <v>0</v>
      </c>
      <c r="AH10" s="322">
        <v>0</v>
      </c>
      <c r="AI10" s="319">
        <v>0</v>
      </c>
      <c r="AJ10" s="320"/>
      <c r="AK10" s="319">
        <v>0</v>
      </c>
      <c r="AL10" s="320"/>
      <c r="AM10" s="321">
        <v>0</v>
      </c>
      <c r="AN10" s="322">
        <v>0</v>
      </c>
      <c r="AO10" s="319">
        <v>0</v>
      </c>
      <c r="AP10" s="320"/>
      <c r="AQ10" s="319">
        <v>0</v>
      </c>
      <c r="AR10" s="320"/>
      <c r="AS10" s="321">
        <v>0</v>
      </c>
      <c r="AT10" s="322">
        <v>0</v>
      </c>
      <c r="AU10" s="319">
        <v>0</v>
      </c>
      <c r="AV10" s="320"/>
      <c r="AW10" s="319">
        <v>0</v>
      </c>
      <c r="AX10" s="320"/>
      <c r="AY10" s="321">
        <v>0</v>
      </c>
      <c r="AZ10" s="322">
        <v>0</v>
      </c>
      <c r="BA10" s="319">
        <v>0</v>
      </c>
      <c r="BB10" s="320"/>
      <c r="BC10" s="319">
        <v>0</v>
      </c>
      <c r="BD10" s="320"/>
      <c r="BE10" s="321">
        <v>0</v>
      </c>
      <c r="BF10" s="322">
        <v>0</v>
      </c>
      <c r="BG10" s="319">
        <v>0</v>
      </c>
      <c r="BH10" s="320"/>
      <c r="BI10" s="319">
        <v>0</v>
      </c>
      <c r="BJ10" s="320"/>
      <c r="BK10" s="321">
        <v>0</v>
      </c>
      <c r="BL10" s="322">
        <v>0</v>
      </c>
      <c r="BM10" s="319">
        <v>0</v>
      </c>
      <c r="BN10" s="320"/>
      <c r="BO10" s="319">
        <v>0</v>
      </c>
      <c r="BP10" s="320"/>
      <c r="BQ10" s="321">
        <v>0</v>
      </c>
      <c r="BR10" s="322">
        <v>0</v>
      </c>
      <c r="BS10" s="319">
        <v>0</v>
      </c>
      <c r="BT10" s="320"/>
      <c r="BU10" s="319">
        <v>0</v>
      </c>
      <c r="BV10" s="320"/>
      <c r="BW10" s="321">
        <v>0</v>
      </c>
      <c r="BX10" s="322">
        <v>0</v>
      </c>
      <c r="BY10" s="319">
        <v>0</v>
      </c>
      <c r="BZ10" s="320"/>
      <c r="CA10" s="319">
        <v>0</v>
      </c>
      <c r="CB10" s="320"/>
      <c r="CC10" s="321">
        <v>0</v>
      </c>
      <c r="CD10" s="322">
        <v>0</v>
      </c>
      <c r="CE10" s="319">
        <v>0</v>
      </c>
      <c r="CF10" s="320"/>
      <c r="CG10" s="319">
        <v>0</v>
      </c>
      <c r="CH10" s="320"/>
      <c r="CI10" s="321">
        <v>0</v>
      </c>
      <c r="CJ10" s="322">
        <v>0</v>
      </c>
      <c r="CK10" s="319">
        <v>0</v>
      </c>
      <c r="CL10" s="320"/>
      <c r="CM10" s="319">
        <v>0</v>
      </c>
      <c r="CN10" s="320"/>
      <c r="CO10" s="321">
        <v>0</v>
      </c>
      <c r="CP10" s="322">
        <v>0</v>
      </c>
      <c r="CQ10" s="319">
        <v>0</v>
      </c>
      <c r="CR10" s="320"/>
      <c r="CS10" s="319">
        <v>0</v>
      </c>
      <c r="CT10" s="320"/>
      <c r="CU10" s="321">
        <v>0</v>
      </c>
      <c r="CV10" s="322">
        <v>0</v>
      </c>
      <c r="CW10" s="319">
        <v>0</v>
      </c>
      <c r="CX10" s="320"/>
      <c r="CY10" s="319">
        <v>0</v>
      </c>
      <c r="CZ10" s="320"/>
      <c r="DA10" s="321">
        <v>0</v>
      </c>
      <c r="DB10" s="322">
        <v>0</v>
      </c>
      <c r="DC10" s="319">
        <v>0</v>
      </c>
      <c r="DD10" s="320"/>
      <c r="DE10" s="319">
        <v>0</v>
      </c>
      <c r="DF10" s="320"/>
      <c r="DG10" s="321">
        <v>0</v>
      </c>
      <c r="DH10" s="322">
        <v>0</v>
      </c>
      <c r="DI10" s="319">
        <v>0</v>
      </c>
      <c r="DJ10" s="320"/>
      <c r="DK10" s="319">
        <v>0</v>
      </c>
      <c r="DL10" s="320"/>
      <c r="DM10" s="321">
        <v>0</v>
      </c>
      <c r="DN10" s="322">
        <v>0</v>
      </c>
      <c r="DO10" s="319">
        <v>0</v>
      </c>
      <c r="DP10" s="320"/>
      <c r="DQ10" s="319">
        <v>0</v>
      </c>
      <c r="DR10" s="320"/>
      <c r="DS10" s="321">
        <v>0</v>
      </c>
      <c r="DT10" s="322">
        <v>0</v>
      </c>
      <c r="DU10" s="319">
        <v>0</v>
      </c>
      <c r="DV10" s="320"/>
      <c r="DW10" s="319">
        <v>0</v>
      </c>
      <c r="DX10" s="320"/>
      <c r="DY10" s="321">
        <v>0</v>
      </c>
      <c r="DZ10" s="322">
        <v>0</v>
      </c>
      <c r="EA10" s="319">
        <v>0</v>
      </c>
      <c r="EB10" s="320"/>
      <c r="EC10" s="319">
        <v>0</v>
      </c>
      <c r="ED10" s="320"/>
      <c r="EE10" s="321">
        <v>0</v>
      </c>
      <c r="EF10" s="322">
        <v>0</v>
      </c>
      <c r="EG10" s="319">
        <v>0</v>
      </c>
      <c r="EH10" s="320"/>
      <c r="EI10" s="319">
        <v>0</v>
      </c>
      <c r="EJ10" s="320"/>
      <c r="EK10" s="321">
        <v>0</v>
      </c>
      <c r="EL10" s="322">
        <v>0</v>
      </c>
      <c r="EM10" s="319">
        <v>0</v>
      </c>
      <c r="EN10" s="320"/>
      <c r="EO10" s="319">
        <v>0</v>
      </c>
      <c r="EP10" s="320"/>
      <c r="EQ10" s="321">
        <v>0</v>
      </c>
      <c r="ER10" s="322">
        <v>0</v>
      </c>
      <c r="ES10" s="319">
        <v>0</v>
      </c>
      <c r="ET10" s="320"/>
      <c r="EU10" s="319">
        <v>0</v>
      </c>
      <c r="EV10" s="320"/>
      <c r="EW10" s="321">
        <v>0</v>
      </c>
      <c r="EX10" s="322">
        <v>0</v>
      </c>
      <c r="EY10" s="319">
        <v>0</v>
      </c>
      <c r="EZ10" s="320"/>
      <c r="FA10" s="319">
        <v>0</v>
      </c>
      <c r="FB10" s="320"/>
      <c r="FC10" s="321">
        <v>0</v>
      </c>
      <c r="FD10" s="322">
        <v>0</v>
      </c>
      <c r="FE10" s="319">
        <v>0</v>
      </c>
      <c r="FF10" s="320"/>
      <c r="FG10" s="319">
        <v>0</v>
      </c>
      <c r="FH10" s="320"/>
      <c r="FI10" s="321">
        <v>0</v>
      </c>
      <c r="FJ10" s="322">
        <v>0</v>
      </c>
      <c r="FK10" s="319">
        <v>0</v>
      </c>
      <c r="FL10" s="320"/>
      <c r="FM10" s="319">
        <v>0</v>
      </c>
      <c r="FN10" s="320"/>
      <c r="FO10" s="321">
        <v>0</v>
      </c>
      <c r="FP10" s="322">
        <v>0</v>
      </c>
      <c r="FQ10" s="319">
        <v>0</v>
      </c>
      <c r="FR10" s="320"/>
      <c r="FS10" s="319">
        <v>0</v>
      </c>
      <c r="FT10" s="320"/>
      <c r="FU10" s="321">
        <v>0</v>
      </c>
      <c r="FV10" s="322">
        <v>0</v>
      </c>
      <c r="FW10" s="319">
        <v>0</v>
      </c>
      <c r="FX10" s="320"/>
      <c r="FY10" s="319">
        <v>0</v>
      </c>
      <c r="FZ10" s="320"/>
      <c r="GA10" s="321">
        <v>0</v>
      </c>
      <c r="GB10" s="322">
        <v>0</v>
      </c>
      <c r="GC10" s="319">
        <v>0</v>
      </c>
      <c r="GD10" s="320"/>
      <c r="GE10" s="319">
        <v>0</v>
      </c>
      <c r="GF10" s="320"/>
      <c r="GG10" s="321">
        <v>0</v>
      </c>
      <c r="GH10" s="322">
        <v>0</v>
      </c>
      <c r="GI10" s="319">
        <v>0</v>
      </c>
      <c r="GJ10" s="320"/>
      <c r="GK10" s="319">
        <v>0</v>
      </c>
      <c r="GL10" s="320"/>
      <c r="GM10" s="321">
        <v>0</v>
      </c>
      <c r="GN10" s="322">
        <v>0</v>
      </c>
      <c r="GO10" s="319">
        <v>0</v>
      </c>
      <c r="GP10" s="320"/>
      <c r="GQ10" s="319">
        <v>0</v>
      </c>
      <c r="GR10" s="320"/>
      <c r="GS10" s="321">
        <v>0</v>
      </c>
      <c r="GT10" s="322">
        <v>0</v>
      </c>
      <c r="GU10" s="319">
        <v>0</v>
      </c>
      <c r="GV10" s="320"/>
      <c r="GW10" s="319">
        <v>0</v>
      </c>
      <c r="GX10" s="320"/>
      <c r="GY10" s="321">
        <v>0</v>
      </c>
      <c r="GZ10" s="322">
        <v>0</v>
      </c>
    </row>
    <row r="11" spans="1:208" s="89" customFormat="1" ht="22.5" customHeight="1" x14ac:dyDescent="0.2">
      <c r="A11" t="s">
        <v>3181</v>
      </c>
      <c r="B11" s="429" t="s">
        <v>3182</v>
      </c>
      <c r="C11" s="430">
        <v>1</v>
      </c>
      <c r="D11" s="431" t="s">
        <v>3183</v>
      </c>
      <c r="E11" s="431" t="s">
        <v>3184</v>
      </c>
      <c r="F11" s="432" t="s">
        <v>3166</v>
      </c>
      <c r="G11" s="432" t="s">
        <v>3167</v>
      </c>
      <c r="H11" s="270" t="s">
        <v>1466</v>
      </c>
      <c r="I11" s="271" t="s">
        <v>1466</v>
      </c>
      <c r="J11" s="328" t="s">
        <v>3168</v>
      </c>
      <c r="K11" s="329" t="s">
        <v>3169</v>
      </c>
      <c r="L11" s="256">
        <f>CONTINUA!BV11</f>
        <v>0</v>
      </c>
      <c r="M11" s="256">
        <f>CONTINUA!BW11</f>
        <v>0</v>
      </c>
      <c r="N11" s="564"/>
      <c r="O11" s="565" t="s">
        <v>3333</v>
      </c>
      <c r="P11" s="566">
        <v>0</v>
      </c>
      <c r="Q11" s="319">
        <v>19</v>
      </c>
      <c r="R11" s="320"/>
      <c r="S11" s="319">
        <v>0</v>
      </c>
      <c r="T11" s="320"/>
      <c r="U11" s="321">
        <v>0</v>
      </c>
      <c r="V11" s="322">
        <v>0</v>
      </c>
      <c r="W11" s="319">
        <v>19</v>
      </c>
      <c r="X11" s="320"/>
      <c r="Y11" s="319">
        <v>0</v>
      </c>
      <c r="Z11" s="320"/>
      <c r="AA11" s="321">
        <v>0</v>
      </c>
      <c r="AB11" s="322">
        <v>0</v>
      </c>
      <c r="AC11" s="319">
        <v>19</v>
      </c>
      <c r="AD11" s="320"/>
      <c r="AE11" s="319">
        <v>0</v>
      </c>
      <c r="AF11" s="320"/>
      <c r="AG11" s="321">
        <v>0</v>
      </c>
      <c r="AH11" s="322">
        <v>0</v>
      </c>
      <c r="AI11" s="319">
        <v>19</v>
      </c>
      <c r="AJ11" s="320"/>
      <c r="AK11" s="319">
        <v>0</v>
      </c>
      <c r="AL11" s="320"/>
      <c r="AM11" s="321">
        <v>0</v>
      </c>
      <c r="AN11" s="322">
        <v>0</v>
      </c>
      <c r="AO11" s="319">
        <v>19</v>
      </c>
      <c r="AP11" s="320"/>
      <c r="AQ11" s="319">
        <v>0</v>
      </c>
      <c r="AR11" s="320"/>
      <c r="AS11" s="321">
        <v>0</v>
      </c>
      <c r="AT11" s="322">
        <v>0</v>
      </c>
      <c r="AU11" s="319">
        <v>19</v>
      </c>
      <c r="AV11" s="320"/>
      <c r="AW11" s="319">
        <v>0</v>
      </c>
      <c r="AX11" s="320"/>
      <c r="AY11" s="321">
        <v>0</v>
      </c>
      <c r="AZ11" s="322">
        <v>0</v>
      </c>
      <c r="BA11" s="319">
        <v>19</v>
      </c>
      <c r="BB11" s="320"/>
      <c r="BC11" s="319">
        <v>0</v>
      </c>
      <c r="BD11" s="320"/>
      <c r="BE11" s="321">
        <v>0</v>
      </c>
      <c r="BF11" s="322">
        <v>0</v>
      </c>
      <c r="BG11" s="319">
        <v>19</v>
      </c>
      <c r="BH11" s="320"/>
      <c r="BI11" s="319">
        <v>0</v>
      </c>
      <c r="BJ11" s="320"/>
      <c r="BK11" s="321">
        <v>0</v>
      </c>
      <c r="BL11" s="322">
        <v>0</v>
      </c>
      <c r="BM11" s="319">
        <v>19</v>
      </c>
      <c r="BN11" s="320"/>
      <c r="BO11" s="319">
        <v>0</v>
      </c>
      <c r="BP11" s="320"/>
      <c r="BQ11" s="321">
        <v>0</v>
      </c>
      <c r="BR11" s="322">
        <v>0</v>
      </c>
      <c r="BS11" s="319">
        <v>19</v>
      </c>
      <c r="BT11" s="320"/>
      <c r="BU11" s="319">
        <v>0</v>
      </c>
      <c r="BV11" s="320"/>
      <c r="BW11" s="321">
        <v>0</v>
      </c>
      <c r="BX11" s="322">
        <v>0</v>
      </c>
      <c r="BY11" s="319">
        <v>19</v>
      </c>
      <c r="BZ11" s="320"/>
      <c r="CA11" s="319">
        <v>0</v>
      </c>
      <c r="CB11" s="320"/>
      <c r="CC11" s="321">
        <v>0</v>
      </c>
      <c r="CD11" s="322">
        <v>0</v>
      </c>
      <c r="CE11" s="319">
        <v>19</v>
      </c>
      <c r="CF11" s="320"/>
      <c r="CG11" s="319">
        <v>0</v>
      </c>
      <c r="CH11" s="320"/>
      <c r="CI11" s="321">
        <v>0</v>
      </c>
      <c r="CJ11" s="322">
        <v>0</v>
      </c>
      <c r="CK11" s="319">
        <v>19</v>
      </c>
      <c r="CL11" s="320"/>
      <c r="CM11" s="319">
        <v>0</v>
      </c>
      <c r="CN11" s="320"/>
      <c r="CO11" s="321">
        <v>0</v>
      </c>
      <c r="CP11" s="322">
        <v>0</v>
      </c>
      <c r="CQ11" s="319">
        <v>19</v>
      </c>
      <c r="CR11" s="320"/>
      <c r="CS11" s="319">
        <v>0</v>
      </c>
      <c r="CT11" s="320"/>
      <c r="CU11" s="321">
        <v>0</v>
      </c>
      <c r="CV11" s="322">
        <v>0</v>
      </c>
      <c r="CW11" s="319">
        <v>19</v>
      </c>
      <c r="CX11" s="320"/>
      <c r="CY11" s="319">
        <v>0</v>
      </c>
      <c r="CZ11" s="320"/>
      <c r="DA11" s="321">
        <v>0</v>
      </c>
      <c r="DB11" s="322">
        <v>0</v>
      </c>
      <c r="DC11" s="319">
        <v>19</v>
      </c>
      <c r="DD11" s="320"/>
      <c r="DE11" s="319">
        <v>0</v>
      </c>
      <c r="DF11" s="320"/>
      <c r="DG11" s="321">
        <v>0</v>
      </c>
      <c r="DH11" s="322">
        <v>0</v>
      </c>
      <c r="DI11" s="319">
        <v>19</v>
      </c>
      <c r="DJ11" s="320"/>
      <c r="DK11" s="319">
        <v>0</v>
      </c>
      <c r="DL11" s="320"/>
      <c r="DM11" s="321">
        <v>0</v>
      </c>
      <c r="DN11" s="322">
        <v>0</v>
      </c>
      <c r="DO11" s="319">
        <v>19</v>
      </c>
      <c r="DP11" s="320"/>
      <c r="DQ11" s="319">
        <v>0</v>
      </c>
      <c r="DR11" s="320"/>
      <c r="DS11" s="321">
        <v>0</v>
      </c>
      <c r="DT11" s="322">
        <v>0</v>
      </c>
      <c r="DU11" s="319">
        <v>19</v>
      </c>
      <c r="DV11" s="320"/>
      <c r="DW11" s="319">
        <v>0</v>
      </c>
      <c r="DX11" s="320"/>
      <c r="DY11" s="321">
        <v>0</v>
      </c>
      <c r="DZ11" s="322">
        <v>0</v>
      </c>
      <c r="EA11" s="319">
        <v>19</v>
      </c>
      <c r="EB11" s="320"/>
      <c r="EC11" s="319">
        <v>0</v>
      </c>
      <c r="ED11" s="320"/>
      <c r="EE11" s="321">
        <v>0</v>
      </c>
      <c r="EF11" s="322">
        <v>0</v>
      </c>
      <c r="EG11" s="319">
        <v>19</v>
      </c>
      <c r="EH11" s="320"/>
      <c r="EI11" s="319">
        <v>0</v>
      </c>
      <c r="EJ11" s="320"/>
      <c r="EK11" s="321">
        <v>0</v>
      </c>
      <c r="EL11" s="322">
        <v>0</v>
      </c>
      <c r="EM11" s="319">
        <v>19</v>
      </c>
      <c r="EN11" s="320"/>
      <c r="EO11" s="319">
        <v>0</v>
      </c>
      <c r="EP11" s="320"/>
      <c r="EQ11" s="321">
        <v>0</v>
      </c>
      <c r="ER11" s="322">
        <v>0</v>
      </c>
      <c r="ES11" s="319">
        <v>19</v>
      </c>
      <c r="ET11" s="320"/>
      <c r="EU11" s="319">
        <v>0</v>
      </c>
      <c r="EV11" s="320"/>
      <c r="EW11" s="321">
        <v>0</v>
      </c>
      <c r="EX11" s="322">
        <v>0</v>
      </c>
      <c r="EY11" s="319">
        <v>19</v>
      </c>
      <c r="EZ11" s="320"/>
      <c r="FA11" s="319">
        <v>0</v>
      </c>
      <c r="FB11" s="320"/>
      <c r="FC11" s="321">
        <v>0</v>
      </c>
      <c r="FD11" s="322">
        <v>0</v>
      </c>
      <c r="FE11" s="319">
        <v>19</v>
      </c>
      <c r="FF11" s="320"/>
      <c r="FG11" s="319">
        <v>0</v>
      </c>
      <c r="FH11" s="320"/>
      <c r="FI11" s="321">
        <v>0</v>
      </c>
      <c r="FJ11" s="322">
        <v>0</v>
      </c>
      <c r="FK11" s="319">
        <v>19</v>
      </c>
      <c r="FL11" s="320"/>
      <c r="FM11" s="319">
        <v>0</v>
      </c>
      <c r="FN11" s="320"/>
      <c r="FO11" s="321">
        <v>0</v>
      </c>
      <c r="FP11" s="322">
        <v>0</v>
      </c>
      <c r="FQ11" s="319">
        <v>19</v>
      </c>
      <c r="FR11" s="320"/>
      <c r="FS11" s="319">
        <v>0</v>
      </c>
      <c r="FT11" s="320"/>
      <c r="FU11" s="321">
        <v>0</v>
      </c>
      <c r="FV11" s="322">
        <v>0</v>
      </c>
      <c r="FW11" s="319">
        <v>19</v>
      </c>
      <c r="FX11" s="320"/>
      <c r="FY11" s="319">
        <v>0</v>
      </c>
      <c r="FZ11" s="320"/>
      <c r="GA11" s="321">
        <v>0</v>
      </c>
      <c r="GB11" s="322">
        <v>0</v>
      </c>
      <c r="GC11" s="319">
        <v>19</v>
      </c>
      <c r="GD11" s="320"/>
      <c r="GE11" s="319">
        <v>0</v>
      </c>
      <c r="GF11" s="320"/>
      <c r="GG11" s="321">
        <v>0</v>
      </c>
      <c r="GH11" s="322">
        <v>0</v>
      </c>
      <c r="GI11" s="319">
        <v>19</v>
      </c>
      <c r="GJ11" s="320"/>
      <c r="GK11" s="319">
        <v>0</v>
      </c>
      <c r="GL11" s="320"/>
      <c r="GM11" s="321">
        <v>0</v>
      </c>
      <c r="GN11" s="322">
        <v>0</v>
      </c>
      <c r="GO11" s="319">
        <v>19</v>
      </c>
      <c r="GP11" s="320"/>
      <c r="GQ11" s="319">
        <v>0</v>
      </c>
      <c r="GR11" s="320"/>
      <c r="GS11" s="321">
        <v>0</v>
      </c>
      <c r="GT11" s="322">
        <v>0</v>
      </c>
      <c r="GU11" s="319">
        <v>19</v>
      </c>
      <c r="GV11" s="320"/>
      <c r="GW11" s="319">
        <v>0</v>
      </c>
      <c r="GX11" s="320"/>
      <c r="GY11" s="321">
        <v>0</v>
      </c>
      <c r="GZ11" s="322">
        <v>0</v>
      </c>
    </row>
    <row r="12" spans="1:208" s="89" customFormat="1" ht="22.5" customHeight="1" x14ac:dyDescent="0.2">
      <c r="A12" s="287" t="s">
        <v>3181</v>
      </c>
      <c r="B12" s="288" t="s">
        <v>3182</v>
      </c>
      <c r="C12" s="289" t="s">
        <v>3170</v>
      </c>
      <c r="D12" s="290" t="s">
        <v>3183</v>
      </c>
      <c r="E12" s="290" t="s">
        <v>3184</v>
      </c>
      <c r="F12" s="291" t="s">
        <v>3166</v>
      </c>
      <c r="G12" s="291" t="s">
        <v>3167</v>
      </c>
      <c r="H12" s="292" t="s">
        <v>1466</v>
      </c>
      <c r="I12" s="293" t="s">
        <v>1466</v>
      </c>
      <c r="J12" s="340" t="s">
        <v>3168</v>
      </c>
      <c r="K12" s="340" t="s">
        <v>3171</v>
      </c>
      <c r="L12" s="256">
        <f>CONTINUA!BV12</f>
        <v>0</v>
      </c>
      <c r="M12" s="256">
        <f>CONTINUA!BW12</f>
        <v>0</v>
      </c>
      <c r="N12" s="564"/>
      <c r="O12" s="565" t="s">
        <v>3333</v>
      </c>
      <c r="P12" s="566">
        <v>0</v>
      </c>
      <c r="Q12" s="319">
        <v>6</v>
      </c>
      <c r="R12" s="320"/>
      <c r="S12" s="319">
        <v>0</v>
      </c>
      <c r="T12" s="320"/>
      <c r="U12" s="319">
        <v>0</v>
      </c>
      <c r="V12" s="320">
        <v>0</v>
      </c>
      <c r="W12" s="319">
        <v>6</v>
      </c>
      <c r="X12" s="320"/>
      <c r="Y12" s="319">
        <v>0</v>
      </c>
      <c r="Z12" s="320"/>
      <c r="AA12" s="319">
        <v>0</v>
      </c>
      <c r="AB12" s="320">
        <v>0</v>
      </c>
      <c r="AC12" s="319">
        <v>6</v>
      </c>
      <c r="AD12" s="320"/>
      <c r="AE12" s="319">
        <v>0</v>
      </c>
      <c r="AF12" s="320"/>
      <c r="AG12" s="319">
        <v>0</v>
      </c>
      <c r="AH12" s="320">
        <v>0</v>
      </c>
      <c r="AI12" s="319">
        <v>6</v>
      </c>
      <c r="AJ12" s="320"/>
      <c r="AK12" s="319">
        <v>0</v>
      </c>
      <c r="AL12" s="320"/>
      <c r="AM12" s="319">
        <v>0</v>
      </c>
      <c r="AN12" s="320">
        <v>0</v>
      </c>
      <c r="AO12" s="319">
        <v>6</v>
      </c>
      <c r="AP12" s="320"/>
      <c r="AQ12" s="319">
        <v>0</v>
      </c>
      <c r="AR12" s="320"/>
      <c r="AS12" s="319">
        <v>0</v>
      </c>
      <c r="AT12" s="320">
        <v>0</v>
      </c>
      <c r="AU12" s="319">
        <v>6</v>
      </c>
      <c r="AV12" s="320"/>
      <c r="AW12" s="319">
        <v>0</v>
      </c>
      <c r="AX12" s="320"/>
      <c r="AY12" s="319">
        <v>0</v>
      </c>
      <c r="AZ12" s="320">
        <v>0</v>
      </c>
      <c r="BA12" s="319">
        <v>6</v>
      </c>
      <c r="BB12" s="320"/>
      <c r="BC12" s="319">
        <v>0</v>
      </c>
      <c r="BD12" s="320"/>
      <c r="BE12" s="319">
        <v>0</v>
      </c>
      <c r="BF12" s="320">
        <v>0</v>
      </c>
      <c r="BG12" s="319">
        <v>6</v>
      </c>
      <c r="BH12" s="320"/>
      <c r="BI12" s="319">
        <v>0</v>
      </c>
      <c r="BJ12" s="320"/>
      <c r="BK12" s="319">
        <v>0</v>
      </c>
      <c r="BL12" s="320">
        <v>0</v>
      </c>
      <c r="BM12" s="319">
        <v>6</v>
      </c>
      <c r="BN12" s="320"/>
      <c r="BO12" s="319">
        <v>0</v>
      </c>
      <c r="BP12" s="320"/>
      <c r="BQ12" s="319">
        <v>0</v>
      </c>
      <c r="BR12" s="320">
        <v>0</v>
      </c>
      <c r="BS12" s="319">
        <v>6</v>
      </c>
      <c r="BT12" s="320"/>
      <c r="BU12" s="319">
        <v>0</v>
      </c>
      <c r="BV12" s="320"/>
      <c r="BW12" s="319">
        <v>0</v>
      </c>
      <c r="BX12" s="320">
        <v>0</v>
      </c>
      <c r="BY12" s="319">
        <v>6</v>
      </c>
      <c r="BZ12" s="320"/>
      <c r="CA12" s="319">
        <v>0</v>
      </c>
      <c r="CB12" s="320"/>
      <c r="CC12" s="319">
        <v>0</v>
      </c>
      <c r="CD12" s="320">
        <v>0</v>
      </c>
      <c r="CE12" s="319">
        <v>6</v>
      </c>
      <c r="CF12" s="320"/>
      <c r="CG12" s="319">
        <v>0</v>
      </c>
      <c r="CH12" s="320"/>
      <c r="CI12" s="319">
        <v>0</v>
      </c>
      <c r="CJ12" s="320">
        <v>0</v>
      </c>
      <c r="CK12" s="319">
        <v>6</v>
      </c>
      <c r="CL12" s="320"/>
      <c r="CM12" s="319">
        <v>0</v>
      </c>
      <c r="CN12" s="320"/>
      <c r="CO12" s="319">
        <v>0</v>
      </c>
      <c r="CP12" s="320">
        <v>0</v>
      </c>
      <c r="CQ12" s="319">
        <v>6</v>
      </c>
      <c r="CR12" s="320"/>
      <c r="CS12" s="319">
        <v>0</v>
      </c>
      <c r="CT12" s="320"/>
      <c r="CU12" s="319">
        <v>0</v>
      </c>
      <c r="CV12" s="320">
        <v>0</v>
      </c>
      <c r="CW12" s="319">
        <v>6</v>
      </c>
      <c r="CX12" s="320"/>
      <c r="CY12" s="319">
        <v>0</v>
      </c>
      <c r="CZ12" s="320"/>
      <c r="DA12" s="319">
        <v>0</v>
      </c>
      <c r="DB12" s="320">
        <v>0</v>
      </c>
      <c r="DC12" s="319">
        <v>6</v>
      </c>
      <c r="DD12" s="320"/>
      <c r="DE12" s="319">
        <v>0</v>
      </c>
      <c r="DF12" s="320"/>
      <c r="DG12" s="319">
        <v>0</v>
      </c>
      <c r="DH12" s="320">
        <v>0</v>
      </c>
      <c r="DI12" s="319">
        <v>6</v>
      </c>
      <c r="DJ12" s="320"/>
      <c r="DK12" s="319">
        <v>0</v>
      </c>
      <c r="DL12" s="320"/>
      <c r="DM12" s="319">
        <v>0</v>
      </c>
      <c r="DN12" s="320">
        <v>0</v>
      </c>
      <c r="DO12" s="319">
        <v>6</v>
      </c>
      <c r="DP12" s="320"/>
      <c r="DQ12" s="319">
        <v>0</v>
      </c>
      <c r="DR12" s="320"/>
      <c r="DS12" s="319">
        <v>0</v>
      </c>
      <c r="DT12" s="320">
        <v>0</v>
      </c>
      <c r="DU12" s="319">
        <v>6</v>
      </c>
      <c r="DV12" s="320"/>
      <c r="DW12" s="319">
        <v>0</v>
      </c>
      <c r="DX12" s="320"/>
      <c r="DY12" s="319">
        <v>0</v>
      </c>
      <c r="DZ12" s="320">
        <v>0</v>
      </c>
      <c r="EA12" s="319">
        <v>6</v>
      </c>
      <c r="EB12" s="320"/>
      <c r="EC12" s="319">
        <v>0</v>
      </c>
      <c r="ED12" s="320"/>
      <c r="EE12" s="319">
        <v>0</v>
      </c>
      <c r="EF12" s="320">
        <v>0</v>
      </c>
      <c r="EG12" s="319">
        <v>6</v>
      </c>
      <c r="EH12" s="320"/>
      <c r="EI12" s="319">
        <v>0</v>
      </c>
      <c r="EJ12" s="320"/>
      <c r="EK12" s="319">
        <v>0</v>
      </c>
      <c r="EL12" s="320">
        <v>0</v>
      </c>
      <c r="EM12" s="319">
        <v>6</v>
      </c>
      <c r="EN12" s="320"/>
      <c r="EO12" s="319">
        <v>0</v>
      </c>
      <c r="EP12" s="320"/>
      <c r="EQ12" s="319">
        <v>0</v>
      </c>
      <c r="ER12" s="320">
        <v>0</v>
      </c>
      <c r="ES12" s="319">
        <v>6</v>
      </c>
      <c r="ET12" s="320"/>
      <c r="EU12" s="319">
        <v>0</v>
      </c>
      <c r="EV12" s="320"/>
      <c r="EW12" s="319">
        <v>0</v>
      </c>
      <c r="EX12" s="320">
        <v>0</v>
      </c>
      <c r="EY12" s="319">
        <v>6</v>
      </c>
      <c r="EZ12" s="320"/>
      <c r="FA12" s="319">
        <v>0</v>
      </c>
      <c r="FB12" s="320"/>
      <c r="FC12" s="319">
        <v>0</v>
      </c>
      <c r="FD12" s="320">
        <v>0</v>
      </c>
      <c r="FE12" s="319">
        <v>6</v>
      </c>
      <c r="FF12" s="320"/>
      <c r="FG12" s="319">
        <v>0</v>
      </c>
      <c r="FH12" s="320"/>
      <c r="FI12" s="319">
        <v>0</v>
      </c>
      <c r="FJ12" s="320">
        <v>0</v>
      </c>
      <c r="FK12" s="319">
        <v>6</v>
      </c>
      <c r="FL12" s="320"/>
      <c r="FM12" s="319">
        <v>0</v>
      </c>
      <c r="FN12" s="320"/>
      <c r="FO12" s="319">
        <v>0</v>
      </c>
      <c r="FP12" s="320">
        <v>0</v>
      </c>
      <c r="FQ12" s="319">
        <v>6</v>
      </c>
      <c r="FR12" s="320"/>
      <c r="FS12" s="319">
        <v>0</v>
      </c>
      <c r="FT12" s="320"/>
      <c r="FU12" s="319">
        <v>0</v>
      </c>
      <c r="FV12" s="320">
        <v>0</v>
      </c>
      <c r="FW12" s="319">
        <v>6</v>
      </c>
      <c r="FX12" s="320"/>
      <c r="FY12" s="319">
        <v>0</v>
      </c>
      <c r="FZ12" s="320"/>
      <c r="GA12" s="319">
        <v>0</v>
      </c>
      <c r="GB12" s="320">
        <v>0</v>
      </c>
      <c r="GC12" s="319">
        <v>6</v>
      </c>
      <c r="GD12" s="320"/>
      <c r="GE12" s="319">
        <v>0</v>
      </c>
      <c r="GF12" s="320"/>
      <c r="GG12" s="319">
        <v>0</v>
      </c>
      <c r="GH12" s="320">
        <v>0</v>
      </c>
      <c r="GI12" s="319">
        <v>6</v>
      </c>
      <c r="GJ12" s="320"/>
      <c r="GK12" s="319">
        <v>0</v>
      </c>
      <c r="GL12" s="320"/>
      <c r="GM12" s="319">
        <v>0</v>
      </c>
      <c r="GN12" s="320">
        <v>0</v>
      </c>
      <c r="GO12" s="319">
        <v>6</v>
      </c>
      <c r="GP12" s="320"/>
      <c r="GQ12" s="319">
        <v>0</v>
      </c>
      <c r="GR12" s="320"/>
      <c r="GS12" s="319">
        <v>0</v>
      </c>
      <c r="GT12" s="320">
        <v>0</v>
      </c>
      <c r="GU12" s="319">
        <v>6</v>
      </c>
      <c r="GV12" s="320"/>
      <c r="GW12" s="319">
        <v>0</v>
      </c>
      <c r="GX12" s="320"/>
      <c r="GY12" s="319">
        <v>0</v>
      </c>
      <c r="GZ12" s="320">
        <v>0</v>
      </c>
    </row>
    <row r="13" spans="1:208" s="89" customFormat="1" ht="22.5" customHeight="1" x14ac:dyDescent="0.2">
      <c r="A13" s="287" t="s">
        <v>3181</v>
      </c>
      <c r="B13" s="288" t="s">
        <v>3182</v>
      </c>
      <c r="C13" s="294" t="s">
        <v>3170</v>
      </c>
      <c r="D13" s="290" t="s">
        <v>3183</v>
      </c>
      <c r="E13" s="290" t="s">
        <v>3184</v>
      </c>
      <c r="F13" s="295" t="s">
        <v>3166</v>
      </c>
      <c r="G13" s="295" t="s">
        <v>3167</v>
      </c>
      <c r="H13" s="292" t="s">
        <v>1466</v>
      </c>
      <c r="I13" s="293" t="s">
        <v>1466</v>
      </c>
      <c r="J13" s="340" t="s">
        <v>3168</v>
      </c>
      <c r="K13" s="341" t="s">
        <v>3172</v>
      </c>
      <c r="L13" s="256">
        <f>CONTINUA!BV13</f>
        <v>0</v>
      </c>
      <c r="M13" s="256">
        <f>CONTINUA!BW13</f>
        <v>0</v>
      </c>
      <c r="N13" s="564"/>
      <c r="O13" s="565" t="s">
        <v>3333</v>
      </c>
      <c r="P13" s="566">
        <v>0</v>
      </c>
      <c r="Q13" s="319">
        <v>0</v>
      </c>
      <c r="R13" s="320"/>
      <c r="S13" s="319">
        <v>0</v>
      </c>
      <c r="T13" s="320"/>
      <c r="U13" s="319">
        <v>0</v>
      </c>
      <c r="V13" s="320">
        <v>0</v>
      </c>
      <c r="W13" s="319">
        <v>0</v>
      </c>
      <c r="X13" s="320"/>
      <c r="Y13" s="319">
        <v>0</v>
      </c>
      <c r="Z13" s="320"/>
      <c r="AA13" s="319">
        <v>0</v>
      </c>
      <c r="AB13" s="320">
        <v>0</v>
      </c>
      <c r="AC13" s="319">
        <v>0</v>
      </c>
      <c r="AD13" s="320"/>
      <c r="AE13" s="319">
        <v>0</v>
      </c>
      <c r="AF13" s="320"/>
      <c r="AG13" s="319">
        <v>0</v>
      </c>
      <c r="AH13" s="320">
        <v>0</v>
      </c>
      <c r="AI13" s="319">
        <v>0</v>
      </c>
      <c r="AJ13" s="320"/>
      <c r="AK13" s="319">
        <v>0</v>
      </c>
      <c r="AL13" s="320"/>
      <c r="AM13" s="319">
        <v>0</v>
      </c>
      <c r="AN13" s="320">
        <v>0</v>
      </c>
      <c r="AO13" s="319">
        <v>0</v>
      </c>
      <c r="AP13" s="320"/>
      <c r="AQ13" s="319">
        <v>0</v>
      </c>
      <c r="AR13" s="320"/>
      <c r="AS13" s="319">
        <v>0</v>
      </c>
      <c r="AT13" s="320">
        <v>0</v>
      </c>
      <c r="AU13" s="319">
        <v>0</v>
      </c>
      <c r="AV13" s="320"/>
      <c r="AW13" s="319">
        <v>0</v>
      </c>
      <c r="AX13" s="320"/>
      <c r="AY13" s="319">
        <v>0</v>
      </c>
      <c r="AZ13" s="320">
        <v>0</v>
      </c>
      <c r="BA13" s="319">
        <v>0</v>
      </c>
      <c r="BB13" s="320"/>
      <c r="BC13" s="319">
        <v>0</v>
      </c>
      <c r="BD13" s="320"/>
      <c r="BE13" s="319">
        <v>0</v>
      </c>
      <c r="BF13" s="320">
        <v>0</v>
      </c>
      <c r="BG13" s="319">
        <v>0</v>
      </c>
      <c r="BH13" s="320"/>
      <c r="BI13" s="319">
        <v>0</v>
      </c>
      <c r="BJ13" s="320"/>
      <c r="BK13" s="319">
        <v>0</v>
      </c>
      <c r="BL13" s="320">
        <v>0</v>
      </c>
      <c r="BM13" s="319">
        <v>0</v>
      </c>
      <c r="BN13" s="320"/>
      <c r="BO13" s="319">
        <v>0</v>
      </c>
      <c r="BP13" s="320"/>
      <c r="BQ13" s="319">
        <v>0</v>
      </c>
      <c r="BR13" s="320">
        <v>0</v>
      </c>
      <c r="BS13" s="319">
        <v>0</v>
      </c>
      <c r="BT13" s="320"/>
      <c r="BU13" s="319">
        <v>0</v>
      </c>
      <c r="BV13" s="320"/>
      <c r="BW13" s="319">
        <v>0</v>
      </c>
      <c r="BX13" s="320">
        <v>0</v>
      </c>
      <c r="BY13" s="319">
        <v>0</v>
      </c>
      <c r="BZ13" s="320"/>
      <c r="CA13" s="319">
        <v>0</v>
      </c>
      <c r="CB13" s="320"/>
      <c r="CC13" s="319">
        <v>0</v>
      </c>
      <c r="CD13" s="320">
        <v>0</v>
      </c>
      <c r="CE13" s="319">
        <v>0</v>
      </c>
      <c r="CF13" s="320"/>
      <c r="CG13" s="319">
        <v>0</v>
      </c>
      <c r="CH13" s="320"/>
      <c r="CI13" s="319">
        <v>0</v>
      </c>
      <c r="CJ13" s="320">
        <v>0</v>
      </c>
      <c r="CK13" s="319">
        <v>0</v>
      </c>
      <c r="CL13" s="320"/>
      <c r="CM13" s="319">
        <v>0</v>
      </c>
      <c r="CN13" s="320"/>
      <c r="CO13" s="319">
        <v>0</v>
      </c>
      <c r="CP13" s="320">
        <v>0</v>
      </c>
      <c r="CQ13" s="319">
        <v>0</v>
      </c>
      <c r="CR13" s="320"/>
      <c r="CS13" s="319">
        <v>0</v>
      </c>
      <c r="CT13" s="320"/>
      <c r="CU13" s="319">
        <v>0</v>
      </c>
      <c r="CV13" s="320">
        <v>0</v>
      </c>
      <c r="CW13" s="319">
        <v>0</v>
      </c>
      <c r="CX13" s="320"/>
      <c r="CY13" s="319">
        <v>0</v>
      </c>
      <c r="CZ13" s="320"/>
      <c r="DA13" s="319">
        <v>0</v>
      </c>
      <c r="DB13" s="320">
        <v>0</v>
      </c>
      <c r="DC13" s="319">
        <v>0</v>
      </c>
      <c r="DD13" s="320"/>
      <c r="DE13" s="319">
        <v>0</v>
      </c>
      <c r="DF13" s="320"/>
      <c r="DG13" s="319">
        <v>0</v>
      </c>
      <c r="DH13" s="320">
        <v>0</v>
      </c>
      <c r="DI13" s="319">
        <v>0</v>
      </c>
      <c r="DJ13" s="320"/>
      <c r="DK13" s="319">
        <v>0</v>
      </c>
      <c r="DL13" s="320"/>
      <c r="DM13" s="319">
        <v>0</v>
      </c>
      <c r="DN13" s="320">
        <v>0</v>
      </c>
      <c r="DO13" s="319">
        <v>0</v>
      </c>
      <c r="DP13" s="320"/>
      <c r="DQ13" s="319">
        <v>0</v>
      </c>
      <c r="DR13" s="320"/>
      <c r="DS13" s="319">
        <v>0</v>
      </c>
      <c r="DT13" s="320">
        <v>0</v>
      </c>
      <c r="DU13" s="319">
        <v>0</v>
      </c>
      <c r="DV13" s="320"/>
      <c r="DW13" s="319">
        <v>0</v>
      </c>
      <c r="DX13" s="320"/>
      <c r="DY13" s="319">
        <v>0</v>
      </c>
      <c r="DZ13" s="320">
        <v>0</v>
      </c>
      <c r="EA13" s="319">
        <v>0</v>
      </c>
      <c r="EB13" s="320"/>
      <c r="EC13" s="319">
        <v>0</v>
      </c>
      <c r="ED13" s="320"/>
      <c r="EE13" s="319">
        <v>0</v>
      </c>
      <c r="EF13" s="320">
        <v>0</v>
      </c>
      <c r="EG13" s="319">
        <v>0</v>
      </c>
      <c r="EH13" s="320"/>
      <c r="EI13" s="319">
        <v>0</v>
      </c>
      <c r="EJ13" s="320"/>
      <c r="EK13" s="319">
        <v>0</v>
      </c>
      <c r="EL13" s="320">
        <v>0</v>
      </c>
      <c r="EM13" s="319">
        <v>0</v>
      </c>
      <c r="EN13" s="320"/>
      <c r="EO13" s="319">
        <v>0</v>
      </c>
      <c r="EP13" s="320"/>
      <c r="EQ13" s="319">
        <v>0</v>
      </c>
      <c r="ER13" s="320">
        <v>0</v>
      </c>
      <c r="ES13" s="319">
        <v>0</v>
      </c>
      <c r="ET13" s="320"/>
      <c r="EU13" s="319">
        <v>0</v>
      </c>
      <c r="EV13" s="320"/>
      <c r="EW13" s="319">
        <v>0</v>
      </c>
      <c r="EX13" s="320">
        <v>0</v>
      </c>
      <c r="EY13" s="319">
        <v>0</v>
      </c>
      <c r="EZ13" s="320"/>
      <c r="FA13" s="319">
        <v>0</v>
      </c>
      <c r="FB13" s="320"/>
      <c r="FC13" s="319">
        <v>0</v>
      </c>
      <c r="FD13" s="320">
        <v>0</v>
      </c>
      <c r="FE13" s="319">
        <v>0</v>
      </c>
      <c r="FF13" s="320"/>
      <c r="FG13" s="319">
        <v>0</v>
      </c>
      <c r="FH13" s="320"/>
      <c r="FI13" s="319">
        <v>0</v>
      </c>
      <c r="FJ13" s="320">
        <v>0</v>
      </c>
      <c r="FK13" s="319">
        <v>0</v>
      </c>
      <c r="FL13" s="320"/>
      <c r="FM13" s="319">
        <v>0</v>
      </c>
      <c r="FN13" s="320"/>
      <c r="FO13" s="319">
        <v>0</v>
      </c>
      <c r="FP13" s="320">
        <v>0</v>
      </c>
      <c r="FQ13" s="319">
        <v>0</v>
      </c>
      <c r="FR13" s="320"/>
      <c r="FS13" s="319">
        <v>0</v>
      </c>
      <c r="FT13" s="320"/>
      <c r="FU13" s="319">
        <v>0</v>
      </c>
      <c r="FV13" s="320">
        <v>0</v>
      </c>
      <c r="FW13" s="319">
        <v>0</v>
      </c>
      <c r="FX13" s="320"/>
      <c r="FY13" s="319">
        <v>0</v>
      </c>
      <c r="FZ13" s="320"/>
      <c r="GA13" s="319">
        <v>0</v>
      </c>
      <c r="GB13" s="320">
        <v>0</v>
      </c>
      <c r="GC13" s="319">
        <v>0</v>
      </c>
      <c r="GD13" s="320"/>
      <c r="GE13" s="319">
        <v>0</v>
      </c>
      <c r="GF13" s="320"/>
      <c r="GG13" s="319">
        <v>0</v>
      </c>
      <c r="GH13" s="320">
        <v>0</v>
      </c>
      <c r="GI13" s="319">
        <v>0</v>
      </c>
      <c r="GJ13" s="320"/>
      <c r="GK13" s="319">
        <v>0</v>
      </c>
      <c r="GL13" s="320"/>
      <c r="GM13" s="319">
        <v>0</v>
      </c>
      <c r="GN13" s="320">
        <v>0</v>
      </c>
      <c r="GO13" s="319">
        <v>0</v>
      </c>
      <c r="GP13" s="320"/>
      <c r="GQ13" s="319">
        <v>0</v>
      </c>
      <c r="GR13" s="320"/>
      <c r="GS13" s="319">
        <v>0</v>
      </c>
      <c r="GT13" s="320">
        <v>0</v>
      </c>
      <c r="GU13" s="319">
        <v>0</v>
      </c>
      <c r="GV13" s="320"/>
      <c r="GW13" s="319">
        <v>0</v>
      </c>
      <c r="GX13" s="320"/>
      <c r="GY13" s="319">
        <v>0</v>
      </c>
      <c r="GZ13" s="320">
        <v>0</v>
      </c>
    </row>
    <row r="14" spans="1:208" s="89" customFormat="1" ht="22.5" customHeight="1" x14ac:dyDescent="0.2">
      <c r="A14" s="287" t="s">
        <v>3181</v>
      </c>
      <c r="B14" s="288" t="s">
        <v>3182</v>
      </c>
      <c r="C14" s="294" t="s">
        <v>3170</v>
      </c>
      <c r="D14" s="290" t="s">
        <v>3183</v>
      </c>
      <c r="E14" s="290" t="s">
        <v>3184</v>
      </c>
      <c r="F14" s="295" t="s">
        <v>3166</v>
      </c>
      <c r="G14" s="295" t="s">
        <v>3167</v>
      </c>
      <c r="H14" s="292" t="s">
        <v>1466</v>
      </c>
      <c r="I14" s="293" t="s">
        <v>1466</v>
      </c>
      <c r="J14" s="340" t="s">
        <v>3168</v>
      </c>
      <c r="K14" s="342" t="s">
        <v>3173</v>
      </c>
      <c r="L14" s="256">
        <f>CONTINUA!BV14</f>
        <v>0</v>
      </c>
      <c r="M14" s="256">
        <f>CONTINUA!BW14</f>
        <v>0</v>
      </c>
      <c r="N14" s="564"/>
      <c r="O14" s="565" t="s">
        <v>3333</v>
      </c>
      <c r="P14" s="566">
        <v>0</v>
      </c>
      <c r="Q14" s="319">
        <v>0</v>
      </c>
      <c r="R14" s="320"/>
      <c r="S14" s="319">
        <v>0</v>
      </c>
      <c r="T14" s="320"/>
      <c r="U14" s="319">
        <v>0</v>
      </c>
      <c r="V14" s="320">
        <v>0</v>
      </c>
      <c r="W14" s="319">
        <v>0</v>
      </c>
      <c r="X14" s="320"/>
      <c r="Y14" s="319">
        <v>0</v>
      </c>
      <c r="Z14" s="320"/>
      <c r="AA14" s="319">
        <v>0</v>
      </c>
      <c r="AB14" s="320">
        <v>0</v>
      </c>
      <c r="AC14" s="319">
        <v>0</v>
      </c>
      <c r="AD14" s="320"/>
      <c r="AE14" s="319">
        <v>0</v>
      </c>
      <c r="AF14" s="320"/>
      <c r="AG14" s="319">
        <v>0</v>
      </c>
      <c r="AH14" s="320">
        <v>0</v>
      </c>
      <c r="AI14" s="319">
        <v>0</v>
      </c>
      <c r="AJ14" s="320"/>
      <c r="AK14" s="319">
        <v>0</v>
      </c>
      <c r="AL14" s="320"/>
      <c r="AM14" s="319">
        <v>0</v>
      </c>
      <c r="AN14" s="320">
        <v>0</v>
      </c>
      <c r="AO14" s="319">
        <v>0</v>
      </c>
      <c r="AP14" s="320"/>
      <c r="AQ14" s="319">
        <v>0</v>
      </c>
      <c r="AR14" s="320"/>
      <c r="AS14" s="319">
        <v>0</v>
      </c>
      <c r="AT14" s="320">
        <v>0</v>
      </c>
      <c r="AU14" s="319">
        <v>0</v>
      </c>
      <c r="AV14" s="320"/>
      <c r="AW14" s="319">
        <v>0</v>
      </c>
      <c r="AX14" s="320"/>
      <c r="AY14" s="319">
        <v>0</v>
      </c>
      <c r="AZ14" s="320">
        <v>0</v>
      </c>
      <c r="BA14" s="319">
        <v>0</v>
      </c>
      <c r="BB14" s="320"/>
      <c r="BC14" s="319">
        <v>0</v>
      </c>
      <c r="BD14" s="320"/>
      <c r="BE14" s="319">
        <v>0</v>
      </c>
      <c r="BF14" s="320">
        <v>0</v>
      </c>
      <c r="BG14" s="319">
        <v>0</v>
      </c>
      <c r="BH14" s="320"/>
      <c r="BI14" s="319">
        <v>0</v>
      </c>
      <c r="BJ14" s="320"/>
      <c r="BK14" s="319">
        <v>0</v>
      </c>
      <c r="BL14" s="320">
        <v>0</v>
      </c>
      <c r="BM14" s="319">
        <v>0</v>
      </c>
      <c r="BN14" s="320"/>
      <c r="BO14" s="319">
        <v>0</v>
      </c>
      <c r="BP14" s="320"/>
      <c r="BQ14" s="319">
        <v>0</v>
      </c>
      <c r="BR14" s="320">
        <v>0</v>
      </c>
      <c r="BS14" s="319">
        <v>0</v>
      </c>
      <c r="BT14" s="320"/>
      <c r="BU14" s="319">
        <v>0</v>
      </c>
      <c r="BV14" s="320"/>
      <c r="BW14" s="319">
        <v>0</v>
      </c>
      <c r="BX14" s="320">
        <v>0</v>
      </c>
      <c r="BY14" s="319">
        <v>0</v>
      </c>
      <c r="BZ14" s="320"/>
      <c r="CA14" s="319">
        <v>0</v>
      </c>
      <c r="CB14" s="320"/>
      <c r="CC14" s="319">
        <v>0</v>
      </c>
      <c r="CD14" s="320">
        <v>0</v>
      </c>
      <c r="CE14" s="319">
        <v>0</v>
      </c>
      <c r="CF14" s="320"/>
      <c r="CG14" s="319">
        <v>0</v>
      </c>
      <c r="CH14" s="320"/>
      <c r="CI14" s="319">
        <v>0</v>
      </c>
      <c r="CJ14" s="320">
        <v>0</v>
      </c>
      <c r="CK14" s="319">
        <v>0</v>
      </c>
      <c r="CL14" s="320"/>
      <c r="CM14" s="319">
        <v>0</v>
      </c>
      <c r="CN14" s="320"/>
      <c r="CO14" s="319">
        <v>0</v>
      </c>
      <c r="CP14" s="320">
        <v>0</v>
      </c>
      <c r="CQ14" s="319">
        <v>0</v>
      </c>
      <c r="CR14" s="320"/>
      <c r="CS14" s="319">
        <v>0</v>
      </c>
      <c r="CT14" s="320"/>
      <c r="CU14" s="319">
        <v>0</v>
      </c>
      <c r="CV14" s="320">
        <v>0</v>
      </c>
      <c r="CW14" s="319">
        <v>0</v>
      </c>
      <c r="CX14" s="320"/>
      <c r="CY14" s="319">
        <v>0</v>
      </c>
      <c r="CZ14" s="320"/>
      <c r="DA14" s="319">
        <v>0</v>
      </c>
      <c r="DB14" s="320">
        <v>0</v>
      </c>
      <c r="DC14" s="319">
        <v>0</v>
      </c>
      <c r="DD14" s="320"/>
      <c r="DE14" s="319">
        <v>0</v>
      </c>
      <c r="DF14" s="320"/>
      <c r="DG14" s="319">
        <v>0</v>
      </c>
      <c r="DH14" s="320">
        <v>0</v>
      </c>
      <c r="DI14" s="319">
        <v>0</v>
      </c>
      <c r="DJ14" s="320"/>
      <c r="DK14" s="319">
        <v>0</v>
      </c>
      <c r="DL14" s="320"/>
      <c r="DM14" s="319">
        <v>0</v>
      </c>
      <c r="DN14" s="320">
        <v>0</v>
      </c>
      <c r="DO14" s="319">
        <v>0</v>
      </c>
      <c r="DP14" s="320"/>
      <c r="DQ14" s="319">
        <v>0</v>
      </c>
      <c r="DR14" s="320"/>
      <c r="DS14" s="319">
        <v>0</v>
      </c>
      <c r="DT14" s="320">
        <v>0</v>
      </c>
      <c r="DU14" s="319">
        <v>0</v>
      </c>
      <c r="DV14" s="320"/>
      <c r="DW14" s="319">
        <v>0</v>
      </c>
      <c r="DX14" s="320"/>
      <c r="DY14" s="319">
        <v>0</v>
      </c>
      <c r="DZ14" s="320">
        <v>0</v>
      </c>
      <c r="EA14" s="319">
        <v>0</v>
      </c>
      <c r="EB14" s="320"/>
      <c r="EC14" s="319">
        <v>0</v>
      </c>
      <c r="ED14" s="320"/>
      <c r="EE14" s="319">
        <v>0</v>
      </c>
      <c r="EF14" s="320">
        <v>0</v>
      </c>
      <c r="EG14" s="319">
        <v>0</v>
      </c>
      <c r="EH14" s="320"/>
      <c r="EI14" s="319">
        <v>0</v>
      </c>
      <c r="EJ14" s="320"/>
      <c r="EK14" s="319">
        <v>0</v>
      </c>
      <c r="EL14" s="320">
        <v>0</v>
      </c>
      <c r="EM14" s="319">
        <v>0</v>
      </c>
      <c r="EN14" s="320"/>
      <c r="EO14" s="319">
        <v>0</v>
      </c>
      <c r="EP14" s="320"/>
      <c r="EQ14" s="319">
        <v>0</v>
      </c>
      <c r="ER14" s="320">
        <v>0</v>
      </c>
      <c r="ES14" s="319">
        <v>0</v>
      </c>
      <c r="ET14" s="320"/>
      <c r="EU14" s="319">
        <v>0</v>
      </c>
      <c r="EV14" s="320"/>
      <c r="EW14" s="319">
        <v>0</v>
      </c>
      <c r="EX14" s="320">
        <v>0</v>
      </c>
      <c r="EY14" s="319">
        <v>0</v>
      </c>
      <c r="EZ14" s="320"/>
      <c r="FA14" s="319">
        <v>0</v>
      </c>
      <c r="FB14" s="320"/>
      <c r="FC14" s="319">
        <v>0</v>
      </c>
      <c r="FD14" s="320">
        <v>0</v>
      </c>
      <c r="FE14" s="319">
        <v>0</v>
      </c>
      <c r="FF14" s="320"/>
      <c r="FG14" s="319">
        <v>0</v>
      </c>
      <c r="FH14" s="320"/>
      <c r="FI14" s="319">
        <v>0</v>
      </c>
      <c r="FJ14" s="320">
        <v>0</v>
      </c>
      <c r="FK14" s="319">
        <v>0</v>
      </c>
      <c r="FL14" s="320"/>
      <c r="FM14" s="319">
        <v>0</v>
      </c>
      <c r="FN14" s="320"/>
      <c r="FO14" s="319">
        <v>0</v>
      </c>
      <c r="FP14" s="320">
        <v>0</v>
      </c>
      <c r="FQ14" s="319">
        <v>0</v>
      </c>
      <c r="FR14" s="320"/>
      <c r="FS14" s="319">
        <v>0</v>
      </c>
      <c r="FT14" s="320"/>
      <c r="FU14" s="319">
        <v>0</v>
      </c>
      <c r="FV14" s="320">
        <v>0</v>
      </c>
      <c r="FW14" s="319">
        <v>0</v>
      </c>
      <c r="FX14" s="320"/>
      <c r="FY14" s="319">
        <v>0</v>
      </c>
      <c r="FZ14" s="320"/>
      <c r="GA14" s="319">
        <v>0</v>
      </c>
      <c r="GB14" s="320">
        <v>0</v>
      </c>
      <c r="GC14" s="319">
        <v>0</v>
      </c>
      <c r="GD14" s="320"/>
      <c r="GE14" s="319">
        <v>0</v>
      </c>
      <c r="GF14" s="320"/>
      <c r="GG14" s="319">
        <v>0</v>
      </c>
      <c r="GH14" s="320">
        <v>0</v>
      </c>
      <c r="GI14" s="319">
        <v>0</v>
      </c>
      <c r="GJ14" s="320"/>
      <c r="GK14" s="319">
        <v>0</v>
      </c>
      <c r="GL14" s="320"/>
      <c r="GM14" s="319">
        <v>0</v>
      </c>
      <c r="GN14" s="320">
        <v>0</v>
      </c>
      <c r="GO14" s="319">
        <v>0</v>
      </c>
      <c r="GP14" s="320"/>
      <c r="GQ14" s="319">
        <v>0</v>
      </c>
      <c r="GR14" s="320"/>
      <c r="GS14" s="319">
        <v>0</v>
      </c>
      <c r="GT14" s="320">
        <v>0</v>
      </c>
      <c r="GU14" s="319">
        <v>0</v>
      </c>
      <c r="GV14" s="320"/>
      <c r="GW14" s="319">
        <v>0</v>
      </c>
      <c r="GX14" s="320"/>
      <c r="GY14" s="319">
        <v>0</v>
      </c>
      <c r="GZ14" s="320">
        <v>0</v>
      </c>
    </row>
    <row r="15" spans="1:208" s="89" customFormat="1" ht="22.5" customHeight="1" thickBot="1" x14ac:dyDescent="0.25">
      <c r="A15" s="296" t="s">
        <v>3181</v>
      </c>
      <c r="B15" s="297" t="s">
        <v>3182</v>
      </c>
      <c r="C15" s="298" t="s">
        <v>3170</v>
      </c>
      <c r="D15" s="299" t="s">
        <v>3183</v>
      </c>
      <c r="E15" s="299" t="s">
        <v>3184</v>
      </c>
      <c r="F15" s="300" t="s">
        <v>3166</v>
      </c>
      <c r="G15" s="300" t="s">
        <v>3167</v>
      </c>
      <c r="H15" s="301" t="s">
        <v>1466</v>
      </c>
      <c r="I15" s="302" t="s">
        <v>1466</v>
      </c>
      <c r="J15" s="340" t="s">
        <v>3168</v>
      </c>
      <c r="K15" s="343" t="s">
        <v>53</v>
      </c>
      <c r="L15" s="256">
        <f>CONTINUA!BV15</f>
        <v>0</v>
      </c>
      <c r="M15" s="256">
        <f>CONTINUA!BW15</f>
        <v>0</v>
      </c>
      <c r="N15" s="564"/>
      <c r="O15" s="565" t="s">
        <v>3333</v>
      </c>
      <c r="P15" s="566">
        <v>0</v>
      </c>
      <c r="Q15" s="319">
        <v>0</v>
      </c>
      <c r="R15" s="320"/>
      <c r="S15" s="319">
        <v>0</v>
      </c>
      <c r="T15" s="320"/>
      <c r="U15" s="321">
        <v>0</v>
      </c>
      <c r="V15" s="322">
        <v>0</v>
      </c>
      <c r="W15" s="319">
        <v>0</v>
      </c>
      <c r="X15" s="320"/>
      <c r="Y15" s="319">
        <v>0</v>
      </c>
      <c r="Z15" s="320"/>
      <c r="AA15" s="321">
        <v>0</v>
      </c>
      <c r="AB15" s="322">
        <v>0</v>
      </c>
      <c r="AC15" s="319">
        <v>0</v>
      </c>
      <c r="AD15" s="320"/>
      <c r="AE15" s="319">
        <v>0</v>
      </c>
      <c r="AF15" s="320"/>
      <c r="AG15" s="321">
        <v>0</v>
      </c>
      <c r="AH15" s="322">
        <v>0</v>
      </c>
      <c r="AI15" s="319">
        <v>0</v>
      </c>
      <c r="AJ15" s="320"/>
      <c r="AK15" s="319">
        <v>0</v>
      </c>
      <c r="AL15" s="320"/>
      <c r="AM15" s="321">
        <v>0</v>
      </c>
      <c r="AN15" s="322">
        <v>0</v>
      </c>
      <c r="AO15" s="319">
        <v>0</v>
      </c>
      <c r="AP15" s="320"/>
      <c r="AQ15" s="319">
        <v>0</v>
      </c>
      <c r="AR15" s="320"/>
      <c r="AS15" s="321">
        <v>0</v>
      </c>
      <c r="AT15" s="322">
        <v>0</v>
      </c>
      <c r="AU15" s="319">
        <v>0</v>
      </c>
      <c r="AV15" s="320"/>
      <c r="AW15" s="319">
        <v>0</v>
      </c>
      <c r="AX15" s="320"/>
      <c r="AY15" s="321">
        <v>0</v>
      </c>
      <c r="AZ15" s="322">
        <v>0</v>
      </c>
      <c r="BA15" s="319">
        <v>0</v>
      </c>
      <c r="BB15" s="320"/>
      <c r="BC15" s="319">
        <v>0</v>
      </c>
      <c r="BD15" s="320"/>
      <c r="BE15" s="321">
        <v>0</v>
      </c>
      <c r="BF15" s="322">
        <v>0</v>
      </c>
      <c r="BG15" s="319">
        <v>0</v>
      </c>
      <c r="BH15" s="320"/>
      <c r="BI15" s="319">
        <v>0</v>
      </c>
      <c r="BJ15" s="320"/>
      <c r="BK15" s="321">
        <v>0</v>
      </c>
      <c r="BL15" s="322">
        <v>0</v>
      </c>
      <c r="BM15" s="319">
        <v>0</v>
      </c>
      <c r="BN15" s="320"/>
      <c r="BO15" s="319">
        <v>0</v>
      </c>
      <c r="BP15" s="320"/>
      <c r="BQ15" s="321">
        <v>0</v>
      </c>
      <c r="BR15" s="322">
        <v>0</v>
      </c>
      <c r="BS15" s="319">
        <v>0</v>
      </c>
      <c r="BT15" s="320"/>
      <c r="BU15" s="319">
        <v>0</v>
      </c>
      <c r="BV15" s="320"/>
      <c r="BW15" s="321">
        <v>0</v>
      </c>
      <c r="BX15" s="322">
        <v>0</v>
      </c>
      <c r="BY15" s="319">
        <v>0</v>
      </c>
      <c r="BZ15" s="320"/>
      <c r="CA15" s="319">
        <v>0</v>
      </c>
      <c r="CB15" s="320"/>
      <c r="CC15" s="321">
        <v>0</v>
      </c>
      <c r="CD15" s="322">
        <v>0</v>
      </c>
      <c r="CE15" s="319">
        <v>0</v>
      </c>
      <c r="CF15" s="320"/>
      <c r="CG15" s="319">
        <v>0</v>
      </c>
      <c r="CH15" s="320"/>
      <c r="CI15" s="321">
        <v>0</v>
      </c>
      <c r="CJ15" s="322">
        <v>0</v>
      </c>
      <c r="CK15" s="319">
        <v>0</v>
      </c>
      <c r="CL15" s="320"/>
      <c r="CM15" s="319">
        <v>0</v>
      </c>
      <c r="CN15" s="320"/>
      <c r="CO15" s="321">
        <v>0</v>
      </c>
      <c r="CP15" s="322">
        <v>0</v>
      </c>
      <c r="CQ15" s="319">
        <v>0</v>
      </c>
      <c r="CR15" s="320"/>
      <c r="CS15" s="319">
        <v>0</v>
      </c>
      <c r="CT15" s="320"/>
      <c r="CU15" s="321">
        <v>0</v>
      </c>
      <c r="CV15" s="322">
        <v>0</v>
      </c>
      <c r="CW15" s="319">
        <v>0</v>
      </c>
      <c r="CX15" s="320"/>
      <c r="CY15" s="319">
        <v>0</v>
      </c>
      <c r="CZ15" s="320"/>
      <c r="DA15" s="321">
        <v>0</v>
      </c>
      <c r="DB15" s="322">
        <v>0</v>
      </c>
      <c r="DC15" s="319">
        <v>0</v>
      </c>
      <c r="DD15" s="320"/>
      <c r="DE15" s="319">
        <v>0</v>
      </c>
      <c r="DF15" s="320"/>
      <c r="DG15" s="321">
        <v>0</v>
      </c>
      <c r="DH15" s="322">
        <v>0</v>
      </c>
      <c r="DI15" s="319">
        <v>0</v>
      </c>
      <c r="DJ15" s="320"/>
      <c r="DK15" s="319">
        <v>0</v>
      </c>
      <c r="DL15" s="320"/>
      <c r="DM15" s="321">
        <v>0</v>
      </c>
      <c r="DN15" s="322">
        <v>0</v>
      </c>
      <c r="DO15" s="319">
        <v>0</v>
      </c>
      <c r="DP15" s="320"/>
      <c r="DQ15" s="319">
        <v>0</v>
      </c>
      <c r="DR15" s="320"/>
      <c r="DS15" s="321">
        <v>0</v>
      </c>
      <c r="DT15" s="322">
        <v>0</v>
      </c>
      <c r="DU15" s="319">
        <v>0</v>
      </c>
      <c r="DV15" s="320"/>
      <c r="DW15" s="319">
        <v>0</v>
      </c>
      <c r="DX15" s="320"/>
      <c r="DY15" s="321">
        <v>0</v>
      </c>
      <c r="DZ15" s="322">
        <v>0</v>
      </c>
      <c r="EA15" s="319">
        <v>0</v>
      </c>
      <c r="EB15" s="320"/>
      <c r="EC15" s="319">
        <v>0</v>
      </c>
      <c r="ED15" s="320"/>
      <c r="EE15" s="321">
        <v>0</v>
      </c>
      <c r="EF15" s="322">
        <v>0</v>
      </c>
      <c r="EG15" s="319">
        <v>0</v>
      </c>
      <c r="EH15" s="320"/>
      <c r="EI15" s="319">
        <v>0</v>
      </c>
      <c r="EJ15" s="320"/>
      <c r="EK15" s="321">
        <v>0</v>
      </c>
      <c r="EL15" s="322">
        <v>0</v>
      </c>
      <c r="EM15" s="319">
        <v>0</v>
      </c>
      <c r="EN15" s="320"/>
      <c r="EO15" s="319">
        <v>0</v>
      </c>
      <c r="EP15" s="320"/>
      <c r="EQ15" s="321">
        <v>0</v>
      </c>
      <c r="ER15" s="322">
        <v>0</v>
      </c>
      <c r="ES15" s="319">
        <v>0</v>
      </c>
      <c r="ET15" s="320"/>
      <c r="EU15" s="319">
        <v>0</v>
      </c>
      <c r="EV15" s="320"/>
      <c r="EW15" s="321">
        <v>0</v>
      </c>
      <c r="EX15" s="322">
        <v>0</v>
      </c>
      <c r="EY15" s="319">
        <v>0</v>
      </c>
      <c r="EZ15" s="320"/>
      <c r="FA15" s="319">
        <v>0</v>
      </c>
      <c r="FB15" s="320"/>
      <c r="FC15" s="321">
        <v>0</v>
      </c>
      <c r="FD15" s="322">
        <v>0</v>
      </c>
      <c r="FE15" s="319">
        <v>0</v>
      </c>
      <c r="FF15" s="320"/>
      <c r="FG15" s="319">
        <v>0</v>
      </c>
      <c r="FH15" s="320"/>
      <c r="FI15" s="321">
        <v>0</v>
      </c>
      <c r="FJ15" s="322">
        <v>0</v>
      </c>
      <c r="FK15" s="319">
        <v>0</v>
      </c>
      <c r="FL15" s="320"/>
      <c r="FM15" s="319">
        <v>0</v>
      </c>
      <c r="FN15" s="320"/>
      <c r="FO15" s="321">
        <v>0</v>
      </c>
      <c r="FP15" s="322">
        <v>0</v>
      </c>
      <c r="FQ15" s="319">
        <v>0</v>
      </c>
      <c r="FR15" s="320"/>
      <c r="FS15" s="319">
        <v>0</v>
      </c>
      <c r="FT15" s="320"/>
      <c r="FU15" s="321">
        <v>0</v>
      </c>
      <c r="FV15" s="322">
        <v>0</v>
      </c>
      <c r="FW15" s="319">
        <v>0</v>
      </c>
      <c r="FX15" s="320"/>
      <c r="FY15" s="319">
        <v>0</v>
      </c>
      <c r="FZ15" s="320"/>
      <c r="GA15" s="321">
        <v>0</v>
      </c>
      <c r="GB15" s="322">
        <v>0</v>
      </c>
      <c r="GC15" s="319">
        <v>0</v>
      </c>
      <c r="GD15" s="320"/>
      <c r="GE15" s="319">
        <v>0</v>
      </c>
      <c r="GF15" s="320"/>
      <c r="GG15" s="321">
        <v>0</v>
      </c>
      <c r="GH15" s="322">
        <v>0</v>
      </c>
      <c r="GI15" s="319">
        <v>0</v>
      </c>
      <c r="GJ15" s="320"/>
      <c r="GK15" s="319">
        <v>0</v>
      </c>
      <c r="GL15" s="320"/>
      <c r="GM15" s="321">
        <v>0</v>
      </c>
      <c r="GN15" s="322">
        <v>0</v>
      </c>
      <c r="GO15" s="319">
        <v>0</v>
      </c>
      <c r="GP15" s="320"/>
      <c r="GQ15" s="319">
        <v>0</v>
      </c>
      <c r="GR15" s="320"/>
      <c r="GS15" s="321">
        <v>0</v>
      </c>
      <c r="GT15" s="322">
        <v>0</v>
      </c>
      <c r="GU15" s="319">
        <v>0</v>
      </c>
      <c r="GV15" s="320"/>
      <c r="GW15" s="319">
        <v>0</v>
      </c>
      <c r="GX15" s="320"/>
      <c r="GY15" s="321">
        <v>0</v>
      </c>
      <c r="GZ15" s="322">
        <v>0</v>
      </c>
    </row>
    <row r="16" spans="1:208" s="89" customFormat="1" ht="22.5" customHeight="1" x14ac:dyDescent="0.2">
      <c r="A16" t="s">
        <v>3185</v>
      </c>
      <c r="B16" s="429" t="s">
        <v>3186</v>
      </c>
      <c r="C16" s="430">
        <v>1</v>
      </c>
      <c r="D16" s="431" t="s">
        <v>3187</v>
      </c>
      <c r="E16" s="431" t="s">
        <v>3188</v>
      </c>
      <c r="F16" s="432" t="s">
        <v>3166</v>
      </c>
      <c r="G16" s="432" t="s">
        <v>3167</v>
      </c>
      <c r="H16" s="270" t="s">
        <v>1470</v>
      </c>
      <c r="I16" s="271" t="s">
        <v>1470</v>
      </c>
      <c r="J16" s="328" t="s">
        <v>3168</v>
      </c>
      <c r="K16" s="329" t="s">
        <v>3169</v>
      </c>
      <c r="L16" s="256">
        <f>CONTINUA!BV16</f>
        <v>0</v>
      </c>
      <c r="M16" s="256">
        <f>CONTINUA!BW16</f>
        <v>0</v>
      </c>
      <c r="N16" s="564"/>
      <c r="O16" s="565" t="s">
        <v>3334</v>
      </c>
      <c r="P16" s="566">
        <v>0</v>
      </c>
      <c r="Q16" s="319">
        <v>0</v>
      </c>
      <c r="R16" s="320"/>
      <c r="S16" s="319">
        <v>0</v>
      </c>
      <c r="T16" s="320"/>
      <c r="U16" s="321">
        <v>0</v>
      </c>
      <c r="V16" s="322">
        <v>0</v>
      </c>
      <c r="W16" s="319">
        <v>0</v>
      </c>
      <c r="X16" s="320"/>
      <c r="Y16" s="319">
        <v>0</v>
      </c>
      <c r="Z16" s="320"/>
      <c r="AA16" s="321">
        <v>0</v>
      </c>
      <c r="AB16" s="322">
        <v>0</v>
      </c>
      <c r="AC16" s="319">
        <v>0</v>
      </c>
      <c r="AD16" s="320"/>
      <c r="AE16" s="319">
        <v>0</v>
      </c>
      <c r="AF16" s="320"/>
      <c r="AG16" s="321">
        <v>0</v>
      </c>
      <c r="AH16" s="322">
        <v>0</v>
      </c>
      <c r="AI16" s="319">
        <v>0</v>
      </c>
      <c r="AJ16" s="320"/>
      <c r="AK16" s="319">
        <v>0</v>
      </c>
      <c r="AL16" s="320"/>
      <c r="AM16" s="321">
        <v>0</v>
      </c>
      <c r="AN16" s="322">
        <v>0</v>
      </c>
      <c r="AO16" s="319">
        <v>0</v>
      </c>
      <c r="AP16" s="320"/>
      <c r="AQ16" s="319">
        <v>0</v>
      </c>
      <c r="AR16" s="320"/>
      <c r="AS16" s="321">
        <v>0</v>
      </c>
      <c r="AT16" s="322">
        <v>0</v>
      </c>
      <c r="AU16" s="319">
        <v>0</v>
      </c>
      <c r="AV16" s="320"/>
      <c r="AW16" s="319">
        <v>0</v>
      </c>
      <c r="AX16" s="320"/>
      <c r="AY16" s="321">
        <v>0</v>
      </c>
      <c r="AZ16" s="322">
        <v>0</v>
      </c>
      <c r="BA16" s="319">
        <v>0</v>
      </c>
      <c r="BB16" s="320"/>
      <c r="BC16" s="319">
        <v>0</v>
      </c>
      <c r="BD16" s="320"/>
      <c r="BE16" s="321">
        <v>0</v>
      </c>
      <c r="BF16" s="322">
        <v>0</v>
      </c>
      <c r="BG16" s="319">
        <v>0</v>
      </c>
      <c r="BH16" s="320"/>
      <c r="BI16" s="319">
        <v>0</v>
      </c>
      <c r="BJ16" s="320"/>
      <c r="BK16" s="321">
        <v>0</v>
      </c>
      <c r="BL16" s="322">
        <v>0</v>
      </c>
      <c r="BM16" s="319">
        <v>0</v>
      </c>
      <c r="BN16" s="320"/>
      <c r="BO16" s="319">
        <v>0</v>
      </c>
      <c r="BP16" s="320"/>
      <c r="BQ16" s="321">
        <v>0</v>
      </c>
      <c r="BR16" s="322">
        <v>0</v>
      </c>
      <c r="BS16" s="319">
        <v>0</v>
      </c>
      <c r="BT16" s="320"/>
      <c r="BU16" s="319">
        <v>0</v>
      </c>
      <c r="BV16" s="320"/>
      <c r="BW16" s="321">
        <v>0</v>
      </c>
      <c r="BX16" s="322">
        <v>0</v>
      </c>
      <c r="BY16" s="319">
        <v>0</v>
      </c>
      <c r="BZ16" s="320"/>
      <c r="CA16" s="319">
        <v>0</v>
      </c>
      <c r="CB16" s="320"/>
      <c r="CC16" s="321">
        <v>0</v>
      </c>
      <c r="CD16" s="322">
        <v>0</v>
      </c>
      <c r="CE16" s="319">
        <v>0</v>
      </c>
      <c r="CF16" s="320"/>
      <c r="CG16" s="319">
        <v>0</v>
      </c>
      <c r="CH16" s="320"/>
      <c r="CI16" s="321">
        <v>0</v>
      </c>
      <c r="CJ16" s="322">
        <v>0</v>
      </c>
      <c r="CK16" s="319">
        <v>0</v>
      </c>
      <c r="CL16" s="320"/>
      <c r="CM16" s="319">
        <v>0</v>
      </c>
      <c r="CN16" s="320"/>
      <c r="CO16" s="321">
        <v>0</v>
      </c>
      <c r="CP16" s="322">
        <v>0</v>
      </c>
      <c r="CQ16" s="319">
        <v>0</v>
      </c>
      <c r="CR16" s="320"/>
      <c r="CS16" s="319">
        <v>0</v>
      </c>
      <c r="CT16" s="320"/>
      <c r="CU16" s="321">
        <v>0</v>
      </c>
      <c r="CV16" s="322">
        <v>0</v>
      </c>
      <c r="CW16" s="319">
        <v>0</v>
      </c>
      <c r="CX16" s="320"/>
      <c r="CY16" s="319">
        <v>0</v>
      </c>
      <c r="CZ16" s="320"/>
      <c r="DA16" s="321">
        <v>0</v>
      </c>
      <c r="DB16" s="322">
        <v>0</v>
      </c>
      <c r="DC16" s="319">
        <v>0</v>
      </c>
      <c r="DD16" s="320"/>
      <c r="DE16" s="319">
        <v>0</v>
      </c>
      <c r="DF16" s="320"/>
      <c r="DG16" s="321">
        <v>0</v>
      </c>
      <c r="DH16" s="322">
        <v>0</v>
      </c>
      <c r="DI16" s="319">
        <v>0</v>
      </c>
      <c r="DJ16" s="320"/>
      <c r="DK16" s="319">
        <v>0</v>
      </c>
      <c r="DL16" s="320"/>
      <c r="DM16" s="321">
        <v>0</v>
      </c>
      <c r="DN16" s="322">
        <v>0</v>
      </c>
      <c r="DO16" s="319">
        <v>0</v>
      </c>
      <c r="DP16" s="320"/>
      <c r="DQ16" s="319">
        <v>0</v>
      </c>
      <c r="DR16" s="320"/>
      <c r="DS16" s="321">
        <v>0</v>
      </c>
      <c r="DT16" s="322">
        <v>0</v>
      </c>
      <c r="DU16" s="319">
        <v>0</v>
      </c>
      <c r="DV16" s="320"/>
      <c r="DW16" s="319">
        <v>0</v>
      </c>
      <c r="DX16" s="320"/>
      <c r="DY16" s="321">
        <v>0</v>
      </c>
      <c r="DZ16" s="322">
        <v>0</v>
      </c>
      <c r="EA16" s="319">
        <v>0</v>
      </c>
      <c r="EB16" s="320"/>
      <c r="EC16" s="319">
        <v>0</v>
      </c>
      <c r="ED16" s="320"/>
      <c r="EE16" s="321">
        <v>0</v>
      </c>
      <c r="EF16" s="322">
        <v>0</v>
      </c>
      <c r="EG16" s="319">
        <v>0</v>
      </c>
      <c r="EH16" s="320"/>
      <c r="EI16" s="319">
        <v>0</v>
      </c>
      <c r="EJ16" s="320"/>
      <c r="EK16" s="321">
        <v>0</v>
      </c>
      <c r="EL16" s="322">
        <v>0</v>
      </c>
      <c r="EM16" s="319">
        <v>0</v>
      </c>
      <c r="EN16" s="320"/>
      <c r="EO16" s="319">
        <v>0</v>
      </c>
      <c r="EP16" s="320"/>
      <c r="EQ16" s="321">
        <v>0</v>
      </c>
      <c r="ER16" s="322">
        <v>0</v>
      </c>
      <c r="ES16" s="319">
        <v>0</v>
      </c>
      <c r="ET16" s="320"/>
      <c r="EU16" s="319">
        <v>0</v>
      </c>
      <c r="EV16" s="320"/>
      <c r="EW16" s="321">
        <v>0</v>
      </c>
      <c r="EX16" s="322">
        <v>0</v>
      </c>
      <c r="EY16" s="319">
        <v>0</v>
      </c>
      <c r="EZ16" s="320"/>
      <c r="FA16" s="319">
        <v>0</v>
      </c>
      <c r="FB16" s="320"/>
      <c r="FC16" s="321">
        <v>0</v>
      </c>
      <c r="FD16" s="322">
        <v>0</v>
      </c>
      <c r="FE16" s="319">
        <v>0</v>
      </c>
      <c r="FF16" s="320"/>
      <c r="FG16" s="319">
        <v>0</v>
      </c>
      <c r="FH16" s="320"/>
      <c r="FI16" s="321">
        <v>0</v>
      </c>
      <c r="FJ16" s="322">
        <v>0</v>
      </c>
      <c r="FK16" s="319">
        <v>0</v>
      </c>
      <c r="FL16" s="320"/>
      <c r="FM16" s="319">
        <v>0</v>
      </c>
      <c r="FN16" s="320"/>
      <c r="FO16" s="321">
        <v>0</v>
      </c>
      <c r="FP16" s="322">
        <v>0</v>
      </c>
      <c r="FQ16" s="319">
        <v>0</v>
      </c>
      <c r="FR16" s="320"/>
      <c r="FS16" s="319">
        <v>0</v>
      </c>
      <c r="FT16" s="320"/>
      <c r="FU16" s="321">
        <v>0</v>
      </c>
      <c r="FV16" s="322">
        <v>0</v>
      </c>
      <c r="FW16" s="319">
        <v>0</v>
      </c>
      <c r="FX16" s="320"/>
      <c r="FY16" s="319">
        <v>0</v>
      </c>
      <c r="FZ16" s="320"/>
      <c r="GA16" s="321">
        <v>0</v>
      </c>
      <c r="GB16" s="322">
        <v>0</v>
      </c>
      <c r="GC16" s="319">
        <v>0</v>
      </c>
      <c r="GD16" s="320"/>
      <c r="GE16" s="319">
        <v>0</v>
      </c>
      <c r="GF16" s="320"/>
      <c r="GG16" s="321">
        <v>0</v>
      </c>
      <c r="GH16" s="322">
        <v>0</v>
      </c>
      <c r="GI16" s="319">
        <v>0</v>
      </c>
      <c r="GJ16" s="320"/>
      <c r="GK16" s="319">
        <v>0</v>
      </c>
      <c r="GL16" s="320"/>
      <c r="GM16" s="321">
        <v>0</v>
      </c>
      <c r="GN16" s="322">
        <v>0</v>
      </c>
      <c r="GO16" s="319">
        <v>0</v>
      </c>
      <c r="GP16" s="320"/>
      <c r="GQ16" s="319">
        <v>0</v>
      </c>
      <c r="GR16" s="320"/>
      <c r="GS16" s="321">
        <v>0</v>
      </c>
      <c r="GT16" s="322">
        <v>0</v>
      </c>
      <c r="GU16" s="319">
        <v>0</v>
      </c>
      <c r="GV16" s="320"/>
      <c r="GW16" s="319">
        <v>0</v>
      </c>
      <c r="GX16" s="320"/>
      <c r="GY16" s="321">
        <v>0</v>
      </c>
      <c r="GZ16" s="322">
        <v>0</v>
      </c>
    </row>
    <row r="17" spans="1:208" s="89" customFormat="1" ht="22.5" customHeight="1" x14ac:dyDescent="0.2">
      <c r="A17" s="287" t="s">
        <v>3185</v>
      </c>
      <c r="B17" s="288" t="s">
        <v>3186</v>
      </c>
      <c r="C17" s="289" t="s">
        <v>3170</v>
      </c>
      <c r="D17" s="290" t="s">
        <v>3187</v>
      </c>
      <c r="E17" s="290" t="s">
        <v>3188</v>
      </c>
      <c r="F17" s="291" t="s">
        <v>3166</v>
      </c>
      <c r="G17" s="291" t="s">
        <v>3167</v>
      </c>
      <c r="H17" s="292" t="s">
        <v>1470</v>
      </c>
      <c r="I17" s="293" t="s">
        <v>1470</v>
      </c>
      <c r="J17" s="340" t="s">
        <v>3168</v>
      </c>
      <c r="K17" s="340" t="s">
        <v>3171</v>
      </c>
      <c r="L17" s="256">
        <f>CONTINUA!BV17</f>
        <v>24</v>
      </c>
      <c r="M17" s="256">
        <f>CONTINUA!BW17</f>
        <v>0</v>
      </c>
      <c r="N17" s="564"/>
      <c r="O17" s="565" t="s">
        <v>3334</v>
      </c>
      <c r="P17" s="566">
        <v>0</v>
      </c>
      <c r="Q17" s="319">
        <v>48</v>
      </c>
      <c r="R17" s="320"/>
      <c r="S17" s="319">
        <v>5</v>
      </c>
      <c r="T17" s="320"/>
      <c r="U17" s="319">
        <v>0</v>
      </c>
      <c r="V17" s="320">
        <v>0</v>
      </c>
      <c r="W17" s="319">
        <v>48</v>
      </c>
      <c r="X17" s="320"/>
      <c r="Y17" s="319">
        <v>5</v>
      </c>
      <c r="Z17" s="320"/>
      <c r="AA17" s="319">
        <v>0</v>
      </c>
      <c r="AB17" s="320">
        <v>0</v>
      </c>
      <c r="AC17" s="319">
        <v>48</v>
      </c>
      <c r="AD17" s="320"/>
      <c r="AE17" s="319">
        <v>5</v>
      </c>
      <c r="AF17" s="320"/>
      <c r="AG17" s="319">
        <v>0</v>
      </c>
      <c r="AH17" s="320">
        <v>0</v>
      </c>
      <c r="AI17" s="319">
        <v>48</v>
      </c>
      <c r="AJ17" s="320"/>
      <c r="AK17" s="319">
        <v>5</v>
      </c>
      <c r="AL17" s="320"/>
      <c r="AM17" s="319">
        <v>0</v>
      </c>
      <c r="AN17" s="320">
        <v>0</v>
      </c>
      <c r="AO17" s="319">
        <v>48</v>
      </c>
      <c r="AP17" s="320"/>
      <c r="AQ17" s="319">
        <v>5</v>
      </c>
      <c r="AR17" s="320"/>
      <c r="AS17" s="319">
        <v>0</v>
      </c>
      <c r="AT17" s="320">
        <v>0</v>
      </c>
      <c r="AU17" s="319">
        <v>48</v>
      </c>
      <c r="AV17" s="320"/>
      <c r="AW17" s="319">
        <v>5</v>
      </c>
      <c r="AX17" s="320"/>
      <c r="AY17" s="319">
        <v>0</v>
      </c>
      <c r="AZ17" s="320">
        <v>0</v>
      </c>
      <c r="BA17" s="319">
        <v>48</v>
      </c>
      <c r="BB17" s="320"/>
      <c r="BC17" s="319">
        <v>5</v>
      </c>
      <c r="BD17" s="320"/>
      <c r="BE17" s="319">
        <v>0</v>
      </c>
      <c r="BF17" s="320">
        <v>0</v>
      </c>
      <c r="BG17" s="319">
        <v>48</v>
      </c>
      <c r="BH17" s="320"/>
      <c r="BI17" s="319">
        <v>5</v>
      </c>
      <c r="BJ17" s="320"/>
      <c r="BK17" s="319">
        <v>0</v>
      </c>
      <c r="BL17" s="320">
        <v>0</v>
      </c>
      <c r="BM17" s="319">
        <v>48</v>
      </c>
      <c r="BN17" s="320"/>
      <c r="BO17" s="319">
        <v>5</v>
      </c>
      <c r="BP17" s="320"/>
      <c r="BQ17" s="319">
        <v>0</v>
      </c>
      <c r="BR17" s="320">
        <v>0</v>
      </c>
      <c r="BS17" s="319">
        <v>48</v>
      </c>
      <c r="BT17" s="320"/>
      <c r="BU17" s="319">
        <v>5</v>
      </c>
      <c r="BV17" s="320"/>
      <c r="BW17" s="319">
        <v>0</v>
      </c>
      <c r="BX17" s="320">
        <v>0</v>
      </c>
      <c r="BY17" s="319">
        <v>48</v>
      </c>
      <c r="BZ17" s="320"/>
      <c r="CA17" s="319">
        <v>5</v>
      </c>
      <c r="CB17" s="320"/>
      <c r="CC17" s="319">
        <v>0</v>
      </c>
      <c r="CD17" s="320">
        <v>0</v>
      </c>
      <c r="CE17" s="319">
        <v>48</v>
      </c>
      <c r="CF17" s="320"/>
      <c r="CG17" s="319">
        <v>5</v>
      </c>
      <c r="CH17" s="320"/>
      <c r="CI17" s="319">
        <v>0</v>
      </c>
      <c r="CJ17" s="320">
        <v>0</v>
      </c>
      <c r="CK17" s="319">
        <v>48</v>
      </c>
      <c r="CL17" s="320"/>
      <c r="CM17" s="319">
        <v>5</v>
      </c>
      <c r="CN17" s="320"/>
      <c r="CO17" s="319">
        <v>0</v>
      </c>
      <c r="CP17" s="320">
        <v>0</v>
      </c>
      <c r="CQ17" s="319">
        <v>48</v>
      </c>
      <c r="CR17" s="320"/>
      <c r="CS17" s="319">
        <v>5</v>
      </c>
      <c r="CT17" s="320"/>
      <c r="CU17" s="319">
        <v>0</v>
      </c>
      <c r="CV17" s="320">
        <v>0</v>
      </c>
      <c r="CW17" s="319">
        <v>48</v>
      </c>
      <c r="CX17" s="320"/>
      <c r="CY17" s="319">
        <v>5</v>
      </c>
      <c r="CZ17" s="320"/>
      <c r="DA17" s="319">
        <v>0</v>
      </c>
      <c r="DB17" s="320">
        <v>0</v>
      </c>
      <c r="DC17" s="319">
        <v>48</v>
      </c>
      <c r="DD17" s="320"/>
      <c r="DE17" s="319">
        <v>5</v>
      </c>
      <c r="DF17" s="320"/>
      <c r="DG17" s="319">
        <v>0</v>
      </c>
      <c r="DH17" s="320">
        <v>0</v>
      </c>
      <c r="DI17" s="319">
        <v>48</v>
      </c>
      <c r="DJ17" s="320"/>
      <c r="DK17" s="319">
        <v>5</v>
      </c>
      <c r="DL17" s="320"/>
      <c r="DM17" s="319">
        <v>0</v>
      </c>
      <c r="DN17" s="320">
        <v>0</v>
      </c>
      <c r="DO17" s="319">
        <v>48</v>
      </c>
      <c r="DP17" s="320"/>
      <c r="DQ17" s="319">
        <v>5</v>
      </c>
      <c r="DR17" s="320"/>
      <c r="DS17" s="319">
        <v>0</v>
      </c>
      <c r="DT17" s="320">
        <v>0</v>
      </c>
      <c r="DU17" s="319">
        <v>48</v>
      </c>
      <c r="DV17" s="320"/>
      <c r="DW17" s="319">
        <v>5</v>
      </c>
      <c r="DX17" s="320"/>
      <c r="DY17" s="319">
        <v>0</v>
      </c>
      <c r="DZ17" s="320">
        <v>0</v>
      </c>
      <c r="EA17" s="319">
        <v>48</v>
      </c>
      <c r="EB17" s="320"/>
      <c r="EC17" s="319">
        <v>5</v>
      </c>
      <c r="ED17" s="320"/>
      <c r="EE17" s="319">
        <v>0</v>
      </c>
      <c r="EF17" s="320">
        <v>0</v>
      </c>
      <c r="EG17" s="319">
        <v>48</v>
      </c>
      <c r="EH17" s="320"/>
      <c r="EI17" s="319">
        <v>5</v>
      </c>
      <c r="EJ17" s="320"/>
      <c r="EK17" s="319">
        <v>0</v>
      </c>
      <c r="EL17" s="320">
        <v>0</v>
      </c>
      <c r="EM17" s="319">
        <v>48</v>
      </c>
      <c r="EN17" s="320"/>
      <c r="EO17" s="319">
        <v>5</v>
      </c>
      <c r="EP17" s="320"/>
      <c r="EQ17" s="319">
        <v>0</v>
      </c>
      <c r="ER17" s="320">
        <v>0</v>
      </c>
      <c r="ES17" s="319">
        <v>48</v>
      </c>
      <c r="ET17" s="320"/>
      <c r="EU17" s="319">
        <v>5</v>
      </c>
      <c r="EV17" s="320"/>
      <c r="EW17" s="319">
        <v>0</v>
      </c>
      <c r="EX17" s="320">
        <v>0</v>
      </c>
      <c r="EY17" s="319">
        <v>48</v>
      </c>
      <c r="EZ17" s="320"/>
      <c r="FA17" s="319">
        <v>5</v>
      </c>
      <c r="FB17" s="320"/>
      <c r="FC17" s="319">
        <v>0</v>
      </c>
      <c r="FD17" s="320">
        <v>0</v>
      </c>
      <c r="FE17" s="319">
        <v>48</v>
      </c>
      <c r="FF17" s="320"/>
      <c r="FG17" s="319">
        <v>5</v>
      </c>
      <c r="FH17" s="320"/>
      <c r="FI17" s="319">
        <v>0</v>
      </c>
      <c r="FJ17" s="320">
        <v>0</v>
      </c>
      <c r="FK17" s="319">
        <v>48</v>
      </c>
      <c r="FL17" s="320"/>
      <c r="FM17" s="319">
        <v>5</v>
      </c>
      <c r="FN17" s="320"/>
      <c r="FO17" s="319">
        <v>0</v>
      </c>
      <c r="FP17" s="320">
        <v>0</v>
      </c>
      <c r="FQ17" s="319">
        <v>48</v>
      </c>
      <c r="FR17" s="320"/>
      <c r="FS17" s="319">
        <v>5</v>
      </c>
      <c r="FT17" s="320"/>
      <c r="FU17" s="319">
        <v>0</v>
      </c>
      <c r="FV17" s="320">
        <v>0</v>
      </c>
      <c r="FW17" s="319">
        <v>48</v>
      </c>
      <c r="FX17" s="320"/>
      <c r="FY17" s="319">
        <v>5</v>
      </c>
      <c r="FZ17" s="320"/>
      <c r="GA17" s="319">
        <v>0</v>
      </c>
      <c r="GB17" s="320">
        <v>0</v>
      </c>
      <c r="GC17" s="319">
        <v>48</v>
      </c>
      <c r="GD17" s="320"/>
      <c r="GE17" s="319">
        <v>5</v>
      </c>
      <c r="GF17" s="320"/>
      <c r="GG17" s="319">
        <v>0</v>
      </c>
      <c r="GH17" s="320">
        <v>0</v>
      </c>
      <c r="GI17" s="319">
        <v>48</v>
      </c>
      <c r="GJ17" s="320"/>
      <c r="GK17" s="319">
        <v>5</v>
      </c>
      <c r="GL17" s="320"/>
      <c r="GM17" s="319">
        <v>0</v>
      </c>
      <c r="GN17" s="320">
        <v>0</v>
      </c>
      <c r="GO17" s="319">
        <v>48</v>
      </c>
      <c r="GP17" s="320"/>
      <c r="GQ17" s="319">
        <v>5</v>
      </c>
      <c r="GR17" s="320"/>
      <c r="GS17" s="319">
        <v>0</v>
      </c>
      <c r="GT17" s="320">
        <v>0</v>
      </c>
      <c r="GU17" s="319">
        <v>48</v>
      </c>
      <c r="GV17" s="320"/>
      <c r="GW17" s="319">
        <v>5</v>
      </c>
      <c r="GX17" s="320"/>
      <c r="GY17" s="319">
        <v>0</v>
      </c>
      <c r="GZ17" s="320">
        <v>0</v>
      </c>
    </row>
    <row r="18" spans="1:208" s="89" customFormat="1" ht="22.5" customHeight="1" x14ac:dyDescent="0.2">
      <c r="A18" s="287" t="s">
        <v>3185</v>
      </c>
      <c r="B18" s="288" t="s">
        <v>3186</v>
      </c>
      <c r="C18" s="294" t="s">
        <v>3170</v>
      </c>
      <c r="D18" s="290" t="s">
        <v>3187</v>
      </c>
      <c r="E18" s="290" t="s">
        <v>3188</v>
      </c>
      <c r="F18" s="295" t="s">
        <v>3166</v>
      </c>
      <c r="G18" s="295" t="s">
        <v>3167</v>
      </c>
      <c r="H18" s="292" t="s">
        <v>1470</v>
      </c>
      <c r="I18" s="293" t="s">
        <v>1470</v>
      </c>
      <c r="J18" s="340" t="s">
        <v>3168</v>
      </c>
      <c r="K18" s="341" t="s">
        <v>3172</v>
      </c>
      <c r="L18" s="256">
        <f>CONTINUA!BV18</f>
        <v>0</v>
      </c>
      <c r="M18" s="256">
        <f>CONTINUA!BW18</f>
        <v>0</v>
      </c>
      <c r="N18" s="564"/>
      <c r="O18" s="565" t="s">
        <v>3334</v>
      </c>
      <c r="P18" s="566">
        <v>0</v>
      </c>
      <c r="Q18" s="319">
        <v>0</v>
      </c>
      <c r="R18" s="320"/>
      <c r="S18" s="319">
        <v>0</v>
      </c>
      <c r="T18" s="320"/>
      <c r="U18" s="319">
        <v>0</v>
      </c>
      <c r="V18" s="320">
        <v>0</v>
      </c>
      <c r="W18" s="319">
        <v>0</v>
      </c>
      <c r="X18" s="320"/>
      <c r="Y18" s="319">
        <v>0</v>
      </c>
      <c r="Z18" s="320"/>
      <c r="AA18" s="319">
        <v>0</v>
      </c>
      <c r="AB18" s="320">
        <v>0</v>
      </c>
      <c r="AC18" s="319">
        <v>0</v>
      </c>
      <c r="AD18" s="320"/>
      <c r="AE18" s="319">
        <v>0</v>
      </c>
      <c r="AF18" s="320"/>
      <c r="AG18" s="319">
        <v>0</v>
      </c>
      <c r="AH18" s="320">
        <v>0</v>
      </c>
      <c r="AI18" s="319">
        <v>0</v>
      </c>
      <c r="AJ18" s="320"/>
      <c r="AK18" s="319">
        <v>0</v>
      </c>
      <c r="AL18" s="320"/>
      <c r="AM18" s="319">
        <v>0</v>
      </c>
      <c r="AN18" s="320">
        <v>0</v>
      </c>
      <c r="AO18" s="319">
        <v>0</v>
      </c>
      <c r="AP18" s="320"/>
      <c r="AQ18" s="319">
        <v>0</v>
      </c>
      <c r="AR18" s="320"/>
      <c r="AS18" s="319">
        <v>0</v>
      </c>
      <c r="AT18" s="320">
        <v>0</v>
      </c>
      <c r="AU18" s="319">
        <v>0</v>
      </c>
      <c r="AV18" s="320"/>
      <c r="AW18" s="319">
        <v>0</v>
      </c>
      <c r="AX18" s="320"/>
      <c r="AY18" s="319">
        <v>0</v>
      </c>
      <c r="AZ18" s="320">
        <v>0</v>
      </c>
      <c r="BA18" s="319">
        <v>0</v>
      </c>
      <c r="BB18" s="320"/>
      <c r="BC18" s="319">
        <v>0</v>
      </c>
      <c r="BD18" s="320"/>
      <c r="BE18" s="319">
        <v>0</v>
      </c>
      <c r="BF18" s="320">
        <v>0</v>
      </c>
      <c r="BG18" s="319">
        <v>0</v>
      </c>
      <c r="BH18" s="320"/>
      <c r="BI18" s="319">
        <v>0</v>
      </c>
      <c r="BJ18" s="320"/>
      <c r="BK18" s="319">
        <v>0</v>
      </c>
      <c r="BL18" s="320">
        <v>0</v>
      </c>
      <c r="BM18" s="319">
        <v>0</v>
      </c>
      <c r="BN18" s="320"/>
      <c r="BO18" s="319">
        <v>0</v>
      </c>
      <c r="BP18" s="320"/>
      <c r="BQ18" s="319">
        <v>0</v>
      </c>
      <c r="BR18" s="320">
        <v>0</v>
      </c>
      <c r="BS18" s="319">
        <v>0</v>
      </c>
      <c r="BT18" s="320"/>
      <c r="BU18" s="319">
        <v>0</v>
      </c>
      <c r="BV18" s="320"/>
      <c r="BW18" s="319">
        <v>0</v>
      </c>
      <c r="BX18" s="320">
        <v>0</v>
      </c>
      <c r="BY18" s="319">
        <v>0</v>
      </c>
      <c r="BZ18" s="320"/>
      <c r="CA18" s="319">
        <v>0</v>
      </c>
      <c r="CB18" s="320"/>
      <c r="CC18" s="319">
        <v>0</v>
      </c>
      <c r="CD18" s="320">
        <v>0</v>
      </c>
      <c r="CE18" s="319">
        <v>0</v>
      </c>
      <c r="CF18" s="320"/>
      <c r="CG18" s="319">
        <v>0</v>
      </c>
      <c r="CH18" s="320"/>
      <c r="CI18" s="319">
        <v>0</v>
      </c>
      <c r="CJ18" s="320">
        <v>0</v>
      </c>
      <c r="CK18" s="319">
        <v>0</v>
      </c>
      <c r="CL18" s="320"/>
      <c r="CM18" s="319">
        <v>0</v>
      </c>
      <c r="CN18" s="320"/>
      <c r="CO18" s="319">
        <v>0</v>
      </c>
      <c r="CP18" s="320">
        <v>0</v>
      </c>
      <c r="CQ18" s="319">
        <v>0</v>
      </c>
      <c r="CR18" s="320"/>
      <c r="CS18" s="319">
        <v>0</v>
      </c>
      <c r="CT18" s="320"/>
      <c r="CU18" s="319">
        <v>0</v>
      </c>
      <c r="CV18" s="320">
        <v>0</v>
      </c>
      <c r="CW18" s="319">
        <v>0</v>
      </c>
      <c r="CX18" s="320"/>
      <c r="CY18" s="319">
        <v>0</v>
      </c>
      <c r="CZ18" s="320"/>
      <c r="DA18" s="319">
        <v>0</v>
      </c>
      <c r="DB18" s="320">
        <v>0</v>
      </c>
      <c r="DC18" s="319">
        <v>0</v>
      </c>
      <c r="DD18" s="320"/>
      <c r="DE18" s="319">
        <v>0</v>
      </c>
      <c r="DF18" s="320"/>
      <c r="DG18" s="319">
        <v>0</v>
      </c>
      <c r="DH18" s="320">
        <v>0</v>
      </c>
      <c r="DI18" s="319">
        <v>0</v>
      </c>
      <c r="DJ18" s="320"/>
      <c r="DK18" s="319">
        <v>0</v>
      </c>
      <c r="DL18" s="320"/>
      <c r="DM18" s="319">
        <v>0</v>
      </c>
      <c r="DN18" s="320">
        <v>0</v>
      </c>
      <c r="DO18" s="319">
        <v>0</v>
      </c>
      <c r="DP18" s="320"/>
      <c r="DQ18" s="319">
        <v>0</v>
      </c>
      <c r="DR18" s="320"/>
      <c r="DS18" s="319">
        <v>0</v>
      </c>
      <c r="DT18" s="320">
        <v>0</v>
      </c>
      <c r="DU18" s="319">
        <v>0</v>
      </c>
      <c r="DV18" s="320"/>
      <c r="DW18" s="319">
        <v>0</v>
      </c>
      <c r="DX18" s="320"/>
      <c r="DY18" s="319">
        <v>0</v>
      </c>
      <c r="DZ18" s="320">
        <v>0</v>
      </c>
      <c r="EA18" s="319">
        <v>0</v>
      </c>
      <c r="EB18" s="320"/>
      <c r="EC18" s="319">
        <v>0</v>
      </c>
      <c r="ED18" s="320"/>
      <c r="EE18" s="319">
        <v>0</v>
      </c>
      <c r="EF18" s="320">
        <v>0</v>
      </c>
      <c r="EG18" s="319">
        <v>0</v>
      </c>
      <c r="EH18" s="320"/>
      <c r="EI18" s="319">
        <v>0</v>
      </c>
      <c r="EJ18" s="320"/>
      <c r="EK18" s="319">
        <v>0</v>
      </c>
      <c r="EL18" s="320">
        <v>0</v>
      </c>
      <c r="EM18" s="319">
        <v>0</v>
      </c>
      <c r="EN18" s="320"/>
      <c r="EO18" s="319">
        <v>0</v>
      </c>
      <c r="EP18" s="320"/>
      <c r="EQ18" s="319">
        <v>0</v>
      </c>
      <c r="ER18" s="320">
        <v>0</v>
      </c>
      <c r="ES18" s="319">
        <v>0</v>
      </c>
      <c r="ET18" s="320"/>
      <c r="EU18" s="319">
        <v>0</v>
      </c>
      <c r="EV18" s="320"/>
      <c r="EW18" s="319">
        <v>0</v>
      </c>
      <c r="EX18" s="320">
        <v>0</v>
      </c>
      <c r="EY18" s="319">
        <v>0</v>
      </c>
      <c r="EZ18" s="320"/>
      <c r="FA18" s="319">
        <v>0</v>
      </c>
      <c r="FB18" s="320"/>
      <c r="FC18" s="319">
        <v>0</v>
      </c>
      <c r="FD18" s="320">
        <v>0</v>
      </c>
      <c r="FE18" s="319">
        <v>0</v>
      </c>
      <c r="FF18" s="320"/>
      <c r="FG18" s="319">
        <v>0</v>
      </c>
      <c r="FH18" s="320"/>
      <c r="FI18" s="319">
        <v>0</v>
      </c>
      <c r="FJ18" s="320">
        <v>0</v>
      </c>
      <c r="FK18" s="319">
        <v>0</v>
      </c>
      <c r="FL18" s="320"/>
      <c r="FM18" s="319">
        <v>0</v>
      </c>
      <c r="FN18" s="320"/>
      <c r="FO18" s="319">
        <v>0</v>
      </c>
      <c r="FP18" s="320">
        <v>0</v>
      </c>
      <c r="FQ18" s="319">
        <v>0</v>
      </c>
      <c r="FR18" s="320"/>
      <c r="FS18" s="319">
        <v>0</v>
      </c>
      <c r="FT18" s="320"/>
      <c r="FU18" s="319">
        <v>0</v>
      </c>
      <c r="FV18" s="320">
        <v>0</v>
      </c>
      <c r="FW18" s="319">
        <v>0</v>
      </c>
      <c r="FX18" s="320"/>
      <c r="FY18" s="319">
        <v>0</v>
      </c>
      <c r="FZ18" s="320"/>
      <c r="GA18" s="319">
        <v>0</v>
      </c>
      <c r="GB18" s="320">
        <v>0</v>
      </c>
      <c r="GC18" s="319">
        <v>0</v>
      </c>
      <c r="GD18" s="320"/>
      <c r="GE18" s="319">
        <v>0</v>
      </c>
      <c r="GF18" s="320"/>
      <c r="GG18" s="319">
        <v>0</v>
      </c>
      <c r="GH18" s="320">
        <v>0</v>
      </c>
      <c r="GI18" s="319">
        <v>0</v>
      </c>
      <c r="GJ18" s="320"/>
      <c r="GK18" s="319">
        <v>0</v>
      </c>
      <c r="GL18" s="320"/>
      <c r="GM18" s="319">
        <v>0</v>
      </c>
      <c r="GN18" s="320">
        <v>0</v>
      </c>
      <c r="GO18" s="319">
        <v>0</v>
      </c>
      <c r="GP18" s="320"/>
      <c r="GQ18" s="319">
        <v>0</v>
      </c>
      <c r="GR18" s="320"/>
      <c r="GS18" s="319">
        <v>0</v>
      </c>
      <c r="GT18" s="320">
        <v>0</v>
      </c>
      <c r="GU18" s="319">
        <v>0</v>
      </c>
      <c r="GV18" s="320"/>
      <c r="GW18" s="319">
        <v>0</v>
      </c>
      <c r="GX18" s="320"/>
      <c r="GY18" s="319">
        <v>0</v>
      </c>
      <c r="GZ18" s="320">
        <v>0</v>
      </c>
    </row>
    <row r="19" spans="1:208" s="89" customFormat="1" ht="22.5" customHeight="1" x14ac:dyDescent="0.2">
      <c r="A19" s="287" t="s">
        <v>3185</v>
      </c>
      <c r="B19" s="288" t="s">
        <v>3186</v>
      </c>
      <c r="C19" s="294" t="s">
        <v>3170</v>
      </c>
      <c r="D19" s="290" t="s">
        <v>3187</v>
      </c>
      <c r="E19" s="290" t="s">
        <v>3188</v>
      </c>
      <c r="F19" s="295" t="s">
        <v>3166</v>
      </c>
      <c r="G19" s="295" t="s">
        <v>3167</v>
      </c>
      <c r="H19" s="292" t="s">
        <v>1470</v>
      </c>
      <c r="I19" s="293" t="s">
        <v>1470</v>
      </c>
      <c r="J19" s="340" t="s">
        <v>3168</v>
      </c>
      <c r="K19" s="342" t="s">
        <v>3173</v>
      </c>
      <c r="L19" s="256">
        <f>CONTINUA!BV19</f>
        <v>0</v>
      </c>
      <c r="M19" s="256">
        <f>CONTINUA!BW19</f>
        <v>0</v>
      </c>
      <c r="N19" s="564"/>
      <c r="O19" s="565" t="s">
        <v>3334</v>
      </c>
      <c r="P19" s="566">
        <v>0</v>
      </c>
      <c r="Q19" s="319">
        <v>0</v>
      </c>
      <c r="R19" s="320"/>
      <c r="S19" s="319">
        <v>0</v>
      </c>
      <c r="T19" s="320"/>
      <c r="U19" s="319">
        <v>0</v>
      </c>
      <c r="V19" s="320">
        <v>0</v>
      </c>
      <c r="W19" s="319">
        <v>0</v>
      </c>
      <c r="X19" s="320"/>
      <c r="Y19" s="319">
        <v>0</v>
      </c>
      <c r="Z19" s="320"/>
      <c r="AA19" s="319">
        <v>0</v>
      </c>
      <c r="AB19" s="320">
        <v>0</v>
      </c>
      <c r="AC19" s="319">
        <v>0</v>
      </c>
      <c r="AD19" s="320"/>
      <c r="AE19" s="319">
        <v>0</v>
      </c>
      <c r="AF19" s="320"/>
      <c r="AG19" s="319">
        <v>0</v>
      </c>
      <c r="AH19" s="320">
        <v>0</v>
      </c>
      <c r="AI19" s="319">
        <v>0</v>
      </c>
      <c r="AJ19" s="320"/>
      <c r="AK19" s="319">
        <v>0</v>
      </c>
      <c r="AL19" s="320"/>
      <c r="AM19" s="319">
        <v>0</v>
      </c>
      <c r="AN19" s="320">
        <v>0</v>
      </c>
      <c r="AO19" s="319">
        <v>0</v>
      </c>
      <c r="AP19" s="320"/>
      <c r="AQ19" s="319">
        <v>0</v>
      </c>
      <c r="AR19" s="320"/>
      <c r="AS19" s="319">
        <v>0</v>
      </c>
      <c r="AT19" s="320">
        <v>0</v>
      </c>
      <c r="AU19" s="319">
        <v>0</v>
      </c>
      <c r="AV19" s="320"/>
      <c r="AW19" s="319">
        <v>0</v>
      </c>
      <c r="AX19" s="320"/>
      <c r="AY19" s="319">
        <v>0</v>
      </c>
      <c r="AZ19" s="320">
        <v>0</v>
      </c>
      <c r="BA19" s="319">
        <v>0</v>
      </c>
      <c r="BB19" s="320"/>
      <c r="BC19" s="319">
        <v>0</v>
      </c>
      <c r="BD19" s="320"/>
      <c r="BE19" s="319">
        <v>0</v>
      </c>
      <c r="BF19" s="320">
        <v>0</v>
      </c>
      <c r="BG19" s="319">
        <v>0</v>
      </c>
      <c r="BH19" s="320"/>
      <c r="BI19" s="319">
        <v>0</v>
      </c>
      <c r="BJ19" s="320"/>
      <c r="BK19" s="319">
        <v>0</v>
      </c>
      <c r="BL19" s="320">
        <v>0</v>
      </c>
      <c r="BM19" s="319">
        <v>0</v>
      </c>
      <c r="BN19" s="320"/>
      <c r="BO19" s="319">
        <v>0</v>
      </c>
      <c r="BP19" s="320"/>
      <c r="BQ19" s="319">
        <v>0</v>
      </c>
      <c r="BR19" s="320">
        <v>0</v>
      </c>
      <c r="BS19" s="319">
        <v>0</v>
      </c>
      <c r="BT19" s="320"/>
      <c r="BU19" s="319">
        <v>0</v>
      </c>
      <c r="BV19" s="320"/>
      <c r="BW19" s="319">
        <v>0</v>
      </c>
      <c r="BX19" s="320">
        <v>0</v>
      </c>
      <c r="BY19" s="319">
        <v>0</v>
      </c>
      <c r="BZ19" s="320"/>
      <c r="CA19" s="319">
        <v>0</v>
      </c>
      <c r="CB19" s="320"/>
      <c r="CC19" s="319">
        <v>0</v>
      </c>
      <c r="CD19" s="320">
        <v>0</v>
      </c>
      <c r="CE19" s="319">
        <v>0</v>
      </c>
      <c r="CF19" s="320"/>
      <c r="CG19" s="319">
        <v>0</v>
      </c>
      <c r="CH19" s="320"/>
      <c r="CI19" s="319">
        <v>0</v>
      </c>
      <c r="CJ19" s="320">
        <v>0</v>
      </c>
      <c r="CK19" s="319">
        <v>0</v>
      </c>
      <c r="CL19" s="320"/>
      <c r="CM19" s="319">
        <v>0</v>
      </c>
      <c r="CN19" s="320"/>
      <c r="CO19" s="319">
        <v>0</v>
      </c>
      <c r="CP19" s="320">
        <v>0</v>
      </c>
      <c r="CQ19" s="319">
        <v>0</v>
      </c>
      <c r="CR19" s="320"/>
      <c r="CS19" s="319">
        <v>0</v>
      </c>
      <c r="CT19" s="320"/>
      <c r="CU19" s="319">
        <v>0</v>
      </c>
      <c r="CV19" s="320">
        <v>0</v>
      </c>
      <c r="CW19" s="319">
        <v>0</v>
      </c>
      <c r="CX19" s="320"/>
      <c r="CY19" s="319">
        <v>0</v>
      </c>
      <c r="CZ19" s="320"/>
      <c r="DA19" s="319">
        <v>0</v>
      </c>
      <c r="DB19" s="320">
        <v>0</v>
      </c>
      <c r="DC19" s="319">
        <v>0</v>
      </c>
      <c r="DD19" s="320"/>
      <c r="DE19" s="319">
        <v>0</v>
      </c>
      <c r="DF19" s="320"/>
      <c r="DG19" s="319">
        <v>0</v>
      </c>
      <c r="DH19" s="320">
        <v>0</v>
      </c>
      <c r="DI19" s="319">
        <v>0</v>
      </c>
      <c r="DJ19" s="320"/>
      <c r="DK19" s="319">
        <v>0</v>
      </c>
      <c r="DL19" s="320"/>
      <c r="DM19" s="319">
        <v>0</v>
      </c>
      <c r="DN19" s="320">
        <v>0</v>
      </c>
      <c r="DO19" s="319">
        <v>0</v>
      </c>
      <c r="DP19" s="320"/>
      <c r="DQ19" s="319">
        <v>0</v>
      </c>
      <c r="DR19" s="320"/>
      <c r="DS19" s="319">
        <v>0</v>
      </c>
      <c r="DT19" s="320">
        <v>0</v>
      </c>
      <c r="DU19" s="319">
        <v>0</v>
      </c>
      <c r="DV19" s="320"/>
      <c r="DW19" s="319">
        <v>0</v>
      </c>
      <c r="DX19" s="320"/>
      <c r="DY19" s="319">
        <v>0</v>
      </c>
      <c r="DZ19" s="320">
        <v>0</v>
      </c>
      <c r="EA19" s="319">
        <v>0</v>
      </c>
      <c r="EB19" s="320"/>
      <c r="EC19" s="319">
        <v>0</v>
      </c>
      <c r="ED19" s="320"/>
      <c r="EE19" s="319">
        <v>0</v>
      </c>
      <c r="EF19" s="320">
        <v>0</v>
      </c>
      <c r="EG19" s="319">
        <v>0</v>
      </c>
      <c r="EH19" s="320"/>
      <c r="EI19" s="319">
        <v>0</v>
      </c>
      <c r="EJ19" s="320"/>
      <c r="EK19" s="319">
        <v>0</v>
      </c>
      <c r="EL19" s="320">
        <v>0</v>
      </c>
      <c r="EM19" s="319">
        <v>0</v>
      </c>
      <c r="EN19" s="320"/>
      <c r="EO19" s="319">
        <v>0</v>
      </c>
      <c r="EP19" s="320"/>
      <c r="EQ19" s="319">
        <v>0</v>
      </c>
      <c r="ER19" s="320">
        <v>0</v>
      </c>
      <c r="ES19" s="319">
        <v>0</v>
      </c>
      <c r="ET19" s="320"/>
      <c r="EU19" s="319">
        <v>0</v>
      </c>
      <c r="EV19" s="320"/>
      <c r="EW19" s="319">
        <v>0</v>
      </c>
      <c r="EX19" s="320">
        <v>0</v>
      </c>
      <c r="EY19" s="319">
        <v>0</v>
      </c>
      <c r="EZ19" s="320"/>
      <c r="FA19" s="319">
        <v>0</v>
      </c>
      <c r="FB19" s="320"/>
      <c r="FC19" s="319">
        <v>0</v>
      </c>
      <c r="FD19" s="320">
        <v>0</v>
      </c>
      <c r="FE19" s="319">
        <v>0</v>
      </c>
      <c r="FF19" s="320"/>
      <c r="FG19" s="319">
        <v>0</v>
      </c>
      <c r="FH19" s="320"/>
      <c r="FI19" s="319">
        <v>0</v>
      </c>
      <c r="FJ19" s="320">
        <v>0</v>
      </c>
      <c r="FK19" s="319">
        <v>0</v>
      </c>
      <c r="FL19" s="320"/>
      <c r="FM19" s="319">
        <v>0</v>
      </c>
      <c r="FN19" s="320"/>
      <c r="FO19" s="319">
        <v>0</v>
      </c>
      <c r="FP19" s="320">
        <v>0</v>
      </c>
      <c r="FQ19" s="319">
        <v>0</v>
      </c>
      <c r="FR19" s="320"/>
      <c r="FS19" s="319">
        <v>0</v>
      </c>
      <c r="FT19" s="320"/>
      <c r="FU19" s="319">
        <v>0</v>
      </c>
      <c r="FV19" s="320">
        <v>0</v>
      </c>
      <c r="FW19" s="319">
        <v>0</v>
      </c>
      <c r="FX19" s="320"/>
      <c r="FY19" s="319">
        <v>0</v>
      </c>
      <c r="FZ19" s="320"/>
      <c r="GA19" s="319">
        <v>0</v>
      </c>
      <c r="GB19" s="320">
        <v>0</v>
      </c>
      <c r="GC19" s="319">
        <v>0</v>
      </c>
      <c r="GD19" s="320"/>
      <c r="GE19" s="319">
        <v>0</v>
      </c>
      <c r="GF19" s="320"/>
      <c r="GG19" s="319">
        <v>0</v>
      </c>
      <c r="GH19" s="320">
        <v>0</v>
      </c>
      <c r="GI19" s="319">
        <v>0</v>
      </c>
      <c r="GJ19" s="320"/>
      <c r="GK19" s="319">
        <v>0</v>
      </c>
      <c r="GL19" s="320"/>
      <c r="GM19" s="319">
        <v>0</v>
      </c>
      <c r="GN19" s="320">
        <v>0</v>
      </c>
      <c r="GO19" s="319">
        <v>0</v>
      </c>
      <c r="GP19" s="320"/>
      <c r="GQ19" s="319">
        <v>0</v>
      </c>
      <c r="GR19" s="320"/>
      <c r="GS19" s="319">
        <v>0</v>
      </c>
      <c r="GT19" s="320">
        <v>0</v>
      </c>
      <c r="GU19" s="319">
        <v>0</v>
      </c>
      <c r="GV19" s="320"/>
      <c r="GW19" s="319">
        <v>0</v>
      </c>
      <c r="GX19" s="320"/>
      <c r="GY19" s="319">
        <v>0</v>
      </c>
      <c r="GZ19" s="320">
        <v>0</v>
      </c>
    </row>
    <row r="20" spans="1:208" s="89" customFormat="1" ht="22.5" customHeight="1" thickBot="1" x14ac:dyDescent="0.25">
      <c r="A20" s="296" t="s">
        <v>3185</v>
      </c>
      <c r="B20" s="297" t="s">
        <v>3186</v>
      </c>
      <c r="C20" s="298" t="s">
        <v>3170</v>
      </c>
      <c r="D20" s="299" t="s">
        <v>3187</v>
      </c>
      <c r="E20" s="299" t="s">
        <v>3188</v>
      </c>
      <c r="F20" s="300" t="s">
        <v>3166</v>
      </c>
      <c r="G20" s="300" t="s">
        <v>3167</v>
      </c>
      <c r="H20" s="301" t="s">
        <v>1470</v>
      </c>
      <c r="I20" s="302" t="s">
        <v>1470</v>
      </c>
      <c r="J20" s="340" t="s">
        <v>3168</v>
      </c>
      <c r="K20" s="343" t="s">
        <v>53</v>
      </c>
      <c r="L20" s="256">
        <f>CONTINUA!BV20</f>
        <v>0</v>
      </c>
      <c r="M20" s="256">
        <f>CONTINUA!BW20</f>
        <v>0</v>
      </c>
      <c r="N20" s="564"/>
      <c r="O20" s="565" t="s">
        <v>3334</v>
      </c>
      <c r="P20" s="566">
        <v>0</v>
      </c>
      <c r="Q20" s="319">
        <v>0</v>
      </c>
      <c r="R20" s="320"/>
      <c r="S20" s="319">
        <v>0</v>
      </c>
      <c r="T20" s="320"/>
      <c r="U20" s="321">
        <v>0</v>
      </c>
      <c r="V20" s="322">
        <v>0</v>
      </c>
      <c r="W20" s="319">
        <v>0</v>
      </c>
      <c r="X20" s="320"/>
      <c r="Y20" s="319">
        <v>0</v>
      </c>
      <c r="Z20" s="320"/>
      <c r="AA20" s="321">
        <v>0</v>
      </c>
      <c r="AB20" s="322">
        <v>0</v>
      </c>
      <c r="AC20" s="319">
        <v>0</v>
      </c>
      <c r="AD20" s="320"/>
      <c r="AE20" s="319">
        <v>0</v>
      </c>
      <c r="AF20" s="320"/>
      <c r="AG20" s="321">
        <v>0</v>
      </c>
      <c r="AH20" s="322">
        <v>0</v>
      </c>
      <c r="AI20" s="319">
        <v>0</v>
      </c>
      <c r="AJ20" s="320"/>
      <c r="AK20" s="319">
        <v>0</v>
      </c>
      <c r="AL20" s="320"/>
      <c r="AM20" s="321">
        <v>0</v>
      </c>
      <c r="AN20" s="322">
        <v>0</v>
      </c>
      <c r="AO20" s="319">
        <v>0</v>
      </c>
      <c r="AP20" s="320"/>
      <c r="AQ20" s="319">
        <v>0</v>
      </c>
      <c r="AR20" s="320"/>
      <c r="AS20" s="321">
        <v>0</v>
      </c>
      <c r="AT20" s="322">
        <v>0</v>
      </c>
      <c r="AU20" s="319">
        <v>0</v>
      </c>
      <c r="AV20" s="320"/>
      <c r="AW20" s="319">
        <v>0</v>
      </c>
      <c r="AX20" s="320"/>
      <c r="AY20" s="321">
        <v>0</v>
      </c>
      <c r="AZ20" s="322">
        <v>0</v>
      </c>
      <c r="BA20" s="319">
        <v>0</v>
      </c>
      <c r="BB20" s="320"/>
      <c r="BC20" s="319">
        <v>0</v>
      </c>
      <c r="BD20" s="320"/>
      <c r="BE20" s="321">
        <v>0</v>
      </c>
      <c r="BF20" s="322">
        <v>0</v>
      </c>
      <c r="BG20" s="319">
        <v>0</v>
      </c>
      <c r="BH20" s="320"/>
      <c r="BI20" s="319">
        <v>0</v>
      </c>
      <c r="BJ20" s="320"/>
      <c r="BK20" s="321">
        <v>0</v>
      </c>
      <c r="BL20" s="322">
        <v>0</v>
      </c>
      <c r="BM20" s="319">
        <v>0</v>
      </c>
      <c r="BN20" s="320"/>
      <c r="BO20" s="319">
        <v>0</v>
      </c>
      <c r="BP20" s="320"/>
      <c r="BQ20" s="321">
        <v>0</v>
      </c>
      <c r="BR20" s="322">
        <v>0</v>
      </c>
      <c r="BS20" s="319">
        <v>0</v>
      </c>
      <c r="BT20" s="320"/>
      <c r="BU20" s="319">
        <v>0</v>
      </c>
      <c r="BV20" s="320"/>
      <c r="BW20" s="321">
        <v>0</v>
      </c>
      <c r="BX20" s="322">
        <v>0</v>
      </c>
      <c r="BY20" s="319">
        <v>0</v>
      </c>
      <c r="BZ20" s="320"/>
      <c r="CA20" s="319">
        <v>0</v>
      </c>
      <c r="CB20" s="320"/>
      <c r="CC20" s="321">
        <v>0</v>
      </c>
      <c r="CD20" s="322">
        <v>0</v>
      </c>
      <c r="CE20" s="319">
        <v>0</v>
      </c>
      <c r="CF20" s="320"/>
      <c r="CG20" s="319">
        <v>0</v>
      </c>
      <c r="CH20" s="320"/>
      <c r="CI20" s="321">
        <v>0</v>
      </c>
      <c r="CJ20" s="322">
        <v>0</v>
      </c>
      <c r="CK20" s="319">
        <v>0</v>
      </c>
      <c r="CL20" s="320"/>
      <c r="CM20" s="319">
        <v>0</v>
      </c>
      <c r="CN20" s="320"/>
      <c r="CO20" s="321">
        <v>0</v>
      </c>
      <c r="CP20" s="322">
        <v>0</v>
      </c>
      <c r="CQ20" s="319">
        <v>0</v>
      </c>
      <c r="CR20" s="320"/>
      <c r="CS20" s="319">
        <v>0</v>
      </c>
      <c r="CT20" s="320"/>
      <c r="CU20" s="321">
        <v>0</v>
      </c>
      <c r="CV20" s="322">
        <v>0</v>
      </c>
      <c r="CW20" s="319">
        <v>0</v>
      </c>
      <c r="CX20" s="320"/>
      <c r="CY20" s="319">
        <v>0</v>
      </c>
      <c r="CZ20" s="320"/>
      <c r="DA20" s="321">
        <v>0</v>
      </c>
      <c r="DB20" s="322">
        <v>0</v>
      </c>
      <c r="DC20" s="319">
        <v>0</v>
      </c>
      <c r="DD20" s="320"/>
      <c r="DE20" s="319">
        <v>0</v>
      </c>
      <c r="DF20" s="320"/>
      <c r="DG20" s="321">
        <v>0</v>
      </c>
      <c r="DH20" s="322">
        <v>0</v>
      </c>
      <c r="DI20" s="319">
        <v>0</v>
      </c>
      <c r="DJ20" s="320"/>
      <c r="DK20" s="319">
        <v>0</v>
      </c>
      <c r="DL20" s="320"/>
      <c r="DM20" s="321">
        <v>0</v>
      </c>
      <c r="DN20" s="322">
        <v>0</v>
      </c>
      <c r="DO20" s="319">
        <v>0</v>
      </c>
      <c r="DP20" s="320"/>
      <c r="DQ20" s="319">
        <v>0</v>
      </c>
      <c r="DR20" s="320"/>
      <c r="DS20" s="321">
        <v>0</v>
      </c>
      <c r="DT20" s="322">
        <v>0</v>
      </c>
      <c r="DU20" s="319">
        <v>0</v>
      </c>
      <c r="DV20" s="320"/>
      <c r="DW20" s="319">
        <v>0</v>
      </c>
      <c r="DX20" s="320"/>
      <c r="DY20" s="321">
        <v>0</v>
      </c>
      <c r="DZ20" s="322">
        <v>0</v>
      </c>
      <c r="EA20" s="319">
        <v>0</v>
      </c>
      <c r="EB20" s="320"/>
      <c r="EC20" s="319">
        <v>0</v>
      </c>
      <c r="ED20" s="320"/>
      <c r="EE20" s="321">
        <v>0</v>
      </c>
      <c r="EF20" s="322">
        <v>0</v>
      </c>
      <c r="EG20" s="319">
        <v>0</v>
      </c>
      <c r="EH20" s="320"/>
      <c r="EI20" s="319">
        <v>0</v>
      </c>
      <c r="EJ20" s="320"/>
      <c r="EK20" s="321">
        <v>0</v>
      </c>
      <c r="EL20" s="322">
        <v>0</v>
      </c>
      <c r="EM20" s="319">
        <v>0</v>
      </c>
      <c r="EN20" s="320"/>
      <c r="EO20" s="319">
        <v>0</v>
      </c>
      <c r="EP20" s="320"/>
      <c r="EQ20" s="321">
        <v>0</v>
      </c>
      <c r="ER20" s="322">
        <v>0</v>
      </c>
      <c r="ES20" s="319">
        <v>0</v>
      </c>
      <c r="ET20" s="320"/>
      <c r="EU20" s="319">
        <v>0</v>
      </c>
      <c r="EV20" s="320"/>
      <c r="EW20" s="321">
        <v>0</v>
      </c>
      <c r="EX20" s="322">
        <v>0</v>
      </c>
      <c r="EY20" s="319">
        <v>0</v>
      </c>
      <c r="EZ20" s="320"/>
      <c r="FA20" s="319">
        <v>0</v>
      </c>
      <c r="FB20" s="320"/>
      <c r="FC20" s="321">
        <v>0</v>
      </c>
      <c r="FD20" s="322">
        <v>0</v>
      </c>
      <c r="FE20" s="319">
        <v>0</v>
      </c>
      <c r="FF20" s="320"/>
      <c r="FG20" s="319">
        <v>0</v>
      </c>
      <c r="FH20" s="320"/>
      <c r="FI20" s="321">
        <v>0</v>
      </c>
      <c r="FJ20" s="322">
        <v>0</v>
      </c>
      <c r="FK20" s="319">
        <v>0</v>
      </c>
      <c r="FL20" s="320"/>
      <c r="FM20" s="319">
        <v>0</v>
      </c>
      <c r="FN20" s="320"/>
      <c r="FO20" s="321">
        <v>0</v>
      </c>
      <c r="FP20" s="322">
        <v>0</v>
      </c>
      <c r="FQ20" s="319">
        <v>0</v>
      </c>
      <c r="FR20" s="320"/>
      <c r="FS20" s="319">
        <v>0</v>
      </c>
      <c r="FT20" s="320"/>
      <c r="FU20" s="321">
        <v>0</v>
      </c>
      <c r="FV20" s="322">
        <v>0</v>
      </c>
      <c r="FW20" s="319">
        <v>0</v>
      </c>
      <c r="FX20" s="320"/>
      <c r="FY20" s="319">
        <v>0</v>
      </c>
      <c r="FZ20" s="320"/>
      <c r="GA20" s="321">
        <v>0</v>
      </c>
      <c r="GB20" s="322">
        <v>0</v>
      </c>
      <c r="GC20" s="319">
        <v>0</v>
      </c>
      <c r="GD20" s="320"/>
      <c r="GE20" s="319">
        <v>0</v>
      </c>
      <c r="GF20" s="320"/>
      <c r="GG20" s="321">
        <v>0</v>
      </c>
      <c r="GH20" s="322">
        <v>0</v>
      </c>
      <c r="GI20" s="319">
        <v>0</v>
      </c>
      <c r="GJ20" s="320"/>
      <c r="GK20" s="319">
        <v>0</v>
      </c>
      <c r="GL20" s="320"/>
      <c r="GM20" s="321">
        <v>0</v>
      </c>
      <c r="GN20" s="322">
        <v>0</v>
      </c>
      <c r="GO20" s="319">
        <v>0</v>
      </c>
      <c r="GP20" s="320"/>
      <c r="GQ20" s="319">
        <v>0</v>
      </c>
      <c r="GR20" s="320"/>
      <c r="GS20" s="321">
        <v>0</v>
      </c>
      <c r="GT20" s="322">
        <v>0</v>
      </c>
      <c r="GU20" s="319">
        <v>0</v>
      </c>
      <c r="GV20" s="320"/>
      <c r="GW20" s="319">
        <v>0</v>
      </c>
      <c r="GX20" s="320"/>
      <c r="GY20" s="321">
        <v>0</v>
      </c>
      <c r="GZ20" s="322">
        <v>0</v>
      </c>
    </row>
    <row r="21" spans="1:208" s="89" customFormat="1" ht="22.5" customHeight="1" x14ac:dyDescent="0.2">
      <c r="A21" t="s">
        <v>3189</v>
      </c>
      <c r="B21" s="429" t="s">
        <v>3190</v>
      </c>
      <c r="C21" s="430">
        <v>1</v>
      </c>
      <c r="D21" s="431" t="s">
        <v>3191</v>
      </c>
      <c r="E21" s="431" t="s">
        <v>3192</v>
      </c>
      <c r="F21" s="432" t="s">
        <v>3166</v>
      </c>
      <c r="G21" s="432" t="s">
        <v>3167</v>
      </c>
      <c r="H21" s="270" t="s">
        <v>1471</v>
      </c>
      <c r="I21" s="271" t="s">
        <v>1471</v>
      </c>
      <c r="J21" s="328" t="s">
        <v>3168</v>
      </c>
      <c r="K21" s="329" t="s">
        <v>3169</v>
      </c>
      <c r="L21" s="256">
        <f>CONTINUA!BV21</f>
        <v>0</v>
      </c>
      <c r="M21" s="256">
        <f>CONTINUA!BW21</f>
        <v>0</v>
      </c>
      <c r="N21" s="564"/>
      <c r="O21" s="565" t="s">
        <v>3335</v>
      </c>
      <c r="P21" s="566">
        <v>0</v>
      </c>
      <c r="Q21" s="319">
        <v>0</v>
      </c>
      <c r="R21" s="320"/>
      <c r="S21" s="319">
        <v>0</v>
      </c>
      <c r="T21" s="320"/>
      <c r="U21" s="321">
        <v>0</v>
      </c>
      <c r="V21" s="322">
        <v>0</v>
      </c>
      <c r="W21" s="319">
        <v>0</v>
      </c>
      <c r="X21" s="320"/>
      <c r="Y21" s="319">
        <v>0</v>
      </c>
      <c r="Z21" s="320"/>
      <c r="AA21" s="321">
        <v>0</v>
      </c>
      <c r="AB21" s="322">
        <v>0</v>
      </c>
      <c r="AC21" s="319">
        <v>0</v>
      </c>
      <c r="AD21" s="320"/>
      <c r="AE21" s="319">
        <v>0</v>
      </c>
      <c r="AF21" s="320"/>
      <c r="AG21" s="321">
        <v>0</v>
      </c>
      <c r="AH21" s="322">
        <v>0</v>
      </c>
      <c r="AI21" s="319">
        <v>0</v>
      </c>
      <c r="AJ21" s="320"/>
      <c r="AK21" s="319">
        <v>0</v>
      </c>
      <c r="AL21" s="320"/>
      <c r="AM21" s="321">
        <v>0</v>
      </c>
      <c r="AN21" s="322">
        <v>0</v>
      </c>
      <c r="AO21" s="319">
        <v>0</v>
      </c>
      <c r="AP21" s="320"/>
      <c r="AQ21" s="319">
        <v>0</v>
      </c>
      <c r="AR21" s="320"/>
      <c r="AS21" s="321">
        <v>0</v>
      </c>
      <c r="AT21" s="322">
        <v>0</v>
      </c>
      <c r="AU21" s="319">
        <v>0</v>
      </c>
      <c r="AV21" s="320"/>
      <c r="AW21" s="319">
        <v>0</v>
      </c>
      <c r="AX21" s="320"/>
      <c r="AY21" s="321">
        <v>0</v>
      </c>
      <c r="AZ21" s="322">
        <v>0</v>
      </c>
      <c r="BA21" s="319">
        <v>0</v>
      </c>
      <c r="BB21" s="320"/>
      <c r="BC21" s="319">
        <v>0</v>
      </c>
      <c r="BD21" s="320"/>
      <c r="BE21" s="321">
        <v>0</v>
      </c>
      <c r="BF21" s="322">
        <v>0</v>
      </c>
      <c r="BG21" s="319">
        <v>0</v>
      </c>
      <c r="BH21" s="320"/>
      <c r="BI21" s="319">
        <v>0</v>
      </c>
      <c r="BJ21" s="320"/>
      <c r="BK21" s="321">
        <v>0</v>
      </c>
      <c r="BL21" s="322">
        <v>0</v>
      </c>
      <c r="BM21" s="319">
        <v>0</v>
      </c>
      <c r="BN21" s="320"/>
      <c r="BO21" s="319">
        <v>0</v>
      </c>
      <c r="BP21" s="320"/>
      <c r="BQ21" s="321">
        <v>0</v>
      </c>
      <c r="BR21" s="322">
        <v>0</v>
      </c>
      <c r="BS21" s="319">
        <v>0</v>
      </c>
      <c r="BT21" s="320"/>
      <c r="BU21" s="319">
        <v>0</v>
      </c>
      <c r="BV21" s="320"/>
      <c r="BW21" s="321">
        <v>0</v>
      </c>
      <c r="BX21" s="322">
        <v>0</v>
      </c>
      <c r="BY21" s="319">
        <v>0</v>
      </c>
      <c r="BZ21" s="320"/>
      <c r="CA21" s="319">
        <v>0</v>
      </c>
      <c r="CB21" s="320"/>
      <c r="CC21" s="321">
        <v>0</v>
      </c>
      <c r="CD21" s="322">
        <v>0</v>
      </c>
      <c r="CE21" s="319">
        <v>0</v>
      </c>
      <c r="CF21" s="320"/>
      <c r="CG21" s="319">
        <v>0</v>
      </c>
      <c r="CH21" s="320"/>
      <c r="CI21" s="321">
        <v>0</v>
      </c>
      <c r="CJ21" s="322">
        <v>0</v>
      </c>
      <c r="CK21" s="319">
        <v>0</v>
      </c>
      <c r="CL21" s="320"/>
      <c r="CM21" s="319">
        <v>0</v>
      </c>
      <c r="CN21" s="320"/>
      <c r="CO21" s="321">
        <v>0</v>
      </c>
      <c r="CP21" s="322">
        <v>0</v>
      </c>
      <c r="CQ21" s="319">
        <v>0</v>
      </c>
      <c r="CR21" s="320"/>
      <c r="CS21" s="319">
        <v>0</v>
      </c>
      <c r="CT21" s="320"/>
      <c r="CU21" s="321">
        <v>0</v>
      </c>
      <c r="CV21" s="322">
        <v>0</v>
      </c>
      <c r="CW21" s="319">
        <v>0</v>
      </c>
      <c r="CX21" s="320"/>
      <c r="CY21" s="319">
        <v>0</v>
      </c>
      <c r="CZ21" s="320"/>
      <c r="DA21" s="321">
        <v>0</v>
      </c>
      <c r="DB21" s="322">
        <v>0</v>
      </c>
      <c r="DC21" s="319">
        <v>0</v>
      </c>
      <c r="DD21" s="320"/>
      <c r="DE21" s="319">
        <v>0</v>
      </c>
      <c r="DF21" s="320"/>
      <c r="DG21" s="321">
        <v>0</v>
      </c>
      <c r="DH21" s="322">
        <v>0</v>
      </c>
      <c r="DI21" s="319">
        <v>0</v>
      </c>
      <c r="DJ21" s="320"/>
      <c r="DK21" s="319">
        <v>0</v>
      </c>
      <c r="DL21" s="320"/>
      <c r="DM21" s="321">
        <v>0</v>
      </c>
      <c r="DN21" s="322">
        <v>0</v>
      </c>
      <c r="DO21" s="319">
        <v>0</v>
      </c>
      <c r="DP21" s="320"/>
      <c r="DQ21" s="319">
        <v>0</v>
      </c>
      <c r="DR21" s="320"/>
      <c r="DS21" s="321">
        <v>0</v>
      </c>
      <c r="DT21" s="322">
        <v>0</v>
      </c>
      <c r="DU21" s="319">
        <v>0</v>
      </c>
      <c r="DV21" s="320"/>
      <c r="DW21" s="319">
        <v>0</v>
      </c>
      <c r="DX21" s="320"/>
      <c r="DY21" s="321">
        <v>0</v>
      </c>
      <c r="DZ21" s="322">
        <v>0</v>
      </c>
      <c r="EA21" s="319">
        <v>0</v>
      </c>
      <c r="EB21" s="320"/>
      <c r="EC21" s="319">
        <v>0</v>
      </c>
      <c r="ED21" s="320"/>
      <c r="EE21" s="321">
        <v>0</v>
      </c>
      <c r="EF21" s="322">
        <v>0</v>
      </c>
      <c r="EG21" s="319">
        <v>0</v>
      </c>
      <c r="EH21" s="320"/>
      <c r="EI21" s="319">
        <v>0</v>
      </c>
      <c r="EJ21" s="320"/>
      <c r="EK21" s="321">
        <v>0</v>
      </c>
      <c r="EL21" s="322">
        <v>0</v>
      </c>
      <c r="EM21" s="319">
        <v>0</v>
      </c>
      <c r="EN21" s="320"/>
      <c r="EO21" s="319">
        <v>0</v>
      </c>
      <c r="EP21" s="320"/>
      <c r="EQ21" s="321">
        <v>0</v>
      </c>
      <c r="ER21" s="322">
        <v>0</v>
      </c>
      <c r="ES21" s="319">
        <v>0</v>
      </c>
      <c r="ET21" s="320"/>
      <c r="EU21" s="319">
        <v>0</v>
      </c>
      <c r="EV21" s="320"/>
      <c r="EW21" s="321">
        <v>0</v>
      </c>
      <c r="EX21" s="322">
        <v>0</v>
      </c>
      <c r="EY21" s="319">
        <v>0</v>
      </c>
      <c r="EZ21" s="320"/>
      <c r="FA21" s="319">
        <v>0</v>
      </c>
      <c r="FB21" s="320"/>
      <c r="FC21" s="321">
        <v>0</v>
      </c>
      <c r="FD21" s="322">
        <v>0</v>
      </c>
      <c r="FE21" s="319">
        <v>0</v>
      </c>
      <c r="FF21" s="320"/>
      <c r="FG21" s="319">
        <v>0</v>
      </c>
      <c r="FH21" s="320"/>
      <c r="FI21" s="321">
        <v>0</v>
      </c>
      <c r="FJ21" s="322">
        <v>0</v>
      </c>
      <c r="FK21" s="319">
        <v>0</v>
      </c>
      <c r="FL21" s="320"/>
      <c r="FM21" s="319">
        <v>0</v>
      </c>
      <c r="FN21" s="320"/>
      <c r="FO21" s="321">
        <v>0</v>
      </c>
      <c r="FP21" s="322">
        <v>0</v>
      </c>
      <c r="FQ21" s="319">
        <v>0</v>
      </c>
      <c r="FR21" s="320"/>
      <c r="FS21" s="319">
        <v>0</v>
      </c>
      <c r="FT21" s="320"/>
      <c r="FU21" s="321">
        <v>0</v>
      </c>
      <c r="FV21" s="322">
        <v>0</v>
      </c>
      <c r="FW21" s="319">
        <v>0</v>
      </c>
      <c r="FX21" s="320"/>
      <c r="FY21" s="319">
        <v>0</v>
      </c>
      <c r="FZ21" s="320"/>
      <c r="GA21" s="321">
        <v>0</v>
      </c>
      <c r="GB21" s="322">
        <v>0</v>
      </c>
      <c r="GC21" s="319">
        <v>0</v>
      </c>
      <c r="GD21" s="320"/>
      <c r="GE21" s="319">
        <v>0</v>
      </c>
      <c r="GF21" s="320"/>
      <c r="GG21" s="321">
        <v>0</v>
      </c>
      <c r="GH21" s="322">
        <v>0</v>
      </c>
      <c r="GI21" s="319">
        <v>0</v>
      </c>
      <c r="GJ21" s="320"/>
      <c r="GK21" s="319">
        <v>0</v>
      </c>
      <c r="GL21" s="320"/>
      <c r="GM21" s="321">
        <v>0</v>
      </c>
      <c r="GN21" s="322">
        <v>0</v>
      </c>
      <c r="GO21" s="319">
        <v>0</v>
      </c>
      <c r="GP21" s="320"/>
      <c r="GQ21" s="319">
        <v>0</v>
      </c>
      <c r="GR21" s="320"/>
      <c r="GS21" s="321">
        <v>0</v>
      </c>
      <c r="GT21" s="322">
        <v>0</v>
      </c>
      <c r="GU21" s="319">
        <v>0</v>
      </c>
      <c r="GV21" s="320"/>
      <c r="GW21" s="319">
        <v>0</v>
      </c>
      <c r="GX21" s="320"/>
      <c r="GY21" s="321">
        <v>0</v>
      </c>
      <c r="GZ21" s="322">
        <v>0</v>
      </c>
    </row>
    <row r="22" spans="1:208" s="89" customFormat="1" ht="22.5" customHeight="1" x14ac:dyDescent="0.2">
      <c r="A22" s="287" t="s">
        <v>3189</v>
      </c>
      <c r="B22" s="288" t="s">
        <v>3190</v>
      </c>
      <c r="C22" s="289" t="s">
        <v>3170</v>
      </c>
      <c r="D22" s="290" t="s">
        <v>3191</v>
      </c>
      <c r="E22" s="290" t="s">
        <v>3192</v>
      </c>
      <c r="F22" s="291" t="s">
        <v>3166</v>
      </c>
      <c r="G22" s="291" t="s">
        <v>3167</v>
      </c>
      <c r="H22" s="292" t="s">
        <v>1471</v>
      </c>
      <c r="I22" s="293" t="s">
        <v>1471</v>
      </c>
      <c r="J22" s="340" t="s">
        <v>3168</v>
      </c>
      <c r="K22" s="340" t="s">
        <v>3171</v>
      </c>
      <c r="L22" s="256">
        <f>CONTINUA!BV22</f>
        <v>16</v>
      </c>
      <c r="M22" s="256">
        <f>CONTINUA!BW22</f>
        <v>0</v>
      </c>
      <c r="N22" s="564"/>
      <c r="O22" s="565" t="s">
        <v>3335</v>
      </c>
      <c r="P22" s="566">
        <v>0</v>
      </c>
      <c r="Q22" s="319">
        <v>45</v>
      </c>
      <c r="R22" s="320"/>
      <c r="S22" s="319">
        <v>0</v>
      </c>
      <c r="T22" s="320"/>
      <c r="U22" s="319">
        <v>0</v>
      </c>
      <c r="V22" s="320">
        <v>0</v>
      </c>
      <c r="W22" s="319">
        <v>45</v>
      </c>
      <c r="X22" s="320"/>
      <c r="Y22" s="319">
        <v>0</v>
      </c>
      <c r="Z22" s="320"/>
      <c r="AA22" s="319">
        <v>0</v>
      </c>
      <c r="AB22" s="320">
        <v>0</v>
      </c>
      <c r="AC22" s="319">
        <v>45</v>
      </c>
      <c r="AD22" s="320"/>
      <c r="AE22" s="319">
        <v>0</v>
      </c>
      <c r="AF22" s="320"/>
      <c r="AG22" s="319">
        <v>0</v>
      </c>
      <c r="AH22" s="320">
        <v>0</v>
      </c>
      <c r="AI22" s="319">
        <v>45</v>
      </c>
      <c r="AJ22" s="320"/>
      <c r="AK22" s="319">
        <v>0</v>
      </c>
      <c r="AL22" s="320"/>
      <c r="AM22" s="319">
        <v>0</v>
      </c>
      <c r="AN22" s="320">
        <v>0</v>
      </c>
      <c r="AO22" s="319">
        <v>45</v>
      </c>
      <c r="AP22" s="320"/>
      <c r="AQ22" s="319">
        <v>0</v>
      </c>
      <c r="AR22" s="320"/>
      <c r="AS22" s="319">
        <v>0</v>
      </c>
      <c r="AT22" s="320">
        <v>0</v>
      </c>
      <c r="AU22" s="319">
        <v>45</v>
      </c>
      <c r="AV22" s="320"/>
      <c r="AW22" s="319">
        <v>0</v>
      </c>
      <c r="AX22" s="320"/>
      <c r="AY22" s="319">
        <v>0</v>
      </c>
      <c r="AZ22" s="320">
        <v>0</v>
      </c>
      <c r="BA22" s="319">
        <v>45</v>
      </c>
      <c r="BB22" s="320"/>
      <c r="BC22" s="319">
        <v>0</v>
      </c>
      <c r="BD22" s="320"/>
      <c r="BE22" s="319">
        <v>0</v>
      </c>
      <c r="BF22" s="320">
        <v>0</v>
      </c>
      <c r="BG22" s="319">
        <v>45</v>
      </c>
      <c r="BH22" s="320"/>
      <c r="BI22" s="319">
        <v>0</v>
      </c>
      <c r="BJ22" s="320"/>
      <c r="BK22" s="319">
        <v>0</v>
      </c>
      <c r="BL22" s="320">
        <v>0</v>
      </c>
      <c r="BM22" s="319">
        <v>45</v>
      </c>
      <c r="BN22" s="320"/>
      <c r="BO22" s="319">
        <v>0</v>
      </c>
      <c r="BP22" s="320"/>
      <c r="BQ22" s="319">
        <v>0</v>
      </c>
      <c r="BR22" s="320">
        <v>0</v>
      </c>
      <c r="BS22" s="319">
        <v>45</v>
      </c>
      <c r="BT22" s="320"/>
      <c r="BU22" s="319">
        <v>0</v>
      </c>
      <c r="BV22" s="320"/>
      <c r="BW22" s="319">
        <v>0</v>
      </c>
      <c r="BX22" s="320">
        <v>0</v>
      </c>
      <c r="BY22" s="319">
        <v>45</v>
      </c>
      <c r="BZ22" s="320"/>
      <c r="CA22" s="319">
        <v>0</v>
      </c>
      <c r="CB22" s="320"/>
      <c r="CC22" s="319">
        <v>0</v>
      </c>
      <c r="CD22" s="320">
        <v>0</v>
      </c>
      <c r="CE22" s="319">
        <v>45</v>
      </c>
      <c r="CF22" s="320"/>
      <c r="CG22" s="319">
        <v>0</v>
      </c>
      <c r="CH22" s="320"/>
      <c r="CI22" s="319">
        <v>0</v>
      </c>
      <c r="CJ22" s="320">
        <v>0</v>
      </c>
      <c r="CK22" s="319">
        <v>45</v>
      </c>
      <c r="CL22" s="320"/>
      <c r="CM22" s="319">
        <v>0</v>
      </c>
      <c r="CN22" s="320"/>
      <c r="CO22" s="319">
        <v>0</v>
      </c>
      <c r="CP22" s="320">
        <v>0</v>
      </c>
      <c r="CQ22" s="319">
        <v>45</v>
      </c>
      <c r="CR22" s="320"/>
      <c r="CS22" s="319">
        <v>0</v>
      </c>
      <c r="CT22" s="320"/>
      <c r="CU22" s="319">
        <v>0</v>
      </c>
      <c r="CV22" s="320">
        <v>0</v>
      </c>
      <c r="CW22" s="319">
        <v>45</v>
      </c>
      <c r="CX22" s="320"/>
      <c r="CY22" s="319">
        <v>0</v>
      </c>
      <c r="CZ22" s="320"/>
      <c r="DA22" s="319">
        <v>0</v>
      </c>
      <c r="DB22" s="320">
        <v>0</v>
      </c>
      <c r="DC22" s="319">
        <v>45</v>
      </c>
      <c r="DD22" s="320"/>
      <c r="DE22" s="319">
        <v>0</v>
      </c>
      <c r="DF22" s="320"/>
      <c r="DG22" s="319">
        <v>0</v>
      </c>
      <c r="DH22" s="320">
        <v>0</v>
      </c>
      <c r="DI22" s="319">
        <v>45</v>
      </c>
      <c r="DJ22" s="320"/>
      <c r="DK22" s="319">
        <v>0</v>
      </c>
      <c r="DL22" s="320"/>
      <c r="DM22" s="319">
        <v>0</v>
      </c>
      <c r="DN22" s="320">
        <v>0</v>
      </c>
      <c r="DO22" s="319">
        <v>45</v>
      </c>
      <c r="DP22" s="320"/>
      <c r="DQ22" s="319">
        <v>0</v>
      </c>
      <c r="DR22" s="320"/>
      <c r="DS22" s="319">
        <v>0</v>
      </c>
      <c r="DT22" s="320">
        <v>0</v>
      </c>
      <c r="DU22" s="319">
        <v>45</v>
      </c>
      <c r="DV22" s="320"/>
      <c r="DW22" s="319">
        <v>0</v>
      </c>
      <c r="DX22" s="320"/>
      <c r="DY22" s="319">
        <v>0</v>
      </c>
      <c r="DZ22" s="320">
        <v>0</v>
      </c>
      <c r="EA22" s="319">
        <v>45</v>
      </c>
      <c r="EB22" s="320"/>
      <c r="EC22" s="319">
        <v>0</v>
      </c>
      <c r="ED22" s="320"/>
      <c r="EE22" s="319">
        <v>0</v>
      </c>
      <c r="EF22" s="320">
        <v>0</v>
      </c>
      <c r="EG22" s="319">
        <v>45</v>
      </c>
      <c r="EH22" s="320"/>
      <c r="EI22" s="319">
        <v>0</v>
      </c>
      <c r="EJ22" s="320"/>
      <c r="EK22" s="319">
        <v>0</v>
      </c>
      <c r="EL22" s="320">
        <v>0</v>
      </c>
      <c r="EM22" s="319">
        <v>45</v>
      </c>
      <c r="EN22" s="320"/>
      <c r="EO22" s="319">
        <v>0</v>
      </c>
      <c r="EP22" s="320"/>
      <c r="EQ22" s="319">
        <v>0</v>
      </c>
      <c r="ER22" s="320">
        <v>0</v>
      </c>
      <c r="ES22" s="319">
        <v>45</v>
      </c>
      <c r="ET22" s="320"/>
      <c r="EU22" s="319">
        <v>0</v>
      </c>
      <c r="EV22" s="320"/>
      <c r="EW22" s="319">
        <v>0</v>
      </c>
      <c r="EX22" s="320">
        <v>0</v>
      </c>
      <c r="EY22" s="319">
        <v>45</v>
      </c>
      <c r="EZ22" s="320"/>
      <c r="FA22" s="319">
        <v>0</v>
      </c>
      <c r="FB22" s="320"/>
      <c r="FC22" s="319">
        <v>0</v>
      </c>
      <c r="FD22" s="320">
        <v>0</v>
      </c>
      <c r="FE22" s="319">
        <v>45</v>
      </c>
      <c r="FF22" s="320"/>
      <c r="FG22" s="319">
        <v>0</v>
      </c>
      <c r="FH22" s="320"/>
      <c r="FI22" s="319">
        <v>0</v>
      </c>
      <c r="FJ22" s="320">
        <v>0</v>
      </c>
      <c r="FK22" s="319">
        <v>45</v>
      </c>
      <c r="FL22" s="320"/>
      <c r="FM22" s="319">
        <v>0</v>
      </c>
      <c r="FN22" s="320"/>
      <c r="FO22" s="319">
        <v>0</v>
      </c>
      <c r="FP22" s="320">
        <v>0</v>
      </c>
      <c r="FQ22" s="319">
        <v>45</v>
      </c>
      <c r="FR22" s="320"/>
      <c r="FS22" s="319">
        <v>0</v>
      </c>
      <c r="FT22" s="320"/>
      <c r="FU22" s="319">
        <v>0</v>
      </c>
      <c r="FV22" s="320">
        <v>0</v>
      </c>
      <c r="FW22" s="319">
        <v>45</v>
      </c>
      <c r="FX22" s="320"/>
      <c r="FY22" s="319">
        <v>0</v>
      </c>
      <c r="FZ22" s="320"/>
      <c r="GA22" s="319">
        <v>0</v>
      </c>
      <c r="GB22" s="320">
        <v>0</v>
      </c>
      <c r="GC22" s="319">
        <v>45</v>
      </c>
      <c r="GD22" s="320"/>
      <c r="GE22" s="319">
        <v>0</v>
      </c>
      <c r="GF22" s="320"/>
      <c r="GG22" s="319">
        <v>0</v>
      </c>
      <c r="GH22" s="320">
        <v>0</v>
      </c>
      <c r="GI22" s="319">
        <v>45</v>
      </c>
      <c r="GJ22" s="320"/>
      <c r="GK22" s="319">
        <v>0</v>
      </c>
      <c r="GL22" s="320"/>
      <c r="GM22" s="319">
        <v>0</v>
      </c>
      <c r="GN22" s="320">
        <v>0</v>
      </c>
      <c r="GO22" s="319">
        <v>45</v>
      </c>
      <c r="GP22" s="320"/>
      <c r="GQ22" s="319">
        <v>0</v>
      </c>
      <c r="GR22" s="320"/>
      <c r="GS22" s="319">
        <v>0</v>
      </c>
      <c r="GT22" s="320">
        <v>0</v>
      </c>
      <c r="GU22" s="319">
        <v>45</v>
      </c>
      <c r="GV22" s="320"/>
      <c r="GW22" s="319">
        <v>0</v>
      </c>
      <c r="GX22" s="320"/>
      <c r="GY22" s="319">
        <v>0</v>
      </c>
      <c r="GZ22" s="320">
        <v>0</v>
      </c>
    </row>
    <row r="23" spans="1:208" s="89" customFormat="1" ht="22.5" customHeight="1" x14ac:dyDescent="0.2">
      <c r="A23" s="287" t="s">
        <v>3189</v>
      </c>
      <c r="B23" s="288" t="s">
        <v>3190</v>
      </c>
      <c r="C23" s="294" t="s">
        <v>3170</v>
      </c>
      <c r="D23" s="290" t="s">
        <v>3191</v>
      </c>
      <c r="E23" s="290" t="s">
        <v>3192</v>
      </c>
      <c r="F23" s="295" t="s">
        <v>3166</v>
      </c>
      <c r="G23" s="295" t="s">
        <v>3167</v>
      </c>
      <c r="H23" s="292" t="s">
        <v>1471</v>
      </c>
      <c r="I23" s="293" t="s">
        <v>1471</v>
      </c>
      <c r="J23" s="340" t="s">
        <v>3168</v>
      </c>
      <c r="K23" s="341" t="s">
        <v>3172</v>
      </c>
      <c r="L23" s="256">
        <f>CONTINUA!BV23</f>
        <v>0</v>
      </c>
      <c r="M23" s="256">
        <f>CONTINUA!BW23</f>
        <v>0</v>
      </c>
      <c r="N23" s="564"/>
      <c r="O23" s="565" t="s">
        <v>3335</v>
      </c>
      <c r="P23" s="566">
        <v>0</v>
      </c>
      <c r="Q23" s="319">
        <v>0</v>
      </c>
      <c r="R23" s="320"/>
      <c r="S23" s="319">
        <v>0</v>
      </c>
      <c r="T23" s="320"/>
      <c r="U23" s="319">
        <v>0</v>
      </c>
      <c r="V23" s="320">
        <v>0</v>
      </c>
      <c r="W23" s="319">
        <v>0</v>
      </c>
      <c r="X23" s="320"/>
      <c r="Y23" s="319">
        <v>0</v>
      </c>
      <c r="Z23" s="320"/>
      <c r="AA23" s="319">
        <v>0</v>
      </c>
      <c r="AB23" s="320">
        <v>0</v>
      </c>
      <c r="AC23" s="319">
        <v>0</v>
      </c>
      <c r="AD23" s="320"/>
      <c r="AE23" s="319">
        <v>0</v>
      </c>
      <c r="AF23" s="320"/>
      <c r="AG23" s="319">
        <v>0</v>
      </c>
      <c r="AH23" s="320">
        <v>0</v>
      </c>
      <c r="AI23" s="319">
        <v>0</v>
      </c>
      <c r="AJ23" s="320"/>
      <c r="AK23" s="319">
        <v>0</v>
      </c>
      <c r="AL23" s="320"/>
      <c r="AM23" s="319">
        <v>0</v>
      </c>
      <c r="AN23" s="320">
        <v>0</v>
      </c>
      <c r="AO23" s="319">
        <v>0</v>
      </c>
      <c r="AP23" s="320"/>
      <c r="AQ23" s="319">
        <v>0</v>
      </c>
      <c r="AR23" s="320"/>
      <c r="AS23" s="319">
        <v>0</v>
      </c>
      <c r="AT23" s="320">
        <v>0</v>
      </c>
      <c r="AU23" s="319">
        <v>0</v>
      </c>
      <c r="AV23" s="320"/>
      <c r="AW23" s="319">
        <v>0</v>
      </c>
      <c r="AX23" s="320"/>
      <c r="AY23" s="319">
        <v>0</v>
      </c>
      <c r="AZ23" s="320">
        <v>0</v>
      </c>
      <c r="BA23" s="319">
        <v>0</v>
      </c>
      <c r="BB23" s="320"/>
      <c r="BC23" s="319">
        <v>0</v>
      </c>
      <c r="BD23" s="320"/>
      <c r="BE23" s="319">
        <v>0</v>
      </c>
      <c r="BF23" s="320">
        <v>0</v>
      </c>
      <c r="BG23" s="319">
        <v>0</v>
      </c>
      <c r="BH23" s="320"/>
      <c r="BI23" s="319">
        <v>0</v>
      </c>
      <c r="BJ23" s="320"/>
      <c r="BK23" s="319">
        <v>0</v>
      </c>
      <c r="BL23" s="320">
        <v>0</v>
      </c>
      <c r="BM23" s="319">
        <v>0</v>
      </c>
      <c r="BN23" s="320"/>
      <c r="BO23" s="319">
        <v>0</v>
      </c>
      <c r="BP23" s="320"/>
      <c r="BQ23" s="319">
        <v>0</v>
      </c>
      <c r="BR23" s="320">
        <v>0</v>
      </c>
      <c r="BS23" s="319">
        <v>0</v>
      </c>
      <c r="BT23" s="320"/>
      <c r="BU23" s="319">
        <v>0</v>
      </c>
      <c r="BV23" s="320"/>
      <c r="BW23" s="319">
        <v>0</v>
      </c>
      <c r="BX23" s="320">
        <v>0</v>
      </c>
      <c r="BY23" s="319">
        <v>0</v>
      </c>
      <c r="BZ23" s="320"/>
      <c r="CA23" s="319">
        <v>0</v>
      </c>
      <c r="CB23" s="320"/>
      <c r="CC23" s="319">
        <v>0</v>
      </c>
      <c r="CD23" s="320">
        <v>0</v>
      </c>
      <c r="CE23" s="319">
        <v>0</v>
      </c>
      <c r="CF23" s="320"/>
      <c r="CG23" s="319">
        <v>0</v>
      </c>
      <c r="CH23" s="320"/>
      <c r="CI23" s="319">
        <v>0</v>
      </c>
      <c r="CJ23" s="320">
        <v>0</v>
      </c>
      <c r="CK23" s="319">
        <v>0</v>
      </c>
      <c r="CL23" s="320"/>
      <c r="CM23" s="319">
        <v>0</v>
      </c>
      <c r="CN23" s="320"/>
      <c r="CO23" s="319">
        <v>0</v>
      </c>
      <c r="CP23" s="320">
        <v>0</v>
      </c>
      <c r="CQ23" s="319">
        <v>0</v>
      </c>
      <c r="CR23" s="320"/>
      <c r="CS23" s="319">
        <v>0</v>
      </c>
      <c r="CT23" s="320"/>
      <c r="CU23" s="319">
        <v>0</v>
      </c>
      <c r="CV23" s="320">
        <v>0</v>
      </c>
      <c r="CW23" s="319">
        <v>0</v>
      </c>
      <c r="CX23" s="320"/>
      <c r="CY23" s="319">
        <v>0</v>
      </c>
      <c r="CZ23" s="320"/>
      <c r="DA23" s="319">
        <v>0</v>
      </c>
      <c r="DB23" s="320">
        <v>0</v>
      </c>
      <c r="DC23" s="319">
        <v>0</v>
      </c>
      <c r="DD23" s="320"/>
      <c r="DE23" s="319">
        <v>0</v>
      </c>
      <c r="DF23" s="320"/>
      <c r="DG23" s="319">
        <v>0</v>
      </c>
      <c r="DH23" s="320">
        <v>0</v>
      </c>
      <c r="DI23" s="319">
        <v>0</v>
      </c>
      <c r="DJ23" s="320"/>
      <c r="DK23" s="319">
        <v>0</v>
      </c>
      <c r="DL23" s="320"/>
      <c r="DM23" s="319">
        <v>0</v>
      </c>
      <c r="DN23" s="320">
        <v>0</v>
      </c>
      <c r="DO23" s="319">
        <v>0</v>
      </c>
      <c r="DP23" s="320"/>
      <c r="DQ23" s="319">
        <v>0</v>
      </c>
      <c r="DR23" s="320"/>
      <c r="DS23" s="319">
        <v>0</v>
      </c>
      <c r="DT23" s="320">
        <v>0</v>
      </c>
      <c r="DU23" s="319">
        <v>0</v>
      </c>
      <c r="DV23" s="320"/>
      <c r="DW23" s="319">
        <v>0</v>
      </c>
      <c r="DX23" s="320"/>
      <c r="DY23" s="319">
        <v>0</v>
      </c>
      <c r="DZ23" s="320">
        <v>0</v>
      </c>
      <c r="EA23" s="319">
        <v>0</v>
      </c>
      <c r="EB23" s="320"/>
      <c r="EC23" s="319">
        <v>0</v>
      </c>
      <c r="ED23" s="320"/>
      <c r="EE23" s="319">
        <v>0</v>
      </c>
      <c r="EF23" s="320">
        <v>0</v>
      </c>
      <c r="EG23" s="319">
        <v>0</v>
      </c>
      <c r="EH23" s="320"/>
      <c r="EI23" s="319">
        <v>0</v>
      </c>
      <c r="EJ23" s="320"/>
      <c r="EK23" s="319">
        <v>0</v>
      </c>
      <c r="EL23" s="320">
        <v>0</v>
      </c>
      <c r="EM23" s="319">
        <v>0</v>
      </c>
      <c r="EN23" s="320"/>
      <c r="EO23" s="319">
        <v>0</v>
      </c>
      <c r="EP23" s="320"/>
      <c r="EQ23" s="319">
        <v>0</v>
      </c>
      <c r="ER23" s="320">
        <v>0</v>
      </c>
      <c r="ES23" s="319">
        <v>0</v>
      </c>
      <c r="ET23" s="320"/>
      <c r="EU23" s="319">
        <v>0</v>
      </c>
      <c r="EV23" s="320"/>
      <c r="EW23" s="319">
        <v>0</v>
      </c>
      <c r="EX23" s="320">
        <v>0</v>
      </c>
      <c r="EY23" s="319">
        <v>0</v>
      </c>
      <c r="EZ23" s="320"/>
      <c r="FA23" s="319">
        <v>0</v>
      </c>
      <c r="FB23" s="320"/>
      <c r="FC23" s="319">
        <v>0</v>
      </c>
      <c r="FD23" s="320">
        <v>0</v>
      </c>
      <c r="FE23" s="319">
        <v>0</v>
      </c>
      <c r="FF23" s="320"/>
      <c r="FG23" s="319">
        <v>0</v>
      </c>
      <c r="FH23" s="320"/>
      <c r="FI23" s="319">
        <v>0</v>
      </c>
      <c r="FJ23" s="320">
        <v>0</v>
      </c>
      <c r="FK23" s="319">
        <v>0</v>
      </c>
      <c r="FL23" s="320"/>
      <c r="FM23" s="319">
        <v>0</v>
      </c>
      <c r="FN23" s="320"/>
      <c r="FO23" s="319">
        <v>0</v>
      </c>
      <c r="FP23" s="320">
        <v>0</v>
      </c>
      <c r="FQ23" s="319">
        <v>0</v>
      </c>
      <c r="FR23" s="320"/>
      <c r="FS23" s="319">
        <v>0</v>
      </c>
      <c r="FT23" s="320"/>
      <c r="FU23" s="319">
        <v>0</v>
      </c>
      <c r="FV23" s="320">
        <v>0</v>
      </c>
      <c r="FW23" s="319">
        <v>0</v>
      </c>
      <c r="FX23" s="320"/>
      <c r="FY23" s="319">
        <v>0</v>
      </c>
      <c r="FZ23" s="320"/>
      <c r="GA23" s="319">
        <v>0</v>
      </c>
      <c r="GB23" s="320">
        <v>0</v>
      </c>
      <c r="GC23" s="319">
        <v>0</v>
      </c>
      <c r="GD23" s="320"/>
      <c r="GE23" s="319">
        <v>0</v>
      </c>
      <c r="GF23" s="320"/>
      <c r="GG23" s="319">
        <v>0</v>
      </c>
      <c r="GH23" s="320">
        <v>0</v>
      </c>
      <c r="GI23" s="319">
        <v>0</v>
      </c>
      <c r="GJ23" s="320"/>
      <c r="GK23" s="319">
        <v>0</v>
      </c>
      <c r="GL23" s="320"/>
      <c r="GM23" s="319">
        <v>0</v>
      </c>
      <c r="GN23" s="320">
        <v>0</v>
      </c>
      <c r="GO23" s="319">
        <v>0</v>
      </c>
      <c r="GP23" s="320"/>
      <c r="GQ23" s="319">
        <v>0</v>
      </c>
      <c r="GR23" s="320"/>
      <c r="GS23" s="319">
        <v>0</v>
      </c>
      <c r="GT23" s="320">
        <v>0</v>
      </c>
      <c r="GU23" s="319">
        <v>0</v>
      </c>
      <c r="GV23" s="320"/>
      <c r="GW23" s="319">
        <v>0</v>
      </c>
      <c r="GX23" s="320"/>
      <c r="GY23" s="319">
        <v>0</v>
      </c>
      <c r="GZ23" s="320">
        <v>0</v>
      </c>
    </row>
    <row r="24" spans="1:208" s="89" customFormat="1" ht="22.5" customHeight="1" x14ac:dyDescent="0.2">
      <c r="A24" s="287" t="s">
        <v>3189</v>
      </c>
      <c r="B24" s="288" t="s">
        <v>3190</v>
      </c>
      <c r="C24" s="294" t="s">
        <v>3170</v>
      </c>
      <c r="D24" s="290" t="s">
        <v>3191</v>
      </c>
      <c r="E24" s="290" t="s">
        <v>3192</v>
      </c>
      <c r="F24" s="295" t="s">
        <v>3166</v>
      </c>
      <c r="G24" s="295" t="s">
        <v>3167</v>
      </c>
      <c r="H24" s="292" t="s">
        <v>1471</v>
      </c>
      <c r="I24" s="293" t="s">
        <v>1471</v>
      </c>
      <c r="J24" s="340" t="s">
        <v>3168</v>
      </c>
      <c r="K24" s="342" t="s">
        <v>3173</v>
      </c>
      <c r="L24" s="256">
        <f>CONTINUA!BV24</f>
        <v>0</v>
      </c>
      <c r="M24" s="256">
        <f>CONTINUA!BW24</f>
        <v>0</v>
      </c>
      <c r="N24" s="564"/>
      <c r="O24" s="565" t="s">
        <v>3335</v>
      </c>
      <c r="P24" s="566">
        <v>0</v>
      </c>
      <c r="Q24" s="319">
        <v>0</v>
      </c>
      <c r="R24" s="320"/>
      <c r="S24" s="319">
        <v>0</v>
      </c>
      <c r="T24" s="320"/>
      <c r="U24" s="319">
        <v>0</v>
      </c>
      <c r="V24" s="320">
        <v>0</v>
      </c>
      <c r="W24" s="319">
        <v>0</v>
      </c>
      <c r="X24" s="320"/>
      <c r="Y24" s="319">
        <v>0</v>
      </c>
      <c r="Z24" s="320"/>
      <c r="AA24" s="319">
        <v>0</v>
      </c>
      <c r="AB24" s="320">
        <v>0</v>
      </c>
      <c r="AC24" s="319">
        <v>0</v>
      </c>
      <c r="AD24" s="320"/>
      <c r="AE24" s="319">
        <v>0</v>
      </c>
      <c r="AF24" s="320"/>
      <c r="AG24" s="319">
        <v>0</v>
      </c>
      <c r="AH24" s="320">
        <v>0</v>
      </c>
      <c r="AI24" s="319">
        <v>0</v>
      </c>
      <c r="AJ24" s="320"/>
      <c r="AK24" s="319">
        <v>0</v>
      </c>
      <c r="AL24" s="320"/>
      <c r="AM24" s="319">
        <v>0</v>
      </c>
      <c r="AN24" s="320">
        <v>0</v>
      </c>
      <c r="AO24" s="319">
        <v>0</v>
      </c>
      <c r="AP24" s="320"/>
      <c r="AQ24" s="319">
        <v>0</v>
      </c>
      <c r="AR24" s="320"/>
      <c r="AS24" s="319">
        <v>0</v>
      </c>
      <c r="AT24" s="320">
        <v>0</v>
      </c>
      <c r="AU24" s="319">
        <v>0</v>
      </c>
      <c r="AV24" s="320"/>
      <c r="AW24" s="319">
        <v>0</v>
      </c>
      <c r="AX24" s="320"/>
      <c r="AY24" s="319">
        <v>0</v>
      </c>
      <c r="AZ24" s="320">
        <v>0</v>
      </c>
      <c r="BA24" s="319">
        <v>0</v>
      </c>
      <c r="BB24" s="320"/>
      <c r="BC24" s="319">
        <v>0</v>
      </c>
      <c r="BD24" s="320"/>
      <c r="BE24" s="319">
        <v>0</v>
      </c>
      <c r="BF24" s="320">
        <v>0</v>
      </c>
      <c r="BG24" s="319">
        <v>0</v>
      </c>
      <c r="BH24" s="320"/>
      <c r="BI24" s="319">
        <v>0</v>
      </c>
      <c r="BJ24" s="320"/>
      <c r="BK24" s="319">
        <v>0</v>
      </c>
      <c r="BL24" s="320">
        <v>0</v>
      </c>
      <c r="BM24" s="319">
        <v>0</v>
      </c>
      <c r="BN24" s="320"/>
      <c r="BO24" s="319">
        <v>0</v>
      </c>
      <c r="BP24" s="320"/>
      <c r="BQ24" s="319">
        <v>0</v>
      </c>
      <c r="BR24" s="320">
        <v>0</v>
      </c>
      <c r="BS24" s="319">
        <v>0</v>
      </c>
      <c r="BT24" s="320"/>
      <c r="BU24" s="319">
        <v>0</v>
      </c>
      <c r="BV24" s="320"/>
      <c r="BW24" s="319">
        <v>0</v>
      </c>
      <c r="BX24" s="320">
        <v>0</v>
      </c>
      <c r="BY24" s="319">
        <v>0</v>
      </c>
      <c r="BZ24" s="320"/>
      <c r="CA24" s="319">
        <v>0</v>
      </c>
      <c r="CB24" s="320"/>
      <c r="CC24" s="319">
        <v>0</v>
      </c>
      <c r="CD24" s="320">
        <v>0</v>
      </c>
      <c r="CE24" s="319">
        <v>0</v>
      </c>
      <c r="CF24" s="320"/>
      <c r="CG24" s="319">
        <v>0</v>
      </c>
      <c r="CH24" s="320"/>
      <c r="CI24" s="319">
        <v>0</v>
      </c>
      <c r="CJ24" s="320">
        <v>0</v>
      </c>
      <c r="CK24" s="319">
        <v>0</v>
      </c>
      <c r="CL24" s="320"/>
      <c r="CM24" s="319">
        <v>0</v>
      </c>
      <c r="CN24" s="320"/>
      <c r="CO24" s="319">
        <v>0</v>
      </c>
      <c r="CP24" s="320">
        <v>0</v>
      </c>
      <c r="CQ24" s="319">
        <v>0</v>
      </c>
      <c r="CR24" s="320"/>
      <c r="CS24" s="319">
        <v>0</v>
      </c>
      <c r="CT24" s="320"/>
      <c r="CU24" s="319">
        <v>0</v>
      </c>
      <c r="CV24" s="320">
        <v>0</v>
      </c>
      <c r="CW24" s="319">
        <v>0</v>
      </c>
      <c r="CX24" s="320"/>
      <c r="CY24" s="319">
        <v>0</v>
      </c>
      <c r="CZ24" s="320"/>
      <c r="DA24" s="319">
        <v>0</v>
      </c>
      <c r="DB24" s="320">
        <v>0</v>
      </c>
      <c r="DC24" s="319">
        <v>0</v>
      </c>
      <c r="DD24" s="320"/>
      <c r="DE24" s="319">
        <v>0</v>
      </c>
      <c r="DF24" s="320"/>
      <c r="DG24" s="319">
        <v>0</v>
      </c>
      <c r="DH24" s="320">
        <v>0</v>
      </c>
      <c r="DI24" s="319">
        <v>0</v>
      </c>
      <c r="DJ24" s="320"/>
      <c r="DK24" s="319">
        <v>0</v>
      </c>
      <c r="DL24" s="320"/>
      <c r="DM24" s="319">
        <v>0</v>
      </c>
      <c r="DN24" s="320">
        <v>0</v>
      </c>
      <c r="DO24" s="319">
        <v>0</v>
      </c>
      <c r="DP24" s="320"/>
      <c r="DQ24" s="319">
        <v>0</v>
      </c>
      <c r="DR24" s="320"/>
      <c r="DS24" s="319">
        <v>0</v>
      </c>
      <c r="DT24" s="320">
        <v>0</v>
      </c>
      <c r="DU24" s="319">
        <v>0</v>
      </c>
      <c r="DV24" s="320"/>
      <c r="DW24" s="319">
        <v>0</v>
      </c>
      <c r="DX24" s="320"/>
      <c r="DY24" s="319">
        <v>0</v>
      </c>
      <c r="DZ24" s="320">
        <v>0</v>
      </c>
      <c r="EA24" s="319">
        <v>0</v>
      </c>
      <c r="EB24" s="320"/>
      <c r="EC24" s="319">
        <v>0</v>
      </c>
      <c r="ED24" s="320"/>
      <c r="EE24" s="319">
        <v>0</v>
      </c>
      <c r="EF24" s="320">
        <v>0</v>
      </c>
      <c r="EG24" s="319">
        <v>0</v>
      </c>
      <c r="EH24" s="320"/>
      <c r="EI24" s="319">
        <v>0</v>
      </c>
      <c r="EJ24" s="320"/>
      <c r="EK24" s="319">
        <v>0</v>
      </c>
      <c r="EL24" s="320">
        <v>0</v>
      </c>
      <c r="EM24" s="319">
        <v>0</v>
      </c>
      <c r="EN24" s="320"/>
      <c r="EO24" s="319">
        <v>0</v>
      </c>
      <c r="EP24" s="320"/>
      <c r="EQ24" s="319">
        <v>0</v>
      </c>
      <c r="ER24" s="320">
        <v>0</v>
      </c>
      <c r="ES24" s="319">
        <v>0</v>
      </c>
      <c r="ET24" s="320"/>
      <c r="EU24" s="319">
        <v>0</v>
      </c>
      <c r="EV24" s="320"/>
      <c r="EW24" s="319">
        <v>0</v>
      </c>
      <c r="EX24" s="320">
        <v>0</v>
      </c>
      <c r="EY24" s="319">
        <v>0</v>
      </c>
      <c r="EZ24" s="320"/>
      <c r="FA24" s="319">
        <v>0</v>
      </c>
      <c r="FB24" s="320"/>
      <c r="FC24" s="319">
        <v>0</v>
      </c>
      <c r="FD24" s="320">
        <v>0</v>
      </c>
      <c r="FE24" s="319">
        <v>0</v>
      </c>
      <c r="FF24" s="320"/>
      <c r="FG24" s="319">
        <v>0</v>
      </c>
      <c r="FH24" s="320"/>
      <c r="FI24" s="319">
        <v>0</v>
      </c>
      <c r="FJ24" s="320">
        <v>0</v>
      </c>
      <c r="FK24" s="319">
        <v>0</v>
      </c>
      <c r="FL24" s="320"/>
      <c r="FM24" s="319">
        <v>0</v>
      </c>
      <c r="FN24" s="320"/>
      <c r="FO24" s="319">
        <v>0</v>
      </c>
      <c r="FP24" s="320">
        <v>0</v>
      </c>
      <c r="FQ24" s="319">
        <v>0</v>
      </c>
      <c r="FR24" s="320"/>
      <c r="FS24" s="319">
        <v>0</v>
      </c>
      <c r="FT24" s="320"/>
      <c r="FU24" s="319">
        <v>0</v>
      </c>
      <c r="FV24" s="320">
        <v>0</v>
      </c>
      <c r="FW24" s="319">
        <v>0</v>
      </c>
      <c r="FX24" s="320"/>
      <c r="FY24" s="319">
        <v>0</v>
      </c>
      <c r="FZ24" s="320"/>
      <c r="GA24" s="319">
        <v>0</v>
      </c>
      <c r="GB24" s="320">
        <v>0</v>
      </c>
      <c r="GC24" s="319">
        <v>0</v>
      </c>
      <c r="GD24" s="320"/>
      <c r="GE24" s="319">
        <v>0</v>
      </c>
      <c r="GF24" s="320"/>
      <c r="GG24" s="319">
        <v>0</v>
      </c>
      <c r="GH24" s="320">
        <v>0</v>
      </c>
      <c r="GI24" s="319">
        <v>0</v>
      </c>
      <c r="GJ24" s="320"/>
      <c r="GK24" s="319">
        <v>0</v>
      </c>
      <c r="GL24" s="320"/>
      <c r="GM24" s="319">
        <v>0</v>
      </c>
      <c r="GN24" s="320">
        <v>0</v>
      </c>
      <c r="GO24" s="319">
        <v>0</v>
      </c>
      <c r="GP24" s="320"/>
      <c r="GQ24" s="319">
        <v>0</v>
      </c>
      <c r="GR24" s="320"/>
      <c r="GS24" s="319">
        <v>0</v>
      </c>
      <c r="GT24" s="320">
        <v>0</v>
      </c>
      <c r="GU24" s="319">
        <v>0</v>
      </c>
      <c r="GV24" s="320"/>
      <c r="GW24" s="319">
        <v>0</v>
      </c>
      <c r="GX24" s="320"/>
      <c r="GY24" s="319">
        <v>0</v>
      </c>
      <c r="GZ24" s="320">
        <v>0</v>
      </c>
    </row>
    <row r="25" spans="1:208" s="89" customFormat="1" ht="22.5" customHeight="1" thickBot="1" x14ac:dyDescent="0.25">
      <c r="A25" s="296" t="s">
        <v>3189</v>
      </c>
      <c r="B25" s="297" t="s">
        <v>3190</v>
      </c>
      <c r="C25" s="298" t="s">
        <v>3170</v>
      </c>
      <c r="D25" s="299" t="s">
        <v>3191</v>
      </c>
      <c r="E25" s="299" t="s">
        <v>3192</v>
      </c>
      <c r="F25" s="300" t="s">
        <v>3166</v>
      </c>
      <c r="G25" s="300" t="s">
        <v>3167</v>
      </c>
      <c r="H25" s="301" t="s">
        <v>1471</v>
      </c>
      <c r="I25" s="302" t="s">
        <v>1471</v>
      </c>
      <c r="J25" s="340" t="s">
        <v>3168</v>
      </c>
      <c r="K25" s="343" t="s">
        <v>53</v>
      </c>
      <c r="L25" s="256">
        <f>CONTINUA!BV25</f>
        <v>0</v>
      </c>
      <c r="M25" s="256">
        <f>CONTINUA!BW25</f>
        <v>0</v>
      </c>
      <c r="N25" s="564"/>
      <c r="O25" s="565" t="s">
        <v>3335</v>
      </c>
      <c r="P25" s="566">
        <v>0</v>
      </c>
      <c r="Q25" s="319">
        <v>0</v>
      </c>
      <c r="R25" s="320"/>
      <c r="S25" s="319">
        <v>0</v>
      </c>
      <c r="T25" s="320"/>
      <c r="U25" s="321">
        <v>0</v>
      </c>
      <c r="V25" s="322">
        <v>0</v>
      </c>
      <c r="W25" s="319">
        <v>0</v>
      </c>
      <c r="X25" s="320"/>
      <c r="Y25" s="319">
        <v>0</v>
      </c>
      <c r="Z25" s="320"/>
      <c r="AA25" s="321">
        <v>0</v>
      </c>
      <c r="AB25" s="322">
        <v>0</v>
      </c>
      <c r="AC25" s="319">
        <v>0</v>
      </c>
      <c r="AD25" s="320"/>
      <c r="AE25" s="319">
        <v>0</v>
      </c>
      <c r="AF25" s="320"/>
      <c r="AG25" s="321">
        <v>0</v>
      </c>
      <c r="AH25" s="322">
        <v>0</v>
      </c>
      <c r="AI25" s="319">
        <v>0</v>
      </c>
      <c r="AJ25" s="320"/>
      <c r="AK25" s="319">
        <v>0</v>
      </c>
      <c r="AL25" s="320"/>
      <c r="AM25" s="321">
        <v>0</v>
      </c>
      <c r="AN25" s="322">
        <v>0</v>
      </c>
      <c r="AO25" s="319">
        <v>0</v>
      </c>
      <c r="AP25" s="320"/>
      <c r="AQ25" s="319">
        <v>0</v>
      </c>
      <c r="AR25" s="320"/>
      <c r="AS25" s="321">
        <v>0</v>
      </c>
      <c r="AT25" s="322">
        <v>0</v>
      </c>
      <c r="AU25" s="319">
        <v>0</v>
      </c>
      <c r="AV25" s="320"/>
      <c r="AW25" s="319">
        <v>0</v>
      </c>
      <c r="AX25" s="320"/>
      <c r="AY25" s="321">
        <v>0</v>
      </c>
      <c r="AZ25" s="322">
        <v>0</v>
      </c>
      <c r="BA25" s="319">
        <v>0</v>
      </c>
      <c r="BB25" s="320"/>
      <c r="BC25" s="319">
        <v>0</v>
      </c>
      <c r="BD25" s="320"/>
      <c r="BE25" s="321">
        <v>0</v>
      </c>
      <c r="BF25" s="322">
        <v>0</v>
      </c>
      <c r="BG25" s="319">
        <v>0</v>
      </c>
      <c r="BH25" s="320"/>
      <c r="BI25" s="319">
        <v>0</v>
      </c>
      <c r="BJ25" s="320"/>
      <c r="BK25" s="321">
        <v>0</v>
      </c>
      <c r="BL25" s="322">
        <v>0</v>
      </c>
      <c r="BM25" s="319">
        <v>0</v>
      </c>
      <c r="BN25" s="320"/>
      <c r="BO25" s="319">
        <v>0</v>
      </c>
      <c r="BP25" s="320"/>
      <c r="BQ25" s="321">
        <v>0</v>
      </c>
      <c r="BR25" s="322">
        <v>0</v>
      </c>
      <c r="BS25" s="319">
        <v>0</v>
      </c>
      <c r="BT25" s="320"/>
      <c r="BU25" s="319">
        <v>0</v>
      </c>
      <c r="BV25" s="320"/>
      <c r="BW25" s="321">
        <v>0</v>
      </c>
      <c r="BX25" s="322">
        <v>0</v>
      </c>
      <c r="BY25" s="319">
        <v>0</v>
      </c>
      <c r="BZ25" s="320"/>
      <c r="CA25" s="319">
        <v>0</v>
      </c>
      <c r="CB25" s="320"/>
      <c r="CC25" s="321">
        <v>0</v>
      </c>
      <c r="CD25" s="322">
        <v>0</v>
      </c>
      <c r="CE25" s="319">
        <v>0</v>
      </c>
      <c r="CF25" s="320"/>
      <c r="CG25" s="319">
        <v>0</v>
      </c>
      <c r="CH25" s="320"/>
      <c r="CI25" s="321">
        <v>0</v>
      </c>
      <c r="CJ25" s="322">
        <v>0</v>
      </c>
      <c r="CK25" s="319">
        <v>0</v>
      </c>
      <c r="CL25" s="320"/>
      <c r="CM25" s="319">
        <v>0</v>
      </c>
      <c r="CN25" s="320"/>
      <c r="CO25" s="321">
        <v>0</v>
      </c>
      <c r="CP25" s="322">
        <v>0</v>
      </c>
      <c r="CQ25" s="319">
        <v>0</v>
      </c>
      <c r="CR25" s="320"/>
      <c r="CS25" s="319">
        <v>0</v>
      </c>
      <c r="CT25" s="320"/>
      <c r="CU25" s="321">
        <v>0</v>
      </c>
      <c r="CV25" s="322">
        <v>0</v>
      </c>
      <c r="CW25" s="319">
        <v>0</v>
      </c>
      <c r="CX25" s="320"/>
      <c r="CY25" s="319">
        <v>0</v>
      </c>
      <c r="CZ25" s="320"/>
      <c r="DA25" s="321">
        <v>0</v>
      </c>
      <c r="DB25" s="322">
        <v>0</v>
      </c>
      <c r="DC25" s="319">
        <v>0</v>
      </c>
      <c r="DD25" s="320"/>
      <c r="DE25" s="319">
        <v>0</v>
      </c>
      <c r="DF25" s="320"/>
      <c r="DG25" s="321">
        <v>0</v>
      </c>
      <c r="DH25" s="322">
        <v>0</v>
      </c>
      <c r="DI25" s="319">
        <v>0</v>
      </c>
      <c r="DJ25" s="320"/>
      <c r="DK25" s="319">
        <v>0</v>
      </c>
      <c r="DL25" s="320"/>
      <c r="DM25" s="321">
        <v>0</v>
      </c>
      <c r="DN25" s="322">
        <v>0</v>
      </c>
      <c r="DO25" s="319">
        <v>0</v>
      </c>
      <c r="DP25" s="320"/>
      <c r="DQ25" s="319">
        <v>0</v>
      </c>
      <c r="DR25" s="320"/>
      <c r="DS25" s="321">
        <v>0</v>
      </c>
      <c r="DT25" s="322">
        <v>0</v>
      </c>
      <c r="DU25" s="319">
        <v>0</v>
      </c>
      <c r="DV25" s="320"/>
      <c r="DW25" s="319">
        <v>0</v>
      </c>
      <c r="DX25" s="320"/>
      <c r="DY25" s="321">
        <v>0</v>
      </c>
      <c r="DZ25" s="322">
        <v>0</v>
      </c>
      <c r="EA25" s="319">
        <v>0</v>
      </c>
      <c r="EB25" s="320"/>
      <c r="EC25" s="319">
        <v>0</v>
      </c>
      <c r="ED25" s="320"/>
      <c r="EE25" s="321">
        <v>0</v>
      </c>
      <c r="EF25" s="322">
        <v>0</v>
      </c>
      <c r="EG25" s="319">
        <v>0</v>
      </c>
      <c r="EH25" s="320"/>
      <c r="EI25" s="319">
        <v>0</v>
      </c>
      <c r="EJ25" s="320"/>
      <c r="EK25" s="321">
        <v>0</v>
      </c>
      <c r="EL25" s="322">
        <v>0</v>
      </c>
      <c r="EM25" s="319">
        <v>0</v>
      </c>
      <c r="EN25" s="320"/>
      <c r="EO25" s="319">
        <v>0</v>
      </c>
      <c r="EP25" s="320"/>
      <c r="EQ25" s="321">
        <v>0</v>
      </c>
      <c r="ER25" s="322">
        <v>0</v>
      </c>
      <c r="ES25" s="319">
        <v>0</v>
      </c>
      <c r="ET25" s="320"/>
      <c r="EU25" s="319">
        <v>0</v>
      </c>
      <c r="EV25" s="320"/>
      <c r="EW25" s="321">
        <v>0</v>
      </c>
      <c r="EX25" s="322">
        <v>0</v>
      </c>
      <c r="EY25" s="319">
        <v>0</v>
      </c>
      <c r="EZ25" s="320"/>
      <c r="FA25" s="319">
        <v>0</v>
      </c>
      <c r="FB25" s="320"/>
      <c r="FC25" s="321">
        <v>0</v>
      </c>
      <c r="FD25" s="322">
        <v>0</v>
      </c>
      <c r="FE25" s="319">
        <v>0</v>
      </c>
      <c r="FF25" s="320"/>
      <c r="FG25" s="319">
        <v>0</v>
      </c>
      <c r="FH25" s="320"/>
      <c r="FI25" s="321">
        <v>0</v>
      </c>
      <c r="FJ25" s="322">
        <v>0</v>
      </c>
      <c r="FK25" s="319">
        <v>0</v>
      </c>
      <c r="FL25" s="320"/>
      <c r="FM25" s="319">
        <v>0</v>
      </c>
      <c r="FN25" s="320"/>
      <c r="FO25" s="321">
        <v>0</v>
      </c>
      <c r="FP25" s="322">
        <v>0</v>
      </c>
      <c r="FQ25" s="319">
        <v>0</v>
      </c>
      <c r="FR25" s="320"/>
      <c r="FS25" s="319">
        <v>0</v>
      </c>
      <c r="FT25" s="320"/>
      <c r="FU25" s="321">
        <v>0</v>
      </c>
      <c r="FV25" s="322">
        <v>0</v>
      </c>
      <c r="FW25" s="319">
        <v>0</v>
      </c>
      <c r="FX25" s="320"/>
      <c r="FY25" s="319">
        <v>0</v>
      </c>
      <c r="FZ25" s="320"/>
      <c r="GA25" s="321">
        <v>0</v>
      </c>
      <c r="GB25" s="322">
        <v>0</v>
      </c>
      <c r="GC25" s="319">
        <v>0</v>
      </c>
      <c r="GD25" s="320"/>
      <c r="GE25" s="319">
        <v>0</v>
      </c>
      <c r="GF25" s="320"/>
      <c r="GG25" s="321">
        <v>0</v>
      </c>
      <c r="GH25" s="322">
        <v>0</v>
      </c>
      <c r="GI25" s="319">
        <v>0</v>
      </c>
      <c r="GJ25" s="320"/>
      <c r="GK25" s="319">
        <v>0</v>
      </c>
      <c r="GL25" s="320"/>
      <c r="GM25" s="321">
        <v>0</v>
      </c>
      <c r="GN25" s="322">
        <v>0</v>
      </c>
      <c r="GO25" s="319">
        <v>0</v>
      </c>
      <c r="GP25" s="320"/>
      <c r="GQ25" s="319">
        <v>0</v>
      </c>
      <c r="GR25" s="320"/>
      <c r="GS25" s="321">
        <v>0</v>
      </c>
      <c r="GT25" s="322">
        <v>0</v>
      </c>
      <c r="GU25" s="319">
        <v>0</v>
      </c>
      <c r="GV25" s="320"/>
      <c r="GW25" s="319">
        <v>0</v>
      </c>
      <c r="GX25" s="320"/>
      <c r="GY25" s="321">
        <v>0</v>
      </c>
      <c r="GZ25" s="322">
        <v>0</v>
      </c>
    </row>
    <row r="26" spans="1:208" s="89" customFormat="1" ht="22.5" customHeight="1" x14ac:dyDescent="0.2">
      <c r="A26" t="s">
        <v>3193</v>
      </c>
      <c r="B26" s="429" t="s">
        <v>3194</v>
      </c>
      <c r="C26" s="430">
        <v>2</v>
      </c>
      <c r="D26" s="431" t="s">
        <v>3195</v>
      </c>
      <c r="E26" s="431" t="s">
        <v>3196</v>
      </c>
      <c r="F26" s="432" t="s">
        <v>3166</v>
      </c>
      <c r="G26" s="432" t="s">
        <v>3167</v>
      </c>
      <c r="H26" s="270" t="s">
        <v>1473</v>
      </c>
      <c r="I26" s="271" t="s">
        <v>1473</v>
      </c>
      <c r="J26" s="328" t="s">
        <v>3174</v>
      </c>
      <c r="K26" s="329" t="s">
        <v>3169</v>
      </c>
      <c r="L26" s="256">
        <f>CONTINUA!BV26</f>
        <v>0</v>
      </c>
      <c r="M26" s="256">
        <f>CONTINUA!BW26</f>
        <v>0</v>
      </c>
      <c r="N26" s="564"/>
      <c r="O26" s="565" t="s">
        <v>3336</v>
      </c>
      <c r="P26" s="566">
        <v>0</v>
      </c>
      <c r="Q26" s="319">
        <v>0</v>
      </c>
      <c r="R26" s="320">
        <v>2</v>
      </c>
      <c r="S26" s="319">
        <v>0</v>
      </c>
      <c r="T26" s="320">
        <v>0</v>
      </c>
      <c r="U26" s="321">
        <v>0</v>
      </c>
      <c r="V26" s="322">
        <v>0</v>
      </c>
      <c r="W26" s="319">
        <v>0</v>
      </c>
      <c r="X26" s="320">
        <v>2</v>
      </c>
      <c r="Y26" s="319">
        <v>0</v>
      </c>
      <c r="Z26" s="320">
        <v>0</v>
      </c>
      <c r="AA26" s="321">
        <v>0</v>
      </c>
      <c r="AB26" s="322">
        <v>0</v>
      </c>
      <c r="AC26" s="319">
        <v>0</v>
      </c>
      <c r="AD26" s="320">
        <v>2</v>
      </c>
      <c r="AE26" s="319">
        <v>0</v>
      </c>
      <c r="AF26" s="320">
        <v>0</v>
      </c>
      <c r="AG26" s="321">
        <v>0</v>
      </c>
      <c r="AH26" s="322">
        <v>0</v>
      </c>
      <c r="AI26" s="319">
        <v>0</v>
      </c>
      <c r="AJ26" s="320">
        <v>2</v>
      </c>
      <c r="AK26" s="319">
        <v>0</v>
      </c>
      <c r="AL26" s="320">
        <v>0</v>
      </c>
      <c r="AM26" s="321">
        <v>0</v>
      </c>
      <c r="AN26" s="322">
        <v>0</v>
      </c>
      <c r="AO26" s="319">
        <v>0</v>
      </c>
      <c r="AP26" s="320">
        <v>2</v>
      </c>
      <c r="AQ26" s="319">
        <v>0</v>
      </c>
      <c r="AR26" s="320">
        <v>0</v>
      </c>
      <c r="AS26" s="321">
        <v>0</v>
      </c>
      <c r="AT26" s="322">
        <v>0</v>
      </c>
      <c r="AU26" s="319">
        <v>0</v>
      </c>
      <c r="AV26" s="320">
        <v>2</v>
      </c>
      <c r="AW26" s="319">
        <v>0</v>
      </c>
      <c r="AX26" s="320">
        <v>0</v>
      </c>
      <c r="AY26" s="321">
        <v>0</v>
      </c>
      <c r="AZ26" s="322">
        <v>0</v>
      </c>
      <c r="BA26" s="319">
        <v>0</v>
      </c>
      <c r="BB26" s="320">
        <v>2</v>
      </c>
      <c r="BC26" s="319">
        <v>0</v>
      </c>
      <c r="BD26" s="320">
        <v>0</v>
      </c>
      <c r="BE26" s="321">
        <v>0</v>
      </c>
      <c r="BF26" s="322">
        <v>0</v>
      </c>
      <c r="BG26" s="319">
        <v>0</v>
      </c>
      <c r="BH26" s="320">
        <v>2</v>
      </c>
      <c r="BI26" s="319">
        <v>0</v>
      </c>
      <c r="BJ26" s="320">
        <v>0</v>
      </c>
      <c r="BK26" s="321">
        <v>0</v>
      </c>
      <c r="BL26" s="322">
        <v>0</v>
      </c>
      <c r="BM26" s="319">
        <v>0</v>
      </c>
      <c r="BN26" s="320">
        <v>2</v>
      </c>
      <c r="BO26" s="319">
        <v>0</v>
      </c>
      <c r="BP26" s="320">
        <v>0</v>
      </c>
      <c r="BQ26" s="321">
        <v>0</v>
      </c>
      <c r="BR26" s="322">
        <v>0</v>
      </c>
      <c r="BS26" s="319">
        <v>0</v>
      </c>
      <c r="BT26" s="320">
        <v>2</v>
      </c>
      <c r="BU26" s="319">
        <v>0</v>
      </c>
      <c r="BV26" s="320">
        <v>0</v>
      </c>
      <c r="BW26" s="321">
        <v>0</v>
      </c>
      <c r="BX26" s="322">
        <v>0</v>
      </c>
      <c r="BY26" s="319">
        <v>0</v>
      </c>
      <c r="BZ26" s="320">
        <v>2</v>
      </c>
      <c r="CA26" s="319">
        <v>0</v>
      </c>
      <c r="CB26" s="320">
        <v>0</v>
      </c>
      <c r="CC26" s="321">
        <v>0</v>
      </c>
      <c r="CD26" s="322">
        <v>0</v>
      </c>
      <c r="CE26" s="319">
        <v>0</v>
      </c>
      <c r="CF26" s="320">
        <v>2</v>
      </c>
      <c r="CG26" s="319">
        <v>0</v>
      </c>
      <c r="CH26" s="320">
        <v>0</v>
      </c>
      <c r="CI26" s="321">
        <v>0</v>
      </c>
      <c r="CJ26" s="322">
        <v>0</v>
      </c>
      <c r="CK26" s="319">
        <v>0</v>
      </c>
      <c r="CL26" s="320">
        <v>2</v>
      </c>
      <c r="CM26" s="319">
        <v>0</v>
      </c>
      <c r="CN26" s="320">
        <v>0</v>
      </c>
      <c r="CO26" s="321">
        <v>0</v>
      </c>
      <c r="CP26" s="322">
        <v>0</v>
      </c>
      <c r="CQ26" s="319">
        <v>0</v>
      </c>
      <c r="CR26" s="320">
        <v>2</v>
      </c>
      <c r="CS26" s="319">
        <v>0</v>
      </c>
      <c r="CT26" s="320">
        <v>0</v>
      </c>
      <c r="CU26" s="321">
        <v>0</v>
      </c>
      <c r="CV26" s="322">
        <v>0</v>
      </c>
      <c r="CW26" s="319">
        <v>0</v>
      </c>
      <c r="CX26" s="320">
        <v>2</v>
      </c>
      <c r="CY26" s="319">
        <v>0</v>
      </c>
      <c r="CZ26" s="320">
        <v>0</v>
      </c>
      <c r="DA26" s="321">
        <v>0</v>
      </c>
      <c r="DB26" s="322">
        <v>0</v>
      </c>
      <c r="DC26" s="319">
        <v>0</v>
      </c>
      <c r="DD26" s="320">
        <v>2</v>
      </c>
      <c r="DE26" s="319">
        <v>0</v>
      </c>
      <c r="DF26" s="320">
        <v>0</v>
      </c>
      <c r="DG26" s="321">
        <v>0</v>
      </c>
      <c r="DH26" s="322">
        <v>0</v>
      </c>
      <c r="DI26" s="319">
        <v>0</v>
      </c>
      <c r="DJ26" s="320">
        <v>2</v>
      </c>
      <c r="DK26" s="319">
        <v>0</v>
      </c>
      <c r="DL26" s="320">
        <v>0</v>
      </c>
      <c r="DM26" s="321">
        <v>0</v>
      </c>
      <c r="DN26" s="322">
        <v>0</v>
      </c>
      <c r="DO26" s="319">
        <v>0</v>
      </c>
      <c r="DP26" s="320">
        <v>2</v>
      </c>
      <c r="DQ26" s="319">
        <v>0</v>
      </c>
      <c r="DR26" s="320">
        <v>0</v>
      </c>
      <c r="DS26" s="321">
        <v>0</v>
      </c>
      <c r="DT26" s="322">
        <v>0</v>
      </c>
      <c r="DU26" s="319">
        <v>0</v>
      </c>
      <c r="DV26" s="320">
        <v>2</v>
      </c>
      <c r="DW26" s="319">
        <v>0</v>
      </c>
      <c r="DX26" s="320">
        <v>0</v>
      </c>
      <c r="DY26" s="321">
        <v>0</v>
      </c>
      <c r="DZ26" s="322">
        <v>0</v>
      </c>
      <c r="EA26" s="319">
        <v>0</v>
      </c>
      <c r="EB26" s="320">
        <v>2</v>
      </c>
      <c r="EC26" s="319">
        <v>0</v>
      </c>
      <c r="ED26" s="320">
        <v>0</v>
      </c>
      <c r="EE26" s="321">
        <v>0</v>
      </c>
      <c r="EF26" s="322">
        <v>0</v>
      </c>
      <c r="EG26" s="319">
        <v>0</v>
      </c>
      <c r="EH26" s="320">
        <v>2</v>
      </c>
      <c r="EI26" s="319">
        <v>0</v>
      </c>
      <c r="EJ26" s="320">
        <v>0</v>
      </c>
      <c r="EK26" s="321">
        <v>0</v>
      </c>
      <c r="EL26" s="322">
        <v>0</v>
      </c>
      <c r="EM26" s="319">
        <v>0</v>
      </c>
      <c r="EN26" s="320">
        <v>2</v>
      </c>
      <c r="EO26" s="319">
        <v>0</v>
      </c>
      <c r="EP26" s="320">
        <v>0</v>
      </c>
      <c r="EQ26" s="321">
        <v>0</v>
      </c>
      <c r="ER26" s="322">
        <v>0</v>
      </c>
      <c r="ES26" s="319">
        <v>0</v>
      </c>
      <c r="ET26" s="320">
        <v>2</v>
      </c>
      <c r="EU26" s="319">
        <v>0</v>
      </c>
      <c r="EV26" s="320">
        <v>0</v>
      </c>
      <c r="EW26" s="321">
        <v>0</v>
      </c>
      <c r="EX26" s="322">
        <v>0</v>
      </c>
      <c r="EY26" s="319">
        <v>0</v>
      </c>
      <c r="EZ26" s="320">
        <v>2</v>
      </c>
      <c r="FA26" s="319">
        <v>0</v>
      </c>
      <c r="FB26" s="320">
        <v>0</v>
      </c>
      <c r="FC26" s="321">
        <v>0</v>
      </c>
      <c r="FD26" s="322">
        <v>0</v>
      </c>
      <c r="FE26" s="319">
        <v>0</v>
      </c>
      <c r="FF26" s="320">
        <v>2</v>
      </c>
      <c r="FG26" s="319">
        <v>0</v>
      </c>
      <c r="FH26" s="320">
        <v>0</v>
      </c>
      <c r="FI26" s="321">
        <v>0</v>
      </c>
      <c r="FJ26" s="322">
        <v>0</v>
      </c>
      <c r="FK26" s="319">
        <v>0</v>
      </c>
      <c r="FL26" s="320">
        <v>2</v>
      </c>
      <c r="FM26" s="319">
        <v>0</v>
      </c>
      <c r="FN26" s="320">
        <v>0</v>
      </c>
      <c r="FO26" s="321">
        <v>0</v>
      </c>
      <c r="FP26" s="322">
        <v>0</v>
      </c>
      <c r="FQ26" s="319">
        <v>0</v>
      </c>
      <c r="FR26" s="320">
        <v>2</v>
      </c>
      <c r="FS26" s="319">
        <v>0</v>
      </c>
      <c r="FT26" s="320">
        <v>0</v>
      </c>
      <c r="FU26" s="321">
        <v>0</v>
      </c>
      <c r="FV26" s="322">
        <v>0</v>
      </c>
      <c r="FW26" s="319">
        <v>0</v>
      </c>
      <c r="FX26" s="320">
        <v>2</v>
      </c>
      <c r="FY26" s="319">
        <v>0</v>
      </c>
      <c r="FZ26" s="320">
        <v>0</v>
      </c>
      <c r="GA26" s="321">
        <v>0</v>
      </c>
      <c r="GB26" s="322">
        <v>0</v>
      </c>
      <c r="GC26" s="319">
        <v>0</v>
      </c>
      <c r="GD26" s="320">
        <v>2</v>
      </c>
      <c r="GE26" s="319">
        <v>0</v>
      </c>
      <c r="GF26" s="320">
        <v>0</v>
      </c>
      <c r="GG26" s="321">
        <v>0</v>
      </c>
      <c r="GH26" s="322">
        <v>0</v>
      </c>
      <c r="GI26" s="319">
        <v>0</v>
      </c>
      <c r="GJ26" s="320">
        <v>2</v>
      </c>
      <c r="GK26" s="319">
        <v>0</v>
      </c>
      <c r="GL26" s="320">
        <v>0</v>
      </c>
      <c r="GM26" s="321">
        <v>0</v>
      </c>
      <c r="GN26" s="322">
        <v>0</v>
      </c>
      <c r="GO26" s="319">
        <v>0</v>
      </c>
      <c r="GP26" s="320">
        <v>2</v>
      </c>
      <c r="GQ26" s="319">
        <v>0</v>
      </c>
      <c r="GR26" s="320">
        <v>0</v>
      </c>
      <c r="GS26" s="321">
        <v>0</v>
      </c>
      <c r="GT26" s="322">
        <v>0</v>
      </c>
      <c r="GU26" s="319">
        <v>0</v>
      </c>
      <c r="GV26" s="320">
        <v>2</v>
      </c>
      <c r="GW26" s="319">
        <v>0</v>
      </c>
      <c r="GX26" s="320">
        <v>0</v>
      </c>
      <c r="GY26" s="321">
        <v>0</v>
      </c>
      <c r="GZ26" s="322">
        <v>0</v>
      </c>
    </row>
    <row r="27" spans="1:208" s="89" customFormat="1" ht="22.5" customHeight="1" x14ac:dyDescent="0.2">
      <c r="A27" s="287" t="s">
        <v>3193</v>
      </c>
      <c r="B27" s="288" t="s">
        <v>3194</v>
      </c>
      <c r="C27" s="289" t="s">
        <v>3170</v>
      </c>
      <c r="D27" s="290" t="s">
        <v>3195</v>
      </c>
      <c r="E27" s="290" t="s">
        <v>3196</v>
      </c>
      <c r="F27" s="291" t="s">
        <v>3166</v>
      </c>
      <c r="G27" s="291" t="s">
        <v>3167</v>
      </c>
      <c r="H27" s="292" t="s">
        <v>1473</v>
      </c>
      <c r="I27" s="293" t="s">
        <v>1473</v>
      </c>
      <c r="J27" s="340" t="s">
        <v>3174</v>
      </c>
      <c r="K27" s="340" t="s">
        <v>3171</v>
      </c>
      <c r="L27" s="256">
        <f>CONTINUA!BV27</f>
        <v>0</v>
      </c>
      <c r="M27" s="256">
        <f>CONTINUA!BW27</f>
        <v>0</v>
      </c>
      <c r="N27" s="564"/>
      <c r="O27" s="565" t="s">
        <v>3336</v>
      </c>
      <c r="P27" s="566">
        <v>0</v>
      </c>
      <c r="Q27" s="319">
        <v>14</v>
      </c>
      <c r="R27" s="320">
        <v>2</v>
      </c>
      <c r="S27" s="319">
        <v>8</v>
      </c>
      <c r="T27" s="320">
        <v>0</v>
      </c>
      <c r="U27" s="319">
        <v>0</v>
      </c>
      <c r="V27" s="320">
        <v>0</v>
      </c>
      <c r="W27" s="319">
        <v>14</v>
      </c>
      <c r="X27" s="320">
        <v>2</v>
      </c>
      <c r="Y27" s="319">
        <v>8</v>
      </c>
      <c r="Z27" s="320">
        <v>0</v>
      </c>
      <c r="AA27" s="319">
        <v>0</v>
      </c>
      <c r="AB27" s="320">
        <v>0</v>
      </c>
      <c r="AC27" s="319">
        <v>14</v>
      </c>
      <c r="AD27" s="320">
        <v>2</v>
      </c>
      <c r="AE27" s="319">
        <v>8</v>
      </c>
      <c r="AF27" s="320">
        <v>0</v>
      </c>
      <c r="AG27" s="319">
        <v>0</v>
      </c>
      <c r="AH27" s="320">
        <v>0</v>
      </c>
      <c r="AI27" s="319">
        <v>14</v>
      </c>
      <c r="AJ27" s="320">
        <v>2</v>
      </c>
      <c r="AK27" s="319">
        <v>8</v>
      </c>
      <c r="AL27" s="320">
        <v>0</v>
      </c>
      <c r="AM27" s="319">
        <v>0</v>
      </c>
      <c r="AN27" s="320">
        <v>0</v>
      </c>
      <c r="AO27" s="319">
        <v>14</v>
      </c>
      <c r="AP27" s="320">
        <v>2</v>
      </c>
      <c r="AQ27" s="319">
        <v>8</v>
      </c>
      <c r="AR27" s="320">
        <v>0</v>
      </c>
      <c r="AS27" s="319">
        <v>0</v>
      </c>
      <c r="AT27" s="320">
        <v>0</v>
      </c>
      <c r="AU27" s="319">
        <v>14</v>
      </c>
      <c r="AV27" s="320">
        <v>2</v>
      </c>
      <c r="AW27" s="319">
        <v>8</v>
      </c>
      <c r="AX27" s="320">
        <v>0</v>
      </c>
      <c r="AY27" s="319">
        <v>0</v>
      </c>
      <c r="AZ27" s="320">
        <v>0</v>
      </c>
      <c r="BA27" s="319">
        <v>14</v>
      </c>
      <c r="BB27" s="320">
        <v>2</v>
      </c>
      <c r="BC27" s="319">
        <v>8</v>
      </c>
      <c r="BD27" s="320">
        <v>0</v>
      </c>
      <c r="BE27" s="319">
        <v>0</v>
      </c>
      <c r="BF27" s="320">
        <v>0</v>
      </c>
      <c r="BG27" s="319">
        <v>14</v>
      </c>
      <c r="BH27" s="320">
        <v>2</v>
      </c>
      <c r="BI27" s="319">
        <v>8</v>
      </c>
      <c r="BJ27" s="320">
        <v>0</v>
      </c>
      <c r="BK27" s="319">
        <v>0</v>
      </c>
      <c r="BL27" s="320">
        <v>0</v>
      </c>
      <c r="BM27" s="319">
        <v>14</v>
      </c>
      <c r="BN27" s="320">
        <v>2</v>
      </c>
      <c r="BO27" s="319">
        <v>8</v>
      </c>
      <c r="BP27" s="320">
        <v>0</v>
      </c>
      <c r="BQ27" s="319">
        <v>0</v>
      </c>
      <c r="BR27" s="320">
        <v>0</v>
      </c>
      <c r="BS27" s="319">
        <v>14</v>
      </c>
      <c r="BT27" s="320">
        <v>2</v>
      </c>
      <c r="BU27" s="319">
        <v>8</v>
      </c>
      <c r="BV27" s="320">
        <v>0</v>
      </c>
      <c r="BW27" s="319">
        <v>0</v>
      </c>
      <c r="BX27" s="320">
        <v>0</v>
      </c>
      <c r="BY27" s="319">
        <v>14</v>
      </c>
      <c r="BZ27" s="320">
        <v>2</v>
      </c>
      <c r="CA27" s="319">
        <v>8</v>
      </c>
      <c r="CB27" s="320">
        <v>0</v>
      </c>
      <c r="CC27" s="319">
        <v>0</v>
      </c>
      <c r="CD27" s="320">
        <v>0</v>
      </c>
      <c r="CE27" s="319">
        <v>14</v>
      </c>
      <c r="CF27" s="320">
        <v>2</v>
      </c>
      <c r="CG27" s="319">
        <v>8</v>
      </c>
      <c r="CH27" s="320">
        <v>0</v>
      </c>
      <c r="CI27" s="319">
        <v>0</v>
      </c>
      <c r="CJ27" s="320">
        <v>0</v>
      </c>
      <c r="CK27" s="319">
        <v>14</v>
      </c>
      <c r="CL27" s="320">
        <v>2</v>
      </c>
      <c r="CM27" s="319">
        <v>8</v>
      </c>
      <c r="CN27" s="320">
        <v>0</v>
      </c>
      <c r="CO27" s="319">
        <v>0</v>
      </c>
      <c r="CP27" s="320">
        <v>0</v>
      </c>
      <c r="CQ27" s="319">
        <v>14</v>
      </c>
      <c r="CR27" s="320">
        <v>2</v>
      </c>
      <c r="CS27" s="319">
        <v>8</v>
      </c>
      <c r="CT27" s="320">
        <v>0</v>
      </c>
      <c r="CU27" s="319">
        <v>0</v>
      </c>
      <c r="CV27" s="320">
        <v>0</v>
      </c>
      <c r="CW27" s="319">
        <v>14</v>
      </c>
      <c r="CX27" s="320">
        <v>2</v>
      </c>
      <c r="CY27" s="319">
        <v>8</v>
      </c>
      <c r="CZ27" s="320">
        <v>0</v>
      </c>
      <c r="DA27" s="319">
        <v>0</v>
      </c>
      <c r="DB27" s="320">
        <v>0</v>
      </c>
      <c r="DC27" s="319">
        <v>14</v>
      </c>
      <c r="DD27" s="320">
        <v>2</v>
      </c>
      <c r="DE27" s="319">
        <v>8</v>
      </c>
      <c r="DF27" s="320">
        <v>0</v>
      </c>
      <c r="DG27" s="319">
        <v>0</v>
      </c>
      <c r="DH27" s="320">
        <v>0</v>
      </c>
      <c r="DI27" s="319">
        <v>14</v>
      </c>
      <c r="DJ27" s="320">
        <v>2</v>
      </c>
      <c r="DK27" s="319">
        <v>8</v>
      </c>
      <c r="DL27" s="320">
        <v>0</v>
      </c>
      <c r="DM27" s="319">
        <v>0</v>
      </c>
      <c r="DN27" s="320">
        <v>0</v>
      </c>
      <c r="DO27" s="319">
        <v>14</v>
      </c>
      <c r="DP27" s="320">
        <v>2</v>
      </c>
      <c r="DQ27" s="319">
        <v>8</v>
      </c>
      <c r="DR27" s="320">
        <v>0</v>
      </c>
      <c r="DS27" s="319">
        <v>0</v>
      </c>
      <c r="DT27" s="320">
        <v>0</v>
      </c>
      <c r="DU27" s="319">
        <v>14</v>
      </c>
      <c r="DV27" s="320">
        <v>2</v>
      </c>
      <c r="DW27" s="319">
        <v>8</v>
      </c>
      <c r="DX27" s="320">
        <v>0</v>
      </c>
      <c r="DY27" s="319">
        <v>0</v>
      </c>
      <c r="DZ27" s="320">
        <v>0</v>
      </c>
      <c r="EA27" s="319">
        <v>14</v>
      </c>
      <c r="EB27" s="320">
        <v>2</v>
      </c>
      <c r="EC27" s="319">
        <v>8</v>
      </c>
      <c r="ED27" s="320">
        <v>0</v>
      </c>
      <c r="EE27" s="319">
        <v>0</v>
      </c>
      <c r="EF27" s="320">
        <v>0</v>
      </c>
      <c r="EG27" s="319">
        <v>14</v>
      </c>
      <c r="EH27" s="320">
        <v>2</v>
      </c>
      <c r="EI27" s="319">
        <v>8</v>
      </c>
      <c r="EJ27" s="320">
        <v>0</v>
      </c>
      <c r="EK27" s="319">
        <v>0</v>
      </c>
      <c r="EL27" s="320">
        <v>0</v>
      </c>
      <c r="EM27" s="319">
        <v>14</v>
      </c>
      <c r="EN27" s="320">
        <v>2</v>
      </c>
      <c r="EO27" s="319">
        <v>8</v>
      </c>
      <c r="EP27" s="320">
        <v>0</v>
      </c>
      <c r="EQ27" s="319">
        <v>0</v>
      </c>
      <c r="ER27" s="320">
        <v>0</v>
      </c>
      <c r="ES27" s="319">
        <v>14</v>
      </c>
      <c r="ET27" s="320">
        <v>2</v>
      </c>
      <c r="EU27" s="319">
        <v>8</v>
      </c>
      <c r="EV27" s="320">
        <v>0</v>
      </c>
      <c r="EW27" s="319">
        <v>0</v>
      </c>
      <c r="EX27" s="320">
        <v>0</v>
      </c>
      <c r="EY27" s="319">
        <v>14</v>
      </c>
      <c r="EZ27" s="320">
        <v>2</v>
      </c>
      <c r="FA27" s="319">
        <v>8</v>
      </c>
      <c r="FB27" s="320">
        <v>0</v>
      </c>
      <c r="FC27" s="319">
        <v>0</v>
      </c>
      <c r="FD27" s="320">
        <v>0</v>
      </c>
      <c r="FE27" s="319">
        <v>14</v>
      </c>
      <c r="FF27" s="320">
        <v>2</v>
      </c>
      <c r="FG27" s="319">
        <v>8</v>
      </c>
      <c r="FH27" s="320">
        <v>0</v>
      </c>
      <c r="FI27" s="319">
        <v>0</v>
      </c>
      <c r="FJ27" s="320">
        <v>0</v>
      </c>
      <c r="FK27" s="319">
        <v>14</v>
      </c>
      <c r="FL27" s="320">
        <v>2</v>
      </c>
      <c r="FM27" s="319">
        <v>8</v>
      </c>
      <c r="FN27" s="320">
        <v>0</v>
      </c>
      <c r="FO27" s="319">
        <v>0</v>
      </c>
      <c r="FP27" s="320">
        <v>0</v>
      </c>
      <c r="FQ27" s="319">
        <v>14</v>
      </c>
      <c r="FR27" s="320">
        <v>2</v>
      </c>
      <c r="FS27" s="319">
        <v>8</v>
      </c>
      <c r="FT27" s="320">
        <v>0</v>
      </c>
      <c r="FU27" s="319">
        <v>0</v>
      </c>
      <c r="FV27" s="320">
        <v>0</v>
      </c>
      <c r="FW27" s="319">
        <v>14</v>
      </c>
      <c r="FX27" s="320">
        <v>2</v>
      </c>
      <c r="FY27" s="319">
        <v>8</v>
      </c>
      <c r="FZ27" s="320">
        <v>0</v>
      </c>
      <c r="GA27" s="319">
        <v>0</v>
      </c>
      <c r="GB27" s="320">
        <v>0</v>
      </c>
      <c r="GC27" s="319">
        <v>14</v>
      </c>
      <c r="GD27" s="320">
        <v>2</v>
      </c>
      <c r="GE27" s="319">
        <v>8</v>
      </c>
      <c r="GF27" s="320">
        <v>0</v>
      </c>
      <c r="GG27" s="319">
        <v>0</v>
      </c>
      <c r="GH27" s="320">
        <v>0</v>
      </c>
      <c r="GI27" s="319">
        <v>14</v>
      </c>
      <c r="GJ27" s="320">
        <v>2</v>
      </c>
      <c r="GK27" s="319">
        <v>8</v>
      </c>
      <c r="GL27" s="320">
        <v>0</v>
      </c>
      <c r="GM27" s="319">
        <v>0</v>
      </c>
      <c r="GN27" s="320">
        <v>0</v>
      </c>
      <c r="GO27" s="319">
        <v>14</v>
      </c>
      <c r="GP27" s="320">
        <v>2</v>
      </c>
      <c r="GQ27" s="319">
        <v>8</v>
      </c>
      <c r="GR27" s="320">
        <v>0</v>
      </c>
      <c r="GS27" s="319">
        <v>0</v>
      </c>
      <c r="GT27" s="320">
        <v>0</v>
      </c>
      <c r="GU27" s="319">
        <v>14</v>
      </c>
      <c r="GV27" s="320">
        <v>2</v>
      </c>
      <c r="GW27" s="319">
        <v>8</v>
      </c>
      <c r="GX27" s="320">
        <v>0</v>
      </c>
      <c r="GY27" s="319">
        <v>0</v>
      </c>
      <c r="GZ27" s="320">
        <v>0</v>
      </c>
    </row>
    <row r="28" spans="1:208" s="89" customFormat="1" ht="22.5" customHeight="1" x14ac:dyDescent="0.2">
      <c r="A28" s="287" t="s">
        <v>3193</v>
      </c>
      <c r="B28" s="288" t="s">
        <v>3194</v>
      </c>
      <c r="C28" s="294" t="s">
        <v>3170</v>
      </c>
      <c r="D28" s="290" t="s">
        <v>3195</v>
      </c>
      <c r="E28" s="290" t="s">
        <v>3196</v>
      </c>
      <c r="F28" s="295" t="s">
        <v>3166</v>
      </c>
      <c r="G28" s="295" t="s">
        <v>3167</v>
      </c>
      <c r="H28" s="292" t="s">
        <v>1473</v>
      </c>
      <c r="I28" s="293" t="s">
        <v>1473</v>
      </c>
      <c r="J28" s="340" t="s">
        <v>3174</v>
      </c>
      <c r="K28" s="341" t="s">
        <v>3172</v>
      </c>
      <c r="L28" s="256">
        <f>CONTINUA!BV28</f>
        <v>0</v>
      </c>
      <c r="M28" s="256">
        <f>CONTINUA!BW28</f>
        <v>0</v>
      </c>
      <c r="N28" s="564"/>
      <c r="O28" s="565" t="s">
        <v>3336</v>
      </c>
      <c r="P28" s="566">
        <v>0</v>
      </c>
      <c r="Q28" s="319">
        <v>0</v>
      </c>
      <c r="R28" s="320">
        <v>0</v>
      </c>
      <c r="S28" s="319">
        <v>0</v>
      </c>
      <c r="T28" s="320">
        <v>0</v>
      </c>
      <c r="U28" s="319">
        <v>0</v>
      </c>
      <c r="V28" s="320">
        <v>0</v>
      </c>
      <c r="W28" s="319">
        <v>0</v>
      </c>
      <c r="X28" s="320">
        <v>0</v>
      </c>
      <c r="Y28" s="319">
        <v>0</v>
      </c>
      <c r="Z28" s="320">
        <v>0</v>
      </c>
      <c r="AA28" s="319">
        <v>0</v>
      </c>
      <c r="AB28" s="320">
        <v>0</v>
      </c>
      <c r="AC28" s="319">
        <v>0</v>
      </c>
      <c r="AD28" s="320">
        <v>0</v>
      </c>
      <c r="AE28" s="319">
        <v>0</v>
      </c>
      <c r="AF28" s="320">
        <v>0</v>
      </c>
      <c r="AG28" s="319">
        <v>0</v>
      </c>
      <c r="AH28" s="320">
        <v>0</v>
      </c>
      <c r="AI28" s="319">
        <v>0</v>
      </c>
      <c r="AJ28" s="320">
        <v>0</v>
      </c>
      <c r="AK28" s="319">
        <v>0</v>
      </c>
      <c r="AL28" s="320">
        <v>0</v>
      </c>
      <c r="AM28" s="319">
        <v>0</v>
      </c>
      <c r="AN28" s="320">
        <v>0</v>
      </c>
      <c r="AO28" s="319">
        <v>0</v>
      </c>
      <c r="AP28" s="320">
        <v>0</v>
      </c>
      <c r="AQ28" s="319">
        <v>0</v>
      </c>
      <c r="AR28" s="320">
        <v>0</v>
      </c>
      <c r="AS28" s="319">
        <v>0</v>
      </c>
      <c r="AT28" s="320">
        <v>0</v>
      </c>
      <c r="AU28" s="319">
        <v>0</v>
      </c>
      <c r="AV28" s="320">
        <v>0</v>
      </c>
      <c r="AW28" s="319">
        <v>0</v>
      </c>
      <c r="AX28" s="320">
        <v>0</v>
      </c>
      <c r="AY28" s="319">
        <v>0</v>
      </c>
      <c r="AZ28" s="320">
        <v>0</v>
      </c>
      <c r="BA28" s="319">
        <v>0</v>
      </c>
      <c r="BB28" s="320">
        <v>0</v>
      </c>
      <c r="BC28" s="319">
        <v>0</v>
      </c>
      <c r="BD28" s="320">
        <v>0</v>
      </c>
      <c r="BE28" s="319">
        <v>0</v>
      </c>
      <c r="BF28" s="320">
        <v>0</v>
      </c>
      <c r="BG28" s="319">
        <v>0</v>
      </c>
      <c r="BH28" s="320">
        <v>0</v>
      </c>
      <c r="BI28" s="319">
        <v>0</v>
      </c>
      <c r="BJ28" s="320">
        <v>0</v>
      </c>
      <c r="BK28" s="319">
        <v>0</v>
      </c>
      <c r="BL28" s="320">
        <v>0</v>
      </c>
      <c r="BM28" s="319">
        <v>0</v>
      </c>
      <c r="BN28" s="320">
        <v>0</v>
      </c>
      <c r="BO28" s="319">
        <v>0</v>
      </c>
      <c r="BP28" s="320">
        <v>0</v>
      </c>
      <c r="BQ28" s="319">
        <v>0</v>
      </c>
      <c r="BR28" s="320">
        <v>0</v>
      </c>
      <c r="BS28" s="319">
        <v>0</v>
      </c>
      <c r="BT28" s="320">
        <v>0</v>
      </c>
      <c r="BU28" s="319">
        <v>0</v>
      </c>
      <c r="BV28" s="320">
        <v>0</v>
      </c>
      <c r="BW28" s="319">
        <v>0</v>
      </c>
      <c r="BX28" s="320">
        <v>0</v>
      </c>
      <c r="BY28" s="319">
        <v>0</v>
      </c>
      <c r="BZ28" s="320">
        <v>0</v>
      </c>
      <c r="CA28" s="319">
        <v>0</v>
      </c>
      <c r="CB28" s="320">
        <v>0</v>
      </c>
      <c r="CC28" s="319">
        <v>0</v>
      </c>
      <c r="CD28" s="320">
        <v>0</v>
      </c>
      <c r="CE28" s="319">
        <v>0</v>
      </c>
      <c r="CF28" s="320">
        <v>0</v>
      </c>
      <c r="CG28" s="319">
        <v>0</v>
      </c>
      <c r="CH28" s="320">
        <v>0</v>
      </c>
      <c r="CI28" s="319">
        <v>0</v>
      </c>
      <c r="CJ28" s="320">
        <v>0</v>
      </c>
      <c r="CK28" s="319">
        <v>0</v>
      </c>
      <c r="CL28" s="320">
        <v>0</v>
      </c>
      <c r="CM28" s="319">
        <v>0</v>
      </c>
      <c r="CN28" s="320">
        <v>0</v>
      </c>
      <c r="CO28" s="319">
        <v>0</v>
      </c>
      <c r="CP28" s="320">
        <v>0</v>
      </c>
      <c r="CQ28" s="319">
        <v>0</v>
      </c>
      <c r="CR28" s="320">
        <v>0</v>
      </c>
      <c r="CS28" s="319">
        <v>0</v>
      </c>
      <c r="CT28" s="320">
        <v>0</v>
      </c>
      <c r="CU28" s="319">
        <v>0</v>
      </c>
      <c r="CV28" s="320">
        <v>0</v>
      </c>
      <c r="CW28" s="319">
        <v>0</v>
      </c>
      <c r="CX28" s="320">
        <v>0</v>
      </c>
      <c r="CY28" s="319">
        <v>0</v>
      </c>
      <c r="CZ28" s="320">
        <v>0</v>
      </c>
      <c r="DA28" s="319">
        <v>0</v>
      </c>
      <c r="DB28" s="320">
        <v>0</v>
      </c>
      <c r="DC28" s="319">
        <v>0</v>
      </c>
      <c r="DD28" s="320">
        <v>0</v>
      </c>
      <c r="DE28" s="319">
        <v>0</v>
      </c>
      <c r="DF28" s="320">
        <v>0</v>
      </c>
      <c r="DG28" s="319">
        <v>0</v>
      </c>
      <c r="DH28" s="320">
        <v>0</v>
      </c>
      <c r="DI28" s="319">
        <v>0</v>
      </c>
      <c r="DJ28" s="320">
        <v>0</v>
      </c>
      <c r="DK28" s="319">
        <v>0</v>
      </c>
      <c r="DL28" s="320">
        <v>0</v>
      </c>
      <c r="DM28" s="319">
        <v>0</v>
      </c>
      <c r="DN28" s="320">
        <v>0</v>
      </c>
      <c r="DO28" s="319">
        <v>0</v>
      </c>
      <c r="DP28" s="320">
        <v>0</v>
      </c>
      <c r="DQ28" s="319">
        <v>0</v>
      </c>
      <c r="DR28" s="320">
        <v>0</v>
      </c>
      <c r="DS28" s="319">
        <v>0</v>
      </c>
      <c r="DT28" s="320">
        <v>0</v>
      </c>
      <c r="DU28" s="319">
        <v>0</v>
      </c>
      <c r="DV28" s="320">
        <v>0</v>
      </c>
      <c r="DW28" s="319">
        <v>0</v>
      </c>
      <c r="DX28" s="320">
        <v>0</v>
      </c>
      <c r="DY28" s="319">
        <v>0</v>
      </c>
      <c r="DZ28" s="320">
        <v>0</v>
      </c>
      <c r="EA28" s="319">
        <v>0</v>
      </c>
      <c r="EB28" s="320">
        <v>0</v>
      </c>
      <c r="EC28" s="319">
        <v>0</v>
      </c>
      <c r="ED28" s="320">
        <v>0</v>
      </c>
      <c r="EE28" s="319">
        <v>0</v>
      </c>
      <c r="EF28" s="320">
        <v>0</v>
      </c>
      <c r="EG28" s="319">
        <v>0</v>
      </c>
      <c r="EH28" s="320">
        <v>0</v>
      </c>
      <c r="EI28" s="319">
        <v>0</v>
      </c>
      <c r="EJ28" s="320">
        <v>0</v>
      </c>
      <c r="EK28" s="319">
        <v>0</v>
      </c>
      <c r="EL28" s="320">
        <v>0</v>
      </c>
      <c r="EM28" s="319">
        <v>0</v>
      </c>
      <c r="EN28" s="320">
        <v>0</v>
      </c>
      <c r="EO28" s="319">
        <v>0</v>
      </c>
      <c r="EP28" s="320">
        <v>0</v>
      </c>
      <c r="EQ28" s="319">
        <v>0</v>
      </c>
      <c r="ER28" s="320">
        <v>0</v>
      </c>
      <c r="ES28" s="319">
        <v>0</v>
      </c>
      <c r="ET28" s="320">
        <v>0</v>
      </c>
      <c r="EU28" s="319">
        <v>0</v>
      </c>
      <c r="EV28" s="320">
        <v>0</v>
      </c>
      <c r="EW28" s="319">
        <v>0</v>
      </c>
      <c r="EX28" s="320">
        <v>0</v>
      </c>
      <c r="EY28" s="319">
        <v>0</v>
      </c>
      <c r="EZ28" s="320">
        <v>0</v>
      </c>
      <c r="FA28" s="319">
        <v>0</v>
      </c>
      <c r="FB28" s="320">
        <v>0</v>
      </c>
      <c r="FC28" s="319">
        <v>0</v>
      </c>
      <c r="FD28" s="320">
        <v>0</v>
      </c>
      <c r="FE28" s="319">
        <v>0</v>
      </c>
      <c r="FF28" s="320">
        <v>0</v>
      </c>
      <c r="FG28" s="319">
        <v>0</v>
      </c>
      <c r="FH28" s="320">
        <v>0</v>
      </c>
      <c r="FI28" s="319">
        <v>0</v>
      </c>
      <c r="FJ28" s="320">
        <v>0</v>
      </c>
      <c r="FK28" s="319">
        <v>0</v>
      </c>
      <c r="FL28" s="320">
        <v>0</v>
      </c>
      <c r="FM28" s="319">
        <v>0</v>
      </c>
      <c r="FN28" s="320">
        <v>0</v>
      </c>
      <c r="FO28" s="319">
        <v>0</v>
      </c>
      <c r="FP28" s="320">
        <v>0</v>
      </c>
      <c r="FQ28" s="319">
        <v>0</v>
      </c>
      <c r="FR28" s="320">
        <v>0</v>
      </c>
      <c r="FS28" s="319">
        <v>0</v>
      </c>
      <c r="FT28" s="320">
        <v>0</v>
      </c>
      <c r="FU28" s="319">
        <v>0</v>
      </c>
      <c r="FV28" s="320">
        <v>0</v>
      </c>
      <c r="FW28" s="319">
        <v>0</v>
      </c>
      <c r="FX28" s="320">
        <v>0</v>
      </c>
      <c r="FY28" s="319">
        <v>0</v>
      </c>
      <c r="FZ28" s="320">
        <v>0</v>
      </c>
      <c r="GA28" s="319">
        <v>0</v>
      </c>
      <c r="GB28" s="320">
        <v>0</v>
      </c>
      <c r="GC28" s="319">
        <v>0</v>
      </c>
      <c r="GD28" s="320">
        <v>0</v>
      </c>
      <c r="GE28" s="319">
        <v>0</v>
      </c>
      <c r="GF28" s="320">
        <v>0</v>
      </c>
      <c r="GG28" s="319">
        <v>0</v>
      </c>
      <c r="GH28" s="320">
        <v>0</v>
      </c>
      <c r="GI28" s="319">
        <v>0</v>
      </c>
      <c r="GJ28" s="320">
        <v>0</v>
      </c>
      <c r="GK28" s="319">
        <v>0</v>
      </c>
      <c r="GL28" s="320">
        <v>0</v>
      </c>
      <c r="GM28" s="319">
        <v>0</v>
      </c>
      <c r="GN28" s="320">
        <v>0</v>
      </c>
      <c r="GO28" s="319">
        <v>0</v>
      </c>
      <c r="GP28" s="320">
        <v>0</v>
      </c>
      <c r="GQ28" s="319">
        <v>0</v>
      </c>
      <c r="GR28" s="320">
        <v>0</v>
      </c>
      <c r="GS28" s="319">
        <v>0</v>
      </c>
      <c r="GT28" s="320">
        <v>0</v>
      </c>
      <c r="GU28" s="319">
        <v>0</v>
      </c>
      <c r="GV28" s="320">
        <v>0</v>
      </c>
      <c r="GW28" s="319">
        <v>0</v>
      </c>
      <c r="GX28" s="320">
        <v>0</v>
      </c>
      <c r="GY28" s="319">
        <v>0</v>
      </c>
      <c r="GZ28" s="320">
        <v>0</v>
      </c>
    </row>
    <row r="29" spans="1:208" s="89" customFormat="1" ht="22.5" customHeight="1" x14ac:dyDescent="0.2">
      <c r="A29" s="287" t="s">
        <v>3193</v>
      </c>
      <c r="B29" s="288" t="s">
        <v>3194</v>
      </c>
      <c r="C29" s="294" t="s">
        <v>3170</v>
      </c>
      <c r="D29" s="290" t="s">
        <v>3195</v>
      </c>
      <c r="E29" s="290" t="s">
        <v>3196</v>
      </c>
      <c r="F29" s="295" t="s">
        <v>3166</v>
      </c>
      <c r="G29" s="295" t="s">
        <v>3167</v>
      </c>
      <c r="H29" s="292" t="s">
        <v>1473</v>
      </c>
      <c r="I29" s="293" t="s">
        <v>1473</v>
      </c>
      <c r="J29" s="340" t="s">
        <v>3174</v>
      </c>
      <c r="K29" s="342" t="s">
        <v>3173</v>
      </c>
      <c r="L29" s="256">
        <f>CONTINUA!BV29</f>
        <v>0</v>
      </c>
      <c r="M29" s="256">
        <f>CONTINUA!BW29</f>
        <v>0</v>
      </c>
      <c r="N29" s="564"/>
      <c r="O29" s="565" t="s">
        <v>3336</v>
      </c>
      <c r="P29" s="566">
        <v>0</v>
      </c>
      <c r="Q29" s="319">
        <v>0</v>
      </c>
      <c r="R29" s="320">
        <v>0</v>
      </c>
      <c r="S29" s="319">
        <v>0</v>
      </c>
      <c r="T29" s="320">
        <v>0</v>
      </c>
      <c r="U29" s="319">
        <v>0</v>
      </c>
      <c r="V29" s="320">
        <v>0</v>
      </c>
      <c r="W29" s="319">
        <v>0</v>
      </c>
      <c r="X29" s="320">
        <v>0</v>
      </c>
      <c r="Y29" s="319">
        <v>0</v>
      </c>
      <c r="Z29" s="320">
        <v>0</v>
      </c>
      <c r="AA29" s="319">
        <v>0</v>
      </c>
      <c r="AB29" s="320">
        <v>0</v>
      </c>
      <c r="AC29" s="319">
        <v>0</v>
      </c>
      <c r="AD29" s="320">
        <v>0</v>
      </c>
      <c r="AE29" s="319">
        <v>0</v>
      </c>
      <c r="AF29" s="320">
        <v>0</v>
      </c>
      <c r="AG29" s="319">
        <v>0</v>
      </c>
      <c r="AH29" s="320">
        <v>0</v>
      </c>
      <c r="AI29" s="319">
        <v>0</v>
      </c>
      <c r="AJ29" s="320">
        <v>0</v>
      </c>
      <c r="AK29" s="319">
        <v>0</v>
      </c>
      <c r="AL29" s="320">
        <v>0</v>
      </c>
      <c r="AM29" s="319">
        <v>0</v>
      </c>
      <c r="AN29" s="320">
        <v>0</v>
      </c>
      <c r="AO29" s="319">
        <v>0</v>
      </c>
      <c r="AP29" s="320">
        <v>0</v>
      </c>
      <c r="AQ29" s="319">
        <v>0</v>
      </c>
      <c r="AR29" s="320">
        <v>0</v>
      </c>
      <c r="AS29" s="319">
        <v>0</v>
      </c>
      <c r="AT29" s="320">
        <v>0</v>
      </c>
      <c r="AU29" s="319">
        <v>0</v>
      </c>
      <c r="AV29" s="320">
        <v>0</v>
      </c>
      <c r="AW29" s="319">
        <v>0</v>
      </c>
      <c r="AX29" s="320">
        <v>0</v>
      </c>
      <c r="AY29" s="319">
        <v>0</v>
      </c>
      <c r="AZ29" s="320">
        <v>0</v>
      </c>
      <c r="BA29" s="319">
        <v>0</v>
      </c>
      <c r="BB29" s="320">
        <v>0</v>
      </c>
      <c r="BC29" s="319">
        <v>0</v>
      </c>
      <c r="BD29" s="320">
        <v>0</v>
      </c>
      <c r="BE29" s="319">
        <v>0</v>
      </c>
      <c r="BF29" s="320">
        <v>0</v>
      </c>
      <c r="BG29" s="319">
        <v>0</v>
      </c>
      <c r="BH29" s="320">
        <v>0</v>
      </c>
      <c r="BI29" s="319">
        <v>0</v>
      </c>
      <c r="BJ29" s="320">
        <v>0</v>
      </c>
      <c r="BK29" s="319">
        <v>0</v>
      </c>
      <c r="BL29" s="320">
        <v>0</v>
      </c>
      <c r="BM29" s="319">
        <v>0</v>
      </c>
      <c r="BN29" s="320">
        <v>0</v>
      </c>
      <c r="BO29" s="319">
        <v>0</v>
      </c>
      <c r="BP29" s="320">
        <v>0</v>
      </c>
      <c r="BQ29" s="319">
        <v>0</v>
      </c>
      <c r="BR29" s="320">
        <v>0</v>
      </c>
      <c r="BS29" s="319">
        <v>0</v>
      </c>
      <c r="BT29" s="320">
        <v>0</v>
      </c>
      <c r="BU29" s="319">
        <v>0</v>
      </c>
      <c r="BV29" s="320">
        <v>0</v>
      </c>
      <c r="BW29" s="319">
        <v>0</v>
      </c>
      <c r="BX29" s="320">
        <v>0</v>
      </c>
      <c r="BY29" s="319">
        <v>0</v>
      </c>
      <c r="BZ29" s="320">
        <v>0</v>
      </c>
      <c r="CA29" s="319">
        <v>0</v>
      </c>
      <c r="CB29" s="320">
        <v>0</v>
      </c>
      <c r="CC29" s="319">
        <v>0</v>
      </c>
      <c r="CD29" s="320">
        <v>0</v>
      </c>
      <c r="CE29" s="319">
        <v>0</v>
      </c>
      <c r="CF29" s="320">
        <v>0</v>
      </c>
      <c r="CG29" s="319">
        <v>0</v>
      </c>
      <c r="CH29" s="320">
        <v>0</v>
      </c>
      <c r="CI29" s="319">
        <v>0</v>
      </c>
      <c r="CJ29" s="320">
        <v>0</v>
      </c>
      <c r="CK29" s="319">
        <v>0</v>
      </c>
      <c r="CL29" s="320">
        <v>0</v>
      </c>
      <c r="CM29" s="319">
        <v>0</v>
      </c>
      <c r="CN29" s="320">
        <v>0</v>
      </c>
      <c r="CO29" s="319">
        <v>0</v>
      </c>
      <c r="CP29" s="320">
        <v>0</v>
      </c>
      <c r="CQ29" s="319">
        <v>0</v>
      </c>
      <c r="CR29" s="320">
        <v>0</v>
      </c>
      <c r="CS29" s="319">
        <v>0</v>
      </c>
      <c r="CT29" s="320">
        <v>0</v>
      </c>
      <c r="CU29" s="319">
        <v>0</v>
      </c>
      <c r="CV29" s="320">
        <v>0</v>
      </c>
      <c r="CW29" s="319">
        <v>0</v>
      </c>
      <c r="CX29" s="320">
        <v>0</v>
      </c>
      <c r="CY29" s="319">
        <v>0</v>
      </c>
      <c r="CZ29" s="320">
        <v>0</v>
      </c>
      <c r="DA29" s="319">
        <v>0</v>
      </c>
      <c r="DB29" s="320">
        <v>0</v>
      </c>
      <c r="DC29" s="319">
        <v>0</v>
      </c>
      <c r="DD29" s="320">
        <v>0</v>
      </c>
      <c r="DE29" s="319">
        <v>0</v>
      </c>
      <c r="DF29" s="320">
        <v>0</v>
      </c>
      <c r="DG29" s="319">
        <v>0</v>
      </c>
      <c r="DH29" s="320">
        <v>0</v>
      </c>
      <c r="DI29" s="319">
        <v>0</v>
      </c>
      <c r="DJ29" s="320">
        <v>0</v>
      </c>
      <c r="DK29" s="319">
        <v>0</v>
      </c>
      <c r="DL29" s="320">
        <v>0</v>
      </c>
      <c r="DM29" s="319">
        <v>0</v>
      </c>
      <c r="DN29" s="320">
        <v>0</v>
      </c>
      <c r="DO29" s="319">
        <v>0</v>
      </c>
      <c r="DP29" s="320">
        <v>0</v>
      </c>
      <c r="DQ29" s="319">
        <v>0</v>
      </c>
      <c r="DR29" s="320">
        <v>0</v>
      </c>
      <c r="DS29" s="319">
        <v>0</v>
      </c>
      <c r="DT29" s="320">
        <v>0</v>
      </c>
      <c r="DU29" s="319">
        <v>0</v>
      </c>
      <c r="DV29" s="320">
        <v>0</v>
      </c>
      <c r="DW29" s="319">
        <v>0</v>
      </c>
      <c r="DX29" s="320">
        <v>0</v>
      </c>
      <c r="DY29" s="319">
        <v>0</v>
      </c>
      <c r="DZ29" s="320">
        <v>0</v>
      </c>
      <c r="EA29" s="319">
        <v>0</v>
      </c>
      <c r="EB29" s="320">
        <v>0</v>
      </c>
      <c r="EC29" s="319">
        <v>0</v>
      </c>
      <c r="ED29" s="320">
        <v>0</v>
      </c>
      <c r="EE29" s="319">
        <v>0</v>
      </c>
      <c r="EF29" s="320">
        <v>0</v>
      </c>
      <c r="EG29" s="319">
        <v>0</v>
      </c>
      <c r="EH29" s="320">
        <v>0</v>
      </c>
      <c r="EI29" s="319">
        <v>0</v>
      </c>
      <c r="EJ29" s="320">
        <v>0</v>
      </c>
      <c r="EK29" s="319">
        <v>0</v>
      </c>
      <c r="EL29" s="320">
        <v>0</v>
      </c>
      <c r="EM29" s="319">
        <v>0</v>
      </c>
      <c r="EN29" s="320">
        <v>0</v>
      </c>
      <c r="EO29" s="319">
        <v>0</v>
      </c>
      <c r="EP29" s="320">
        <v>0</v>
      </c>
      <c r="EQ29" s="319">
        <v>0</v>
      </c>
      <c r="ER29" s="320">
        <v>0</v>
      </c>
      <c r="ES29" s="319">
        <v>0</v>
      </c>
      <c r="ET29" s="320">
        <v>0</v>
      </c>
      <c r="EU29" s="319">
        <v>0</v>
      </c>
      <c r="EV29" s="320">
        <v>0</v>
      </c>
      <c r="EW29" s="319">
        <v>0</v>
      </c>
      <c r="EX29" s="320">
        <v>0</v>
      </c>
      <c r="EY29" s="319">
        <v>0</v>
      </c>
      <c r="EZ29" s="320">
        <v>0</v>
      </c>
      <c r="FA29" s="319">
        <v>0</v>
      </c>
      <c r="FB29" s="320">
        <v>0</v>
      </c>
      <c r="FC29" s="319">
        <v>0</v>
      </c>
      <c r="FD29" s="320">
        <v>0</v>
      </c>
      <c r="FE29" s="319">
        <v>0</v>
      </c>
      <c r="FF29" s="320">
        <v>0</v>
      </c>
      <c r="FG29" s="319">
        <v>0</v>
      </c>
      <c r="FH29" s="320">
        <v>0</v>
      </c>
      <c r="FI29" s="319">
        <v>0</v>
      </c>
      <c r="FJ29" s="320">
        <v>0</v>
      </c>
      <c r="FK29" s="319">
        <v>0</v>
      </c>
      <c r="FL29" s="320">
        <v>0</v>
      </c>
      <c r="FM29" s="319">
        <v>0</v>
      </c>
      <c r="FN29" s="320">
        <v>0</v>
      </c>
      <c r="FO29" s="319">
        <v>0</v>
      </c>
      <c r="FP29" s="320">
        <v>0</v>
      </c>
      <c r="FQ29" s="319">
        <v>0</v>
      </c>
      <c r="FR29" s="320">
        <v>0</v>
      </c>
      <c r="FS29" s="319">
        <v>0</v>
      </c>
      <c r="FT29" s="320">
        <v>0</v>
      </c>
      <c r="FU29" s="319">
        <v>0</v>
      </c>
      <c r="FV29" s="320">
        <v>0</v>
      </c>
      <c r="FW29" s="319">
        <v>0</v>
      </c>
      <c r="FX29" s="320">
        <v>0</v>
      </c>
      <c r="FY29" s="319">
        <v>0</v>
      </c>
      <c r="FZ29" s="320">
        <v>0</v>
      </c>
      <c r="GA29" s="319">
        <v>0</v>
      </c>
      <c r="GB29" s="320">
        <v>0</v>
      </c>
      <c r="GC29" s="319">
        <v>0</v>
      </c>
      <c r="GD29" s="320">
        <v>0</v>
      </c>
      <c r="GE29" s="319">
        <v>0</v>
      </c>
      <c r="GF29" s="320">
        <v>0</v>
      </c>
      <c r="GG29" s="319">
        <v>0</v>
      </c>
      <c r="GH29" s="320">
        <v>0</v>
      </c>
      <c r="GI29" s="319">
        <v>0</v>
      </c>
      <c r="GJ29" s="320">
        <v>0</v>
      </c>
      <c r="GK29" s="319">
        <v>0</v>
      </c>
      <c r="GL29" s="320">
        <v>0</v>
      </c>
      <c r="GM29" s="319">
        <v>0</v>
      </c>
      <c r="GN29" s="320">
        <v>0</v>
      </c>
      <c r="GO29" s="319">
        <v>0</v>
      </c>
      <c r="GP29" s="320">
        <v>0</v>
      </c>
      <c r="GQ29" s="319">
        <v>0</v>
      </c>
      <c r="GR29" s="320">
        <v>0</v>
      </c>
      <c r="GS29" s="319">
        <v>0</v>
      </c>
      <c r="GT29" s="320">
        <v>0</v>
      </c>
      <c r="GU29" s="319">
        <v>0</v>
      </c>
      <c r="GV29" s="320">
        <v>0</v>
      </c>
      <c r="GW29" s="319">
        <v>0</v>
      </c>
      <c r="GX29" s="320">
        <v>0</v>
      </c>
      <c r="GY29" s="319">
        <v>0</v>
      </c>
      <c r="GZ29" s="320">
        <v>0</v>
      </c>
    </row>
    <row r="30" spans="1:208" s="89" customFormat="1" ht="22.5" customHeight="1" thickBot="1" x14ac:dyDescent="0.25">
      <c r="A30" s="296" t="s">
        <v>3193</v>
      </c>
      <c r="B30" s="297" t="s">
        <v>3194</v>
      </c>
      <c r="C30" s="298" t="s">
        <v>3170</v>
      </c>
      <c r="D30" s="299" t="s">
        <v>3195</v>
      </c>
      <c r="E30" s="299" t="s">
        <v>3196</v>
      </c>
      <c r="F30" s="300" t="s">
        <v>3166</v>
      </c>
      <c r="G30" s="300" t="s">
        <v>3167</v>
      </c>
      <c r="H30" s="301" t="s">
        <v>1473</v>
      </c>
      <c r="I30" s="302" t="s">
        <v>1473</v>
      </c>
      <c r="J30" s="340" t="s">
        <v>3174</v>
      </c>
      <c r="K30" s="343" t="s">
        <v>53</v>
      </c>
      <c r="L30" s="256">
        <f>CONTINUA!BV30</f>
        <v>0</v>
      </c>
      <c r="M30" s="256">
        <f>CONTINUA!BW30</f>
        <v>0</v>
      </c>
      <c r="N30" s="564"/>
      <c r="O30" s="565" t="s">
        <v>3336</v>
      </c>
      <c r="P30" s="566">
        <v>0</v>
      </c>
      <c r="Q30" s="319">
        <v>0</v>
      </c>
      <c r="R30" s="320">
        <v>0</v>
      </c>
      <c r="S30" s="319">
        <v>0</v>
      </c>
      <c r="T30" s="320">
        <v>0</v>
      </c>
      <c r="U30" s="321">
        <v>0</v>
      </c>
      <c r="V30" s="322">
        <v>0</v>
      </c>
      <c r="W30" s="319">
        <v>0</v>
      </c>
      <c r="X30" s="320">
        <v>0</v>
      </c>
      <c r="Y30" s="319">
        <v>0</v>
      </c>
      <c r="Z30" s="320">
        <v>0</v>
      </c>
      <c r="AA30" s="321">
        <v>0</v>
      </c>
      <c r="AB30" s="322">
        <v>0</v>
      </c>
      <c r="AC30" s="319">
        <v>0</v>
      </c>
      <c r="AD30" s="320">
        <v>0</v>
      </c>
      <c r="AE30" s="319">
        <v>0</v>
      </c>
      <c r="AF30" s="320">
        <v>0</v>
      </c>
      <c r="AG30" s="321">
        <v>0</v>
      </c>
      <c r="AH30" s="322">
        <v>0</v>
      </c>
      <c r="AI30" s="319">
        <v>0</v>
      </c>
      <c r="AJ30" s="320">
        <v>0</v>
      </c>
      <c r="AK30" s="319">
        <v>0</v>
      </c>
      <c r="AL30" s="320">
        <v>0</v>
      </c>
      <c r="AM30" s="321">
        <v>0</v>
      </c>
      <c r="AN30" s="322">
        <v>0</v>
      </c>
      <c r="AO30" s="319">
        <v>0</v>
      </c>
      <c r="AP30" s="320">
        <v>0</v>
      </c>
      <c r="AQ30" s="319">
        <v>0</v>
      </c>
      <c r="AR30" s="320">
        <v>0</v>
      </c>
      <c r="AS30" s="321">
        <v>0</v>
      </c>
      <c r="AT30" s="322">
        <v>0</v>
      </c>
      <c r="AU30" s="319">
        <v>0</v>
      </c>
      <c r="AV30" s="320">
        <v>0</v>
      </c>
      <c r="AW30" s="319">
        <v>0</v>
      </c>
      <c r="AX30" s="320">
        <v>0</v>
      </c>
      <c r="AY30" s="321">
        <v>0</v>
      </c>
      <c r="AZ30" s="322">
        <v>0</v>
      </c>
      <c r="BA30" s="319">
        <v>0</v>
      </c>
      <c r="BB30" s="320">
        <v>0</v>
      </c>
      <c r="BC30" s="319">
        <v>0</v>
      </c>
      <c r="BD30" s="320">
        <v>0</v>
      </c>
      <c r="BE30" s="321">
        <v>0</v>
      </c>
      <c r="BF30" s="322">
        <v>0</v>
      </c>
      <c r="BG30" s="319">
        <v>0</v>
      </c>
      <c r="BH30" s="320">
        <v>0</v>
      </c>
      <c r="BI30" s="319">
        <v>0</v>
      </c>
      <c r="BJ30" s="320">
        <v>0</v>
      </c>
      <c r="BK30" s="321">
        <v>0</v>
      </c>
      <c r="BL30" s="322">
        <v>0</v>
      </c>
      <c r="BM30" s="319">
        <v>0</v>
      </c>
      <c r="BN30" s="320">
        <v>0</v>
      </c>
      <c r="BO30" s="319">
        <v>0</v>
      </c>
      <c r="BP30" s="320">
        <v>0</v>
      </c>
      <c r="BQ30" s="321">
        <v>0</v>
      </c>
      <c r="BR30" s="322">
        <v>0</v>
      </c>
      <c r="BS30" s="319">
        <v>0</v>
      </c>
      <c r="BT30" s="320">
        <v>0</v>
      </c>
      <c r="BU30" s="319">
        <v>0</v>
      </c>
      <c r="BV30" s="320">
        <v>0</v>
      </c>
      <c r="BW30" s="321">
        <v>0</v>
      </c>
      <c r="BX30" s="322">
        <v>0</v>
      </c>
      <c r="BY30" s="319">
        <v>0</v>
      </c>
      <c r="BZ30" s="320">
        <v>0</v>
      </c>
      <c r="CA30" s="319">
        <v>0</v>
      </c>
      <c r="CB30" s="320">
        <v>0</v>
      </c>
      <c r="CC30" s="321">
        <v>0</v>
      </c>
      <c r="CD30" s="322">
        <v>0</v>
      </c>
      <c r="CE30" s="319">
        <v>0</v>
      </c>
      <c r="CF30" s="320">
        <v>0</v>
      </c>
      <c r="CG30" s="319">
        <v>0</v>
      </c>
      <c r="CH30" s="320">
        <v>0</v>
      </c>
      <c r="CI30" s="321">
        <v>0</v>
      </c>
      <c r="CJ30" s="322">
        <v>0</v>
      </c>
      <c r="CK30" s="319">
        <v>0</v>
      </c>
      <c r="CL30" s="320">
        <v>0</v>
      </c>
      <c r="CM30" s="319">
        <v>0</v>
      </c>
      <c r="CN30" s="320">
        <v>0</v>
      </c>
      <c r="CO30" s="321">
        <v>0</v>
      </c>
      <c r="CP30" s="322">
        <v>0</v>
      </c>
      <c r="CQ30" s="319">
        <v>0</v>
      </c>
      <c r="CR30" s="320">
        <v>0</v>
      </c>
      <c r="CS30" s="319">
        <v>0</v>
      </c>
      <c r="CT30" s="320">
        <v>0</v>
      </c>
      <c r="CU30" s="321">
        <v>0</v>
      </c>
      <c r="CV30" s="322">
        <v>0</v>
      </c>
      <c r="CW30" s="319">
        <v>0</v>
      </c>
      <c r="CX30" s="320">
        <v>0</v>
      </c>
      <c r="CY30" s="319">
        <v>0</v>
      </c>
      <c r="CZ30" s="320">
        <v>0</v>
      </c>
      <c r="DA30" s="321">
        <v>0</v>
      </c>
      <c r="DB30" s="322">
        <v>0</v>
      </c>
      <c r="DC30" s="319">
        <v>0</v>
      </c>
      <c r="DD30" s="320">
        <v>0</v>
      </c>
      <c r="DE30" s="319">
        <v>0</v>
      </c>
      <c r="DF30" s="320">
        <v>0</v>
      </c>
      <c r="DG30" s="321">
        <v>0</v>
      </c>
      <c r="DH30" s="322">
        <v>0</v>
      </c>
      <c r="DI30" s="319">
        <v>0</v>
      </c>
      <c r="DJ30" s="320">
        <v>0</v>
      </c>
      <c r="DK30" s="319">
        <v>0</v>
      </c>
      <c r="DL30" s="320">
        <v>0</v>
      </c>
      <c r="DM30" s="321">
        <v>0</v>
      </c>
      <c r="DN30" s="322">
        <v>0</v>
      </c>
      <c r="DO30" s="319">
        <v>0</v>
      </c>
      <c r="DP30" s="320">
        <v>0</v>
      </c>
      <c r="DQ30" s="319">
        <v>0</v>
      </c>
      <c r="DR30" s="320">
        <v>0</v>
      </c>
      <c r="DS30" s="321">
        <v>0</v>
      </c>
      <c r="DT30" s="322">
        <v>0</v>
      </c>
      <c r="DU30" s="319">
        <v>0</v>
      </c>
      <c r="DV30" s="320">
        <v>0</v>
      </c>
      <c r="DW30" s="319">
        <v>0</v>
      </c>
      <c r="DX30" s="320">
        <v>0</v>
      </c>
      <c r="DY30" s="321">
        <v>0</v>
      </c>
      <c r="DZ30" s="322">
        <v>0</v>
      </c>
      <c r="EA30" s="319">
        <v>0</v>
      </c>
      <c r="EB30" s="320">
        <v>0</v>
      </c>
      <c r="EC30" s="319">
        <v>0</v>
      </c>
      <c r="ED30" s="320">
        <v>0</v>
      </c>
      <c r="EE30" s="321">
        <v>0</v>
      </c>
      <c r="EF30" s="322">
        <v>0</v>
      </c>
      <c r="EG30" s="319">
        <v>0</v>
      </c>
      <c r="EH30" s="320">
        <v>0</v>
      </c>
      <c r="EI30" s="319">
        <v>0</v>
      </c>
      <c r="EJ30" s="320">
        <v>0</v>
      </c>
      <c r="EK30" s="321">
        <v>0</v>
      </c>
      <c r="EL30" s="322">
        <v>0</v>
      </c>
      <c r="EM30" s="319">
        <v>0</v>
      </c>
      <c r="EN30" s="320">
        <v>0</v>
      </c>
      <c r="EO30" s="319">
        <v>0</v>
      </c>
      <c r="EP30" s="320">
        <v>0</v>
      </c>
      <c r="EQ30" s="321">
        <v>0</v>
      </c>
      <c r="ER30" s="322">
        <v>0</v>
      </c>
      <c r="ES30" s="319">
        <v>0</v>
      </c>
      <c r="ET30" s="320">
        <v>0</v>
      </c>
      <c r="EU30" s="319">
        <v>0</v>
      </c>
      <c r="EV30" s="320">
        <v>0</v>
      </c>
      <c r="EW30" s="321">
        <v>0</v>
      </c>
      <c r="EX30" s="322">
        <v>0</v>
      </c>
      <c r="EY30" s="319">
        <v>0</v>
      </c>
      <c r="EZ30" s="320">
        <v>0</v>
      </c>
      <c r="FA30" s="319">
        <v>0</v>
      </c>
      <c r="FB30" s="320">
        <v>0</v>
      </c>
      <c r="FC30" s="321">
        <v>0</v>
      </c>
      <c r="FD30" s="322">
        <v>0</v>
      </c>
      <c r="FE30" s="319">
        <v>0</v>
      </c>
      <c r="FF30" s="320">
        <v>0</v>
      </c>
      <c r="FG30" s="319">
        <v>0</v>
      </c>
      <c r="FH30" s="320">
        <v>0</v>
      </c>
      <c r="FI30" s="321">
        <v>0</v>
      </c>
      <c r="FJ30" s="322">
        <v>0</v>
      </c>
      <c r="FK30" s="319">
        <v>0</v>
      </c>
      <c r="FL30" s="320">
        <v>0</v>
      </c>
      <c r="FM30" s="319">
        <v>0</v>
      </c>
      <c r="FN30" s="320">
        <v>0</v>
      </c>
      <c r="FO30" s="321">
        <v>0</v>
      </c>
      <c r="FP30" s="322">
        <v>0</v>
      </c>
      <c r="FQ30" s="319">
        <v>0</v>
      </c>
      <c r="FR30" s="320">
        <v>0</v>
      </c>
      <c r="FS30" s="319">
        <v>0</v>
      </c>
      <c r="FT30" s="320">
        <v>0</v>
      </c>
      <c r="FU30" s="321">
        <v>0</v>
      </c>
      <c r="FV30" s="322">
        <v>0</v>
      </c>
      <c r="FW30" s="319">
        <v>0</v>
      </c>
      <c r="FX30" s="320">
        <v>0</v>
      </c>
      <c r="FY30" s="319">
        <v>0</v>
      </c>
      <c r="FZ30" s="320">
        <v>0</v>
      </c>
      <c r="GA30" s="321">
        <v>0</v>
      </c>
      <c r="GB30" s="322">
        <v>0</v>
      </c>
      <c r="GC30" s="319">
        <v>0</v>
      </c>
      <c r="GD30" s="320">
        <v>0</v>
      </c>
      <c r="GE30" s="319">
        <v>0</v>
      </c>
      <c r="GF30" s="320">
        <v>0</v>
      </c>
      <c r="GG30" s="321">
        <v>0</v>
      </c>
      <c r="GH30" s="322">
        <v>0</v>
      </c>
      <c r="GI30" s="319">
        <v>0</v>
      </c>
      <c r="GJ30" s="320">
        <v>0</v>
      </c>
      <c r="GK30" s="319">
        <v>0</v>
      </c>
      <c r="GL30" s="320">
        <v>0</v>
      </c>
      <c r="GM30" s="321">
        <v>0</v>
      </c>
      <c r="GN30" s="322">
        <v>0</v>
      </c>
      <c r="GO30" s="319">
        <v>0</v>
      </c>
      <c r="GP30" s="320">
        <v>0</v>
      </c>
      <c r="GQ30" s="319">
        <v>0</v>
      </c>
      <c r="GR30" s="320">
        <v>0</v>
      </c>
      <c r="GS30" s="321">
        <v>0</v>
      </c>
      <c r="GT30" s="322">
        <v>0</v>
      </c>
      <c r="GU30" s="319">
        <v>0</v>
      </c>
      <c r="GV30" s="320">
        <v>0</v>
      </c>
      <c r="GW30" s="319">
        <v>0</v>
      </c>
      <c r="GX30" s="320">
        <v>0</v>
      </c>
      <c r="GY30" s="321">
        <v>0</v>
      </c>
      <c r="GZ30" s="322">
        <v>0</v>
      </c>
    </row>
    <row r="31" spans="1:208" s="89" customFormat="1" ht="22.5" customHeight="1" x14ac:dyDescent="0.2">
      <c r="A31" t="s">
        <v>3197</v>
      </c>
      <c r="B31" s="429" t="s">
        <v>3198</v>
      </c>
      <c r="C31" s="430">
        <v>2</v>
      </c>
      <c r="D31" s="431" t="s">
        <v>3199</v>
      </c>
      <c r="E31" s="431" t="s">
        <v>3200</v>
      </c>
      <c r="F31" s="432" t="s">
        <v>3166</v>
      </c>
      <c r="G31" s="432" t="s">
        <v>3167</v>
      </c>
      <c r="H31" s="270" t="s">
        <v>1476</v>
      </c>
      <c r="I31" s="271" t="s">
        <v>1476</v>
      </c>
      <c r="J31" s="328" t="s">
        <v>3174</v>
      </c>
      <c r="K31" s="329" t="s">
        <v>3169</v>
      </c>
      <c r="L31" s="256">
        <f>CONTINUA!BV31</f>
        <v>0</v>
      </c>
      <c r="M31" s="256">
        <f>CONTINUA!BW31</f>
        <v>4</v>
      </c>
      <c r="N31" s="564"/>
      <c r="O31" s="565" t="s">
        <v>3337</v>
      </c>
      <c r="P31" s="566">
        <v>0</v>
      </c>
      <c r="Q31" s="319">
        <v>0</v>
      </c>
      <c r="R31" s="320">
        <v>2</v>
      </c>
      <c r="S31" s="319">
        <v>0</v>
      </c>
      <c r="T31" s="320">
        <v>1</v>
      </c>
      <c r="U31" s="321">
        <v>0</v>
      </c>
      <c r="V31" s="322">
        <v>0</v>
      </c>
      <c r="W31" s="319">
        <v>0</v>
      </c>
      <c r="X31" s="320">
        <v>2</v>
      </c>
      <c r="Y31" s="319">
        <v>0</v>
      </c>
      <c r="Z31" s="320">
        <v>1</v>
      </c>
      <c r="AA31" s="321">
        <v>0</v>
      </c>
      <c r="AB31" s="322">
        <v>0</v>
      </c>
      <c r="AC31" s="319">
        <v>0</v>
      </c>
      <c r="AD31" s="320">
        <v>2</v>
      </c>
      <c r="AE31" s="319">
        <v>0</v>
      </c>
      <c r="AF31" s="320">
        <v>1</v>
      </c>
      <c r="AG31" s="321">
        <v>0</v>
      </c>
      <c r="AH31" s="322">
        <v>0</v>
      </c>
      <c r="AI31" s="319">
        <v>0</v>
      </c>
      <c r="AJ31" s="320">
        <v>2</v>
      </c>
      <c r="AK31" s="319">
        <v>0</v>
      </c>
      <c r="AL31" s="320">
        <v>1</v>
      </c>
      <c r="AM31" s="321">
        <v>0</v>
      </c>
      <c r="AN31" s="322">
        <v>0</v>
      </c>
      <c r="AO31" s="319">
        <v>0</v>
      </c>
      <c r="AP31" s="320">
        <v>2</v>
      </c>
      <c r="AQ31" s="319">
        <v>0</v>
      </c>
      <c r="AR31" s="320">
        <v>1</v>
      </c>
      <c r="AS31" s="321">
        <v>0</v>
      </c>
      <c r="AT31" s="322">
        <v>0</v>
      </c>
      <c r="AU31" s="319">
        <v>0</v>
      </c>
      <c r="AV31" s="320">
        <v>2</v>
      </c>
      <c r="AW31" s="319">
        <v>0</v>
      </c>
      <c r="AX31" s="320">
        <v>1</v>
      </c>
      <c r="AY31" s="321">
        <v>0</v>
      </c>
      <c r="AZ31" s="322">
        <v>0</v>
      </c>
      <c r="BA31" s="319">
        <v>0</v>
      </c>
      <c r="BB31" s="320">
        <v>2</v>
      </c>
      <c r="BC31" s="319">
        <v>0</v>
      </c>
      <c r="BD31" s="320">
        <v>1</v>
      </c>
      <c r="BE31" s="321">
        <v>0</v>
      </c>
      <c r="BF31" s="322">
        <v>0</v>
      </c>
      <c r="BG31" s="319">
        <v>0</v>
      </c>
      <c r="BH31" s="320">
        <v>2</v>
      </c>
      <c r="BI31" s="319">
        <v>0</v>
      </c>
      <c r="BJ31" s="320">
        <v>1</v>
      </c>
      <c r="BK31" s="321">
        <v>0</v>
      </c>
      <c r="BL31" s="322">
        <v>0</v>
      </c>
      <c r="BM31" s="319">
        <v>0</v>
      </c>
      <c r="BN31" s="320">
        <v>2</v>
      </c>
      <c r="BO31" s="319">
        <v>0</v>
      </c>
      <c r="BP31" s="320">
        <v>1</v>
      </c>
      <c r="BQ31" s="321">
        <v>0</v>
      </c>
      <c r="BR31" s="322">
        <v>0</v>
      </c>
      <c r="BS31" s="319">
        <v>0</v>
      </c>
      <c r="BT31" s="320">
        <v>2</v>
      </c>
      <c r="BU31" s="319">
        <v>0</v>
      </c>
      <c r="BV31" s="320">
        <v>1</v>
      </c>
      <c r="BW31" s="321">
        <v>0</v>
      </c>
      <c r="BX31" s="322">
        <v>0</v>
      </c>
      <c r="BY31" s="319">
        <v>0</v>
      </c>
      <c r="BZ31" s="320">
        <v>2</v>
      </c>
      <c r="CA31" s="319">
        <v>0</v>
      </c>
      <c r="CB31" s="320">
        <v>1</v>
      </c>
      <c r="CC31" s="321">
        <v>0</v>
      </c>
      <c r="CD31" s="322">
        <v>0</v>
      </c>
      <c r="CE31" s="319">
        <v>0</v>
      </c>
      <c r="CF31" s="320">
        <v>2</v>
      </c>
      <c r="CG31" s="319">
        <v>0</v>
      </c>
      <c r="CH31" s="320">
        <v>1</v>
      </c>
      <c r="CI31" s="321">
        <v>0</v>
      </c>
      <c r="CJ31" s="322">
        <v>0</v>
      </c>
      <c r="CK31" s="319">
        <v>0</v>
      </c>
      <c r="CL31" s="320">
        <v>2</v>
      </c>
      <c r="CM31" s="319">
        <v>0</v>
      </c>
      <c r="CN31" s="320">
        <v>1</v>
      </c>
      <c r="CO31" s="321">
        <v>0</v>
      </c>
      <c r="CP31" s="322">
        <v>0</v>
      </c>
      <c r="CQ31" s="319">
        <v>0</v>
      </c>
      <c r="CR31" s="320">
        <v>2</v>
      </c>
      <c r="CS31" s="319">
        <v>0</v>
      </c>
      <c r="CT31" s="320">
        <v>1</v>
      </c>
      <c r="CU31" s="321">
        <v>0</v>
      </c>
      <c r="CV31" s="322">
        <v>0</v>
      </c>
      <c r="CW31" s="319">
        <v>0</v>
      </c>
      <c r="CX31" s="320">
        <v>2</v>
      </c>
      <c r="CY31" s="319">
        <v>0</v>
      </c>
      <c r="CZ31" s="320">
        <v>1</v>
      </c>
      <c r="DA31" s="321">
        <v>0</v>
      </c>
      <c r="DB31" s="322">
        <v>0</v>
      </c>
      <c r="DC31" s="319">
        <v>0</v>
      </c>
      <c r="DD31" s="320">
        <v>2</v>
      </c>
      <c r="DE31" s="319">
        <v>0</v>
      </c>
      <c r="DF31" s="320">
        <v>1</v>
      </c>
      <c r="DG31" s="321">
        <v>0</v>
      </c>
      <c r="DH31" s="322">
        <v>0</v>
      </c>
      <c r="DI31" s="319">
        <v>0</v>
      </c>
      <c r="DJ31" s="320">
        <v>2</v>
      </c>
      <c r="DK31" s="319">
        <v>0</v>
      </c>
      <c r="DL31" s="320">
        <v>1</v>
      </c>
      <c r="DM31" s="321">
        <v>0</v>
      </c>
      <c r="DN31" s="322">
        <v>0</v>
      </c>
      <c r="DO31" s="319">
        <v>0</v>
      </c>
      <c r="DP31" s="320">
        <v>2</v>
      </c>
      <c r="DQ31" s="319">
        <v>0</v>
      </c>
      <c r="DR31" s="320">
        <v>1</v>
      </c>
      <c r="DS31" s="321">
        <v>0</v>
      </c>
      <c r="DT31" s="322">
        <v>0</v>
      </c>
      <c r="DU31" s="319">
        <v>0</v>
      </c>
      <c r="DV31" s="320">
        <v>2</v>
      </c>
      <c r="DW31" s="319">
        <v>0</v>
      </c>
      <c r="DX31" s="320">
        <v>1</v>
      </c>
      <c r="DY31" s="321">
        <v>0</v>
      </c>
      <c r="DZ31" s="322">
        <v>0</v>
      </c>
      <c r="EA31" s="319">
        <v>0</v>
      </c>
      <c r="EB31" s="320">
        <v>2</v>
      </c>
      <c r="EC31" s="319">
        <v>0</v>
      </c>
      <c r="ED31" s="320">
        <v>1</v>
      </c>
      <c r="EE31" s="321">
        <v>0</v>
      </c>
      <c r="EF31" s="322">
        <v>0</v>
      </c>
      <c r="EG31" s="319">
        <v>0</v>
      </c>
      <c r="EH31" s="320">
        <v>2</v>
      </c>
      <c r="EI31" s="319">
        <v>0</v>
      </c>
      <c r="EJ31" s="320">
        <v>1</v>
      </c>
      <c r="EK31" s="321">
        <v>0</v>
      </c>
      <c r="EL31" s="322">
        <v>0</v>
      </c>
      <c r="EM31" s="319">
        <v>0</v>
      </c>
      <c r="EN31" s="320">
        <v>2</v>
      </c>
      <c r="EO31" s="319">
        <v>0</v>
      </c>
      <c r="EP31" s="320">
        <v>1</v>
      </c>
      <c r="EQ31" s="321">
        <v>0</v>
      </c>
      <c r="ER31" s="322">
        <v>0</v>
      </c>
      <c r="ES31" s="319">
        <v>0</v>
      </c>
      <c r="ET31" s="320">
        <v>2</v>
      </c>
      <c r="EU31" s="319">
        <v>0</v>
      </c>
      <c r="EV31" s="320">
        <v>1</v>
      </c>
      <c r="EW31" s="321">
        <v>0</v>
      </c>
      <c r="EX31" s="322">
        <v>0</v>
      </c>
      <c r="EY31" s="319">
        <v>0</v>
      </c>
      <c r="EZ31" s="320">
        <v>2</v>
      </c>
      <c r="FA31" s="319">
        <v>0</v>
      </c>
      <c r="FB31" s="320">
        <v>1</v>
      </c>
      <c r="FC31" s="321">
        <v>0</v>
      </c>
      <c r="FD31" s="322">
        <v>0</v>
      </c>
      <c r="FE31" s="319">
        <v>0</v>
      </c>
      <c r="FF31" s="320">
        <v>2</v>
      </c>
      <c r="FG31" s="319">
        <v>0</v>
      </c>
      <c r="FH31" s="320">
        <v>1</v>
      </c>
      <c r="FI31" s="321">
        <v>0</v>
      </c>
      <c r="FJ31" s="322">
        <v>0</v>
      </c>
      <c r="FK31" s="319">
        <v>0</v>
      </c>
      <c r="FL31" s="320">
        <v>2</v>
      </c>
      <c r="FM31" s="319">
        <v>0</v>
      </c>
      <c r="FN31" s="320">
        <v>1</v>
      </c>
      <c r="FO31" s="321">
        <v>0</v>
      </c>
      <c r="FP31" s="322">
        <v>0</v>
      </c>
      <c r="FQ31" s="319">
        <v>0</v>
      </c>
      <c r="FR31" s="320">
        <v>2</v>
      </c>
      <c r="FS31" s="319">
        <v>0</v>
      </c>
      <c r="FT31" s="320">
        <v>1</v>
      </c>
      <c r="FU31" s="321">
        <v>0</v>
      </c>
      <c r="FV31" s="322">
        <v>0</v>
      </c>
      <c r="FW31" s="319">
        <v>0</v>
      </c>
      <c r="FX31" s="320">
        <v>2</v>
      </c>
      <c r="FY31" s="319">
        <v>0</v>
      </c>
      <c r="FZ31" s="320">
        <v>1</v>
      </c>
      <c r="GA31" s="321">
        <v>0</v>
      </c>
      <c r="GB31" s="322">
        <v>0</v>
      </c>
      <c r="GC31" s="319">
        <v>0</v>
      </c>
      <c r="GD31" s="320">
        <v>2</v>
      </c>
      <c r="GE31" s="319">
        <v>0</v>
      </c>
      <c r="GF31" s="320">
        <v>1</v>
      </c>
      <c r="GG31" s="321">
        <v>0</v>
      </c>
      <c r="GH31" s="322">
        <v>0</v>
      </c>
      <c r="GI31" s="319">
        <v>0</v>
      </c>
      <c r="GJ31" s="320">
        <v>2</v>
      </c>
      <c r="GK31" s="319">
        <v>0</v>
      </c>
      <c r="GL31" s="320">
        <v>1</v>
      </c>
      <c r="GM31" s="321">
        <v>0</v>
      </c>
      <c r="GN31" s="322">
        <v>0</v>
      </c>
      <c r="GO31" s="319">
        <v>0</v>
      </c>
      <c r="GP31" s="320">
        <v>2</v>
      </c>
      <c r="GQ31" s="319">
        <v>0</v>
      </c>
      <c r="GR31" s="320">
        <v>1</v>
      </c>
      <c r="GS31" s="321">
        <v>0</v>
      </c>
      <c r="GT31" s="322">
        <v>0</v>
      </c>
      <c r="GU31" s="319">
        <v>0</v>
      </c>
      <c r="GV31" s="320">
        <v>2</v>
      </c>
      <c r="GW31" s="319">
        <v>0</v>
      </c>
      <c r="GX31" s="320">
        <v>1</v>
      </c>
      <c r="GY31" s="321">
        <v>0</v>
      </c>
      <c r="GZ31" s="322">
        <v>0</v>
      </c>
    </row>
    <row r="32" spans="1:208" s="89" customFormat="1" ht="22.5" customHeight="1" x14ac:dyDescent="0.2">
      <c r="A32" s="287" t="s">
        <v>3197</v>
      </c>
      <c r="B32" s="288" t="s">
        <v>3198</v>
      </c>
      <c r="C32" s="289" t="s">
        <v>3170</v>
      </c>
      <c r="D32" s="290" t="s">
        <v>3199</v>
      </c>
      <c r="E32" s="290" t="s">
        <v>3200</v>
      </c>
      <c r="F32" s="291" t="s">
        <v>3166</v>
      </c>
      <c r="G32" s="291" t="s">
        <v>3167</v>
      </c>
      <c r="H32" s="292" t="s">
        <v>1476</v>
      </c>
      <c r="I32" s="293" t="s">
        <v>1476</v>
      </c>
      <c r="J32" s="340" t="s">
        <v>3174</v>
      </c>
      <c r="K32" s="340" t="s">
        <v>3171</v>
      </c>
      <c r="L32" s="256">
        <f>CONTINUA!BV32</f>
        <v>12</v>
      </c>
      <c r="M32" s="256">
        <f>CONTINUA!BW32</f>
        <v>0</v>
      </c>
      <c r="N32" s="564"/>
      <c r="O32" s="565" t="s">
        <v>3337</v>
      </c>
      <c r="P32" s="566">
        <v>0</v>
      </c>
      <c r="Q32" s="319">
        <v>10</v>
      </c>
      <c r="R32" s="320">
        <v>2</v>
      </c>
      <c r="S32" s="319">
        <v>0</v>
      </c>
      <c r="T32" s="320">
        <v>0</v>
      </c>
      <c r="U32" s="319">
        <v>0</v>
      </c>
      <c r="V32" s="320">
        <v>0</v>
      </c>
      <c r="W32" s="319">
        <v>10</v>
      </c>
      <c r="X32" s="320">
        <v>2</v>
      </c>
      <c r="Y32" s="319">
        <v>0</v>
      </c>
      <c r="Z32" s="320">
        <v>0</v>
      </c>
      <c r="AA32" s="319">
        <v>0</v>
      </c>
      <c r="AB32" s="320">
        <v>0</v>
      </c>
      <c r="AC32" s="319">
        <v>10</v>
      </c>
      <c r="AD32" s="320">
        <v>2</v>
      </c>
      <c r="AE32" s="319">
        <v>0</v>
      </c>
      <c r="AF32" s="320">
        <v>0</v>
      </c>
      <c r="AG32" s="319">
        <v>0</v>
      </c>
      <c r="AH32" s="320">
        <v>0</v>
      </c>
      <c r="AI32" s="319">
        <v>10</v>
      </c>
      <c r="AJ32" s="320">
        <v>2</v>
      </c>
      <c r="AK32" s="319">
        <v>0</v>
      </c>
      <c r="AL32" s="320">
        <v>0</v>
      </c>
      <c r="AM32" s="319">
        <v>0</v>
      </c>
      <c r="AN32" s="320">
        <v>0</v>
      </c>
      <c r="AO32" s="319">
        <v>10</v>
      </c>
      <c r="AP32" s="320">
        <v>2</v>
      </c>
      <c r="AQ32" s="319">
        <v>0</v>
      </c>
      <c r="AR32" s="320">
        <v>0</v>
      </c>
      <c r="AS32" s="319">
        <v>0</v>
      </c>
      <c r="AT32" s="320">
        <v>0</v>
      </c>
      <c r="AU32" s="319">
        <v>10</v>
      </c>
      <c r="AV32" s="320">
        <v>2</v>
      </c>
      <c r="AW32" s="319">
        <v>0</v>
      </c>
      <c r="AX32" s="320">
        <v>0</v>
      </c>
      <c r="AY32" s="319">
        <v>0</v>
      </c>
      <c r="AZ32" s="320">
        <v>0</v>
      </c>
      <c r="BA32" s="319">
        <v>10</v>
      </c>
      <c r="BB32" s="320">
        <v>2</v>
      </c>
      <c r="BC32" s="319">
        <v>0</v>
      </c>
      <c r="BD32" s="320">
        <v>0</v>
      </c>
      <c r="BE32" s="319">
        <v>0</v>
      </c>
      <c r="BF32" s="320">
        <v>0</v>
      </c>
      <c r="BG32" s="319">
        <v>10</v>
      </c>
      <c r="BH32" s="320">
        <v>2</v>
      </c>
      <c r="BI32" s="319">
        <v>0</v>
      </c>
      <c r="BJ32" s="320">
        <v>0</v>
      </c>
      <c r="BK32" s="319">
        <v>0</v>
      </c>
      <c r="BL32" s="320">
        <v>0</v>
      </c>
      <c r="BM32" s="319">
        <v>10</v>
      </c>
      <c r="BN32" s="320">
        <v>2</v>
      </c>
      <c r="BO32" s="319">
        <v>0</v>
      </c>
      <c r="BP32" s="320">
        <v>0</v>
      </c>
      <c r="BQ32" s="319">
        <v>0</v>
      </c>
      <c r="BR32" s="320">
        <v>0</v>
      </c>
      <c r="BS32" s="319">
        <v>10</v>
      </c>
      <c r="BT32" s="320">
        <v>2</v>
      </c>
      <c r="BU32" s="319">
        <v>0</v>
      </c>
      <c r="BV32" s="320">
        <v>0</v>
      </c>
      <c r="BW32" s="319">
        <v>0</v>
      </c>
      <c r="BX32" s="320">
        <v>0</v>
      </c>
      <c r="BY32" s="319">
        <v>10</v>
      </c>
      <c r="BZ32" s="320">
        <v>2</v>
      </c>
      <c r="CA32" s="319">
        <v>0</v>
      </c>
      <c r="CB32" s="320">
        <v>0</v>
      </c>
      <c r="CC32" s="319">
        <v>0</v>
      </c>
      <c r="CD32" s="320">
        <v>0</v>
      </c>
      <c r="CE32" s="319">
        <v>10</v>
      </c>
      <c r="CF32" s="320">
        <v>2</v>
      </c>
      <c r="CG32" s="319">
        <v>0</v>
      </c>
      <c r="CH32" s="320">
        <v>0</v>
      </c>
      <c r="CI32" s="319">
        <v>0</v>
      </c>
      <c r="CJ32" s="320">
        <v>0</v>
      </c>
      <c r="CK32" s="319">
        <v>10</v>
      </c>
      <c r="CL32" s="320">
        <v>2</v>
      </c>
      <c r="CM32" s="319">
        <v>0</v>
      </c>
      <c r="CN32" s="320">
        <v>0</v>
      </c>
      <c r="CO32" s="319">
        <v>0</v>
      </c>
      <c r="CP32" s="320">
        <v>0</v>
      </c>
      <c r="CQ32" s="319">
        <v>10</v>
      </c>
      <c r="CR32" s="320">
        <v>2</v>
      </c>
      <c r="CS32" s="319">
        <v>0</v>
      </c>
      <c r="CT32" s="320">
        <v>0</v>
      </c>
      <c r="CU32" s="319">
        <v>0</v>
      </c>
      <c r="CV32" s="320">
        <v>0</v>
      </c>
      <c r="CW32" s="319">
        <v>10</v>
      </c>
      <c r="CX32" s="320">
        <v>2</v>
      </c>
      <c r="CY32" s="319">
        <v>0</v>
      </c>
      <c r="CZ32" s="320">
        <v>0</v>
      </c>
      <c r="DA32" s="319">
        <v>0</v>
      </c>
      <c r="DB32" s="320">
        <v>0</v>
      </c>
      <c r="DC32" s="319">
        <v>10</v>
      </c>
      <c r="DD32" s="320">
        <v>2</v>
      </c>
      <c r="DE32" s="319">
        <v>0</v>
      </c>
      <c r="DF32" s="320">
        <v>0</v>
      </c>
      <c r="DG32" s="319">
        <v>0</v>
      </c>
      <c r="DH32" s="320">
        <v>0</v>
      </c>
      <c r="DI32" s="319">
        <v>10</v>
      </c>
      <c r="DJ32" s="320">
        <v>2</v>
      </c>
      <c r="DK32" s="319">
        <v>0</v>
      </c>
      <c r="DL32" s="320">
        <v>0</v>
      </c>
      <c r="DM32" s="319">
        <v>0</v>
      </c>
      <c r="DN32" s="320">
        <v>0</v>
      </c>
      <c r="DO32" s="319">
        <v>10</v>
      </c>
      <c r="DP32" s="320">
        <v>2</v>
      </c>
      <c r="DQ32" s="319">
        <v>0</v>
      </c>
      <c r="DR32" s="320">
        <v>0</v>
      </c>
      <c r="DS32" s="319">
        <v>0</v>
      </c>
      <c r="DT32" s="320">
        <v>0</v>
      </c>
      <c r="DU32" s="319">
        <v>10</v>
      </c>
      <c r="DV32" s="320">
        <v>2</v>
      </c>
      <c r="DW32" s="319">
        <v>0</v>
      </c>
      <c r="DX32" s="320">
        <v>0</v>
      </c>
      <c r="DY32" s="319">
        <v>0</v>
      </c>
      <c r="DZ32" s="320">
        <v>0</v>
      </c>
      <c r="EA32" s="319">
        <v>10</v>
      </c>
      <c r="EB32" s="320">
        <v>2</v>
      </c>
      <c r="EC32" s="319">
        <v>0</v>
      </c>
      <c r="ED32" s="320">
        <v>0</v>
      </c>
      <c r="EE32" s="319">
        <v>0</v>
      </c>
      <c r="EF32" s="320">
        <v>0</v>
      </c>
      <c r="EG32" s="319">
        <v>10</v>
      </c>
      <c r="EH32" s="320">
        <v>2</v>
      </c>
      <c r="EI32" s="319">
        <v>0</v>
      </c>
      <c r="EJ32" s="320">
        <v>0</v>
      </c>
      <c r="EK32" s="319">
        <v>0</v>
      </c>
      <c r="EL32" s="320">
        <v>0</v>
      </c>
      <c r="EM32" s="319">
        <v>10</v>
      </c>
      <c r="EN32" s="320">
        <v>2</v>
      </c>
      <c r="EO32" s="319">
        <v>0</v>
      </c>
      <c r="EP32" s="320">
        <v>0</v>
      </c>
      <c r="EQ32" s="319">
        <v>0</v>
      </c>
      <c r="ER32" s="320">
        <v>0</v>
      </c>
      <c r="ES32" s="319">
        <v>10</v>
      </c>
      <c r="ET32" s="320">
        <v>2</v>
      </c>
      <c r="EU32" s="319">
        <v>0</v>
      </c>
      <c r="EV32" s="320">
        <v>0</v>
      </c>
      <c r="EW32" s="319">
        <v>0</v>
      </c>
      <c r="EX32" s="320">
        <v>0</v>
      </c>
      <c r="EY32" s="319">
        <v>10</v>
      </c>
      <c r="EZ32" s="320">
        <v>2</v>
      </c>
      <c r="FA32" s="319">
        <v>0</v>
      </c>
      <c r="FB32" s="320">
        <v>0</v>
      </c>
      <c r="FC32" s="319">
        <v>0</v>
      </c>
      <c r="FD32" s="320">
        <v>0</v>
      </c>
      <c r="FE32" s="319">
        <v>10</v>
      </c>
      <c r="FF32" s="320">
        <v>2</v>
      </c>
      <c r="FG32" s="319">
        <v>0</v>
      </c>
      <c r="FH32" s="320">
        <v>0</v>
      </c>
      <c r="FI32" s="319">
        <v>0</v>
      </c>
      <c r="FJ32" s="320">
        <v>0</v>
      </c>
      <c r="FK32" s="319">
        <v>10</v>
      </c>
      <c r="FL32" s="320">
        <v>2</v>
      </c>
      <c r="FM32" s="319">
        <v>0</v>
      </c>
      <c r="FN32" s="320">
        <v>0</v>
      </c>
      <c r="FO32" s="319">
        <v>0</v>
      </c>
      <c r="FP32" s="320">
        <v>0</v>
      </c>
      <c r="FQ32" s="319">
        <v>10</v>
      </c>
      <c r="FR32" s="320">
        <v>2</v>
      </c>
      <c r="FS32" s="319">
        <v>0</v>
      </c>
      <c r="FT32" s="320">
        <v>0</v>
      </c>
      <c r="FU32" s="319">
        <v>0</v>
      </c>
      <c r="FV32" s="320">
        <v>0</v>
      </c>
      <c r="FW32" s="319">
        <v>10</v>
      </c>
      <c r="FX32" s="320">
        <v>2</v>
      </c>
      <c r="FY32" s="319">
        <v>0</v>
      </c>
      <c r="FZ32" s="320">
        <v>0</v>
      </c>
      <c r="GA32" s="319">
        <v>0</v>
      </c>
      <c r="GB32" s="320">
        <v>0</v>
      </c>
      <c r="GC32" s="319">
        <v>10</v>
      </c>
      <c r="GD32" s="320">
        <v>2</v>
      </c>
      <c r="GE32" s="319">
        <v>0</v>
      </c>
      <c r="GF32" s="320">
        <v>0</v>
      </c>
      <c r="GG32" s="319">
        <v>0</v>
      </c>
      <c r="GH32" s="320">
        <v>0</v>
      </c>
      <c r="GI32" s="319">
        <v>10</v>
      </c>
      <c r="GJ32" s="320">
        <v>2</v>
      </c>
      <c r="GK32" s="319">
        <v>0</v>
      </c>
      <c r="GL32" s="320">
        <v>0</v>
      </c>
      <c r="GM32" s="319">
        <v>0</v>
      </c>
      <c r="GN32" s="320">
        <v>0</v>
      </c>
      <c r="GO32" s="319">
        <v>10</v>
      </c>
      <c r="GP32" s="320">
        <v>2</v>
      </c>
      <c r="GQ32" s="319">
        <v>0</v>
      </c>
      <c r="GR32" s="320">
        <v>0</v>
      </c>
      <c r="GS32" s="319">
        <v>0</v>
      </c>
      <c r="GT32" s="320">
        <v>0</v>
      </c>
      <c r="GU32" s="319">
        <v>10</v>
      </c>
      <c r="GV32" s="320">
        <v>2</v>
      </c>
      <c r="GW32" s="319">
        <v>0</v>
      </c>
      <c r="GX32" s="320">
        <v>0</v>
      </c>
      <c r="GY32" s="319">
        <v>0</v>
      </c>
      <c r="GZ32" s="320">
        <v>0</v>
      </c>
    </row>
    <row r="33" spans="1:208" s="89" customFormat="1" ht="22.5" customHeight="1" x14ac:dyDescent="0.2">
      <c r="A33" s="287" t="s">
        <v>3197</v>
      </c>
      <c r="B33" s="288" t="s">
        <v>3198</v>
      </c>
      <c r="C33" s="294" t="s">
        <v>3170</v>
      </c>
      <c r="D33" s="290" t="s">
        <v>3199</v>
      </c>
      <c r="E33" s="290" t="s">
        <v>3200</v>
      </c>
      <c r="F33" s="295" t="s">
        <v>3166</v>
      </c>
      <c r="G33" s="295" t="s">
        <v>3167</v>
      </c>
      <c r="H33" s="292" t="s">
        <v>1476</v>
      </c>
      <c r="I33" s="293" t="s">
        <v>1476</v>
      </c>
      <c r="J33" s="340" t="s">
        <v>3174</v>
      </c>
      <c r="K33" s="341" t="s">
        <v>3172</v>
      </c>
      <c r="L33" s="256">
        <f>CONTINUA!BV33</f>
        <v>0</v>
      </c>
      <c r="M33" s="256">
        <f>CONTINUA!BW33</f>
        <v>0</v>
      </c>
      <c r="N33" s="564"/>
      <c r="O33" s="565" t="s">
        <v>3337</v>
      </c>
      <c r="P33" s="566">
        <v>0</v>
      </c>
      <c r="Q33" s="319">
        <v>0</v>
      </c>
      <c r="R33" s="320">
        <v>0</v>
      </c>
      <c r="S33" s="319">
        <v>0</v>
      </c>
      <c r="T33" s="320">
        <v>0</v>
      </c>
      <c r="U33" s="319">
        <v>0</v>
      </c>
      <c r="V33" s="320">
        <v>0</v>
      </c>
      <c r="W33" s="319">
        <v>0</v>
      </c>
      <c r="X33" s="320">
        <v>0</v>
      </c>
      <c r="Y33" s="319">
        <v>0</v>
      </c>
      <c r="Z33" s="320">
        <v>0</v>
      </c>
      <c r="AA33" s="319">
        <v>0</v>
      </c>
      <c r="AB33" s="320">
        <v>0</v>
      </c>
      <c r="AC33" s="319">
        <v>0</v>
      </c>
      <c r="AD33" s="320">
        <v>0</v>
      </c>
      <c r="AE33" s="319">
        <v>0</v>
      </c>
      <c r="AF33" s="320">
        <v>0</v>
      </c>
      <c r="AG33" s="319">
        <v>0</v>
      </c>
      <c r="AH33" s="320">
        <v>0</v>
      </c>
      <c r="AI33" s="319">
        <v>0</v>
      </c>
      <c r="AJ33" s="320">
        <v>0</v>
      </c>
      <c r="AK33" s="319">
        <v>0</v>
      </c>
      <c r="AL33" s="320">
        <v>0</v>
      </c>
      <c r="AM33" s="319">
        <v>0</v>
      </c>
      <c r="AN33" s="320">
        <v>0</v>
      </c>
      <c r="AO33" s="319">
        <v>0</v>
      </c>
      <c r="AP33" s="320">
        <v>0</v>
      </c>
      <c r="AQ33" s="319">
        <v>0</v>
      </c>
      <c r="AR33" s="320">
        <v>0</v>
      </c>
      <c r="AS33" s="319">
        <v>0</v>
      </c>
      <c r="AT33" s="320">
        <v>0</v>
      </c>
      <c r="AU33" s="319">
        <v>0</v>
      </c>
      <c r="AV33" s="320">
        <v>0</v>
      </c>
      <c r="AW33" s="319">
        <v>0</v>
      </c>
      <c r="AX33" s="320">
        <v>0</v>
      </c>
      <c r="AY33" s="319">
        <v>0</v>
      </c>
      <c r="AZ33" s="320">
        <v>0</v>
      </c>
      <c r="BA33" s="319">
        <v>0</v>
      </c>
      <c r="BB33" s="320">
        <v>0</v>
      </c>
      <c r="BC33" s="319">
        <v>0</v>
      </c>
      <c r="BD33" s="320">
        <v>0</v>
      </c>
      <c r="BE33" s="319">
        <v>0</v>
      </c>
      <c r="BF33" s="320">
        <v>0</v>
      </c>
      <c r="BG33" s="319">
        <v>0</v>
      </c>
      <c r="BH33" s="320">
        <v>0</v>
      </c>
      <c r="BI33" s="319">
        <v>0</v>
      </c>
      <c r="BJ33" s="320">
        <v>0</v>
      </c>
      <c r="BK33" s="319">
        <v>0</v>
      </c>
      <c r="BL33" s="320">
        <v>0</v>
      </c>
      <c r="BM33" s="319">
        <v>0</v>
      </c>
      <c r="BN33" s="320">
        <v>0</v>
      </c>
      <c r="BO33" s="319">
        <v>0</v>
      </c>
      <c r="BP33" s="320">
        <v>0</v>
      </c>
      <c r="BQ33" s="319">
        <v>0</v>
      </c>
      <c r="BR33" s="320">
        <v>0</v>
      </c>
      <c r="BS33" s="319">
        <v>0</v>
      </c>
      <c r="BT33" s="320">
        <v>0</v>
      </c>
      <c r="BU33" s="319">
        <v>0</v>
      </c>
      <c r="BV33" s="320">
        <v>0</v>
      </c>
      <c r="BW33" s="319">
        <v>0</v>
      </c>
      <c r="BX33" s="320">
        <v>0</v>
      </c>
      <c r="BY33" s="319">
        <v>0</v>
      </c>
      <c r="BZ33" s="320">
        <v>0</v>
      </c>
      <c r="CA33" s="319">
        <v>0</v>
      </c>
      <c r="CB33" s="320">
        <v>0</v>
      </c>
      <c r="CC33" s="319">
        <v>0</v>
      </c>
      <c r="CD33" s="320">
        <v>0</v>
      </c>
      <c r="CE33" s="319">
        <v>0</v>
      </c>
      <c r="CF33" s="320">
        <v>0</v>
      </c>
      <c r="CG33" s="319">
        <v>0</v>
      </c>
      <c r="CH33" s="320">
        <v>0</v>
      </c>
      <c r="CI33" s="319">
        <v>0</v>
      </c>
      <c r="CJ33" s="320">
        <v>0</v>
      </c>
      <c r="CK33" s="319">
        <v>0</v>
      </c>
      <c r="CL33" s="320">
        <v>0</v>
      </c>
      <c r="CM33" s="319">
        <v>0</v>
      </c>
      <c r="CN33" s="320">
        <v>0</v>
      </c>
      <c r="CO33" s="319">
        <v>0</v>
      </c>
      <c r="CP33" s="320">
        <v>0</v>
      </c>
      <c r="CQ33" s="319">
        <v>0</v>
      </c>
      <c r="CR33" s="320">
        <v>0</v>
      </c>
      <c r="CS33" s="319">
        <v>0</v>
      </c>
      <c r="CT33" s="320">
        <v>0</v>
      </c>
      <c r="CU33" s="319">
        <v>0</v>
      </c>
      <c r="CV33" s="320">
        <v>0</v>
      </c>
      <c r="CW33" s="319">
        <v>0</v>
      </c>
      <c r="CX33" s="320">
        <v>0</v>
      </c>
      <c r="CY33" s="319">
        <v>0</v>
      </c>
      <c r="CZ33" s="320">
        <v>0</v>
      </c>
      <c r="DA33" s="319">
        <v>0</v>
      </c>
      <c r="DB33" s="320">
        <v>0</v>
      </c>
      <c r="DC33" s="319">
        <v>0</v>
      </c>
      <c r="DD33" s="320">
        <v>0</v>
      </c>
      <c r="DE33" s="319">
        <v>0</v>
      </c>
      <c r="DF33" s="320">
        <v>0</v>
      </c>
      <c r="DG33" s="319">
        <v>0</v>
      </c>
      <c r="DH33" s="320">
        <v>0</v>
      </c>
      <c r="DI33" s="319">
        <v>0</v>
      </c>
      <c r="DJ33" s="320">
        <v>0</v>
      </c>
      <c r="DK33" s="319">
        <v>0</v>
      </c>
      <c r="DL33" s="320">
        <v>0</v>
      </c>
      <c r="DM33" s="319">
        <v>0</v>
      </c>
      <c r="DN33" s="320">
        <v>0</v>
      </c>
      <c r="DO33" s="319">
        <v>0</v>
      </c>
      <c r="DP33" s="320">
        <v>0</v>
      </c>
      <c r="DQ33" s="319">
        <v>0</v>
      </c>
      <c r="DR33" s="320">
        <v>0</v>
      </c>
      <c r="DS33" s="319">
        <v>0</v>
      </c>
      <c r="DT33" s="320">
        <v>0</v>
      </c>
      <c r="DU33" s="319">
        <v>0</v>
      </c>
      <c r="DV33" s="320">
        <v>0</v>
      </c>
      <c r="DW33" s="319">
        <v>0</v>
      </c>
      <c r="DX33" s="320">
        <v>0</v>
      </c>
      <c r="DY33" s="319">
        <v>0</v>
      </c>
      <c r="DZ33" s="320">
        <v>0</v>
      </c>
      <c r="EA33" s="319">
        <v>0</v>
      </c>
      <c r="EB33" s="320">
        <v>0</v>
      </c>
      <c r="EC33" s="319">
        <v>0</v>
      </c>
      <c r="ED33" s="320">
        <v>0</v>
      </c>
      <c r="EE33" s="319">
        <v>0</v>
      </c>
      <c r="EF33" s="320">
        <v>0</v>
      </c>
      <c r="EG33" s="319">
        <v>0</v>
      </c>
      <c r="EH33" s="320">
        <v>0</v>
      </c>
      <c r="EI33" s="319">
        <v>0</v>
      </c>
      <c r="EJ33" s="320">
        <v>0</v>
      </c>
      <c r="EK33" s="319">
        <v>0</v>
      </c>
      <c r="EL33" s="320">
        <v>0</v>
      </c>
      <c r="EM33" s="319">
        <v>0</v>
      </c>
      <c r="EN33" s="320">
        <v>0</v>
      </c>
      <c r="EO33" s="319">
        <v>0</v>
      </c>
      <c r="EP33" s="320">
        <v>0</v>
      </c>
      <c r="EQ33" s="319">
        <v>0</v>
      </c>
      <c r="ER33" s="320">
        <v>0</v>
      </c>
      <c r="ES33" s="319">
        <v>0</v>
      </c>
      <c r="ET33" s="320">
        <v>0</v>
      </c>
      <c r="EU33" s="319">
        <v>0</v>
      </c>
      <c r="EV33" s="320">
        <v>0</v>
      </c>
      <c r="EW33" s="319">
        <v>0</v>
      </c>
      <c r="EX33" s="320">
        <v>0</v>
      </c>
      <c r="EY33" s="319">
        <v>0</v>
      </c>
      <c r="EZ33" s="320">
        <v>0</v>
      </c>
      <c r="FA33" s="319">
        <v>0</v>
      </c>
      <c r="FB33" s="320">
        <v>0</v>
      </c>
      <c r="FC33" s="319">
        <v>0</v>
      </c>
      <c r="FD33" s="320">
        <v>0</v>
      </c>
      <c r="FE33" s="319">
        <v>0</v>
      </c>
      <c r="FF33" s="320">
        <v>0</v>
      </c>
      <c r="FG33" s="319">
        <v>0</v>
      </c>
      <c r="FH33" s="320">
        <v>0</v>
      </c>
      <c r="FI33" s="319">
        <v>0</v>
      </c>
      <c r="FJ33" s="320">
        <v>0</v>
      </c>
      <c r="FK33" s="319">
        <v>0</v>
      </c>
      <c r="FL33" s="320">
        <v>0</v>
      </c>
      <c r="FM33" s="319">
        <v>0</v>
      </c>
      <c r="FN33" s="320">
        <v>0</v>
      </c>
      <c r="FO33" s="319">
        <v>0</v>
      </c>
      <c r="FP33" s="320">
        <v>0</v>
      </c>
      <c r="FQ33" s="319">
        <v>0</v>
      </c>
      <c r="FR33" s="320">
        <v>0</v>
      </c>
      <c r="FS33" s="319">
        <v>0</v>
      </c>
      <c r="FT33" s="320">
        <v>0</v>
      </c>
      <c r="FU33" s="319">
        <v>0</v>
      </c>
      <c r="FV33" s="320">
        <v>0</v>
      </c>
      <c r="FW33" s="319">
        <v>0</v>
      </c>
      <c r="FX33" s="320">
        <v>0</v>
      </c>
      <c r="FY33" s="319">
        <v>0</v>
      </c>
      <c r="FZ33" s="320">
        <v>0</v>
      </c>
      <c r="GA33" s="319">
        <v>0</v>
      </c>
      <c r="GB33" s="320">
        <v>0</v>
      </c>
      <c r="GC33" s="319">
        <v>0</v>
      </c>
      <c r="GD33" s="320">
        <v>0</v>
      </c>
      <c r="GE33" s="319">
        <v>0</v>
      </c>
      <c r="GF33" s="320">
        <v>0</v>
      </c>
      <c r="GG33" s="319">
        <v>0</v>
      </c>
      <c r="GH33" s="320">
        <v>0</v>
      </c>
      <c r="GI33" s="319">
        <v>0</v>
      </c>
      <c r="GJ33" s="320">
        <v>0</v>
      </c>
      <c r="GK33" s="319">
        <v>0</v>
      </c>
      <c r="GL33" s="320">
        <v>0</v>
      </c>
      <c r="GM33" s="319">
        <v>0</v>
      </c>
      <c r="GN33" s="320">
        <v>0</v>
      </c>
      <c r="GO33" s="319">
        <v>0</v>
      </c>
      <c r="GP33" s="320">
        <v>0</v>
      </c>
      <c r="GQ33" s="319">
        <v>0</v>
      </c>
      <c r="GR33" s="320">
        <v>0</v>
      </c>
      <c r="GS33" s="319">
        <v>0</v>
      </c>
      <c r="GT33" s="320">
        <v>0</v>
      </c>
      <c r="GU33" s="319">
        <v>0</v>
      </c>
      <c r="GV33" s="320">
        <v>0</v>
      </c>
      <c r="GW33" s="319">
        <v>0</v>
      </c>
      <c r="GX33" s="320">
        <v>0</v>
      </c>
      <c r="GY33" s="319">
        <v>0</v>
      </c>
      <c r="GZ33" s="320">
        <v>0</v>
      </c>
    </row>
    <row r="34" spans="1:208" s="89" customFormat="1" ht="22.5" customHeight="1" x14ac:dyDescent="0.2">
      <c r="A34" s="287" t="s">
        <v>3197</v>
      </c>
      <c r="B34" s="288" t="s">
        <v>3198</v>
      </c>
      <c r="C34" s="294" t="s">
        <v>3170</v>
      </c>
      <c r="D34" s="290" t="s">
        <v>3199</v>
      </c>
      <c r="E34" s="290" t="s">
        <v>3200</v>
      </c>
      <c r="F34" s="295" t="s">
        <v>3166</v>
      </c>
      <c r="G34" s="295" t="s">
        <v>3167</v>
      </c>
      <c r="H34" s="292" t="s">
        <v>1476</v>
      </c>
      <c r="I34" s="293" t="s">
        <v>1476</v>
      </c>
      <c r="J34" s="340" t="s">
        <v>3174</v>
      </c>
      <c r="K34" s="342" t="s">
        <v>3173</v>
      </c>
      <c r="L34" s="256">
        <f>CONTINUA!BV34</f>
        <v>0</v>
      </c>
      <c r="M34" s="256">
        <f>CONTINUA!BW34</f>
        <v>0</v>
      </c>
      <c r="N34" s="564"/>
      <c r="O34" s="565" t="s">
        <v>3337</v>
      </c>
      <c r="P34" s="566">
        <v>0</v>
      </c>
      <c r="Q34" s="319">
        <v>0</v>
      </c>
      <c r="R34" s="320">
        <v>0</v>
      </c>
      <c r="S34" s="319">
        <v>0</v>
      </c>
      <c r="T34" s="320">
        <v>0</v>
      </c>
      <c r="U34" s="319">
        <v>0</v>
      </c>
      <c r="V34" s="320">
        <v>0</v>
      </c>
      <c r="W34" s="319">
        <v>0</v>
      </c>
      <c r="X34" s="320">
        <v>0</v>
      </c>
      <c r="Y34" s="319">
        <v>0</v>
      </c>
      <c r="Z34" s="320">
        <v>0</v>
      </c>
      <c r="AA34" s="319">
        <v>0</v>
      </c>
      <c r="AB34" s="320">
        <v>0</v>
      </c>
      <c r="AC34" s="319">
        <v>0</v>
      </c>
      <c r="AD34" s="320">
        <v>0</v>
      </c>
      <c r="AE34" s="319">
        <v>0</v>
      </c>
      <c r="AF34" s="320">
        <v>0</v>
      </c>
      <c r="AG34" s="319">
        <v>0</v>
      </c>
      <c r="AH34" s="320">
        <v>0</v>
      </c>
      <c r="AI34" s="319">
        <v>0</v>
      </c>
      <c r="AJ34" s="320">
        <v>0</v>
      </c>
      <c r="AK34" s="319">
        <v>0</v>
      </c>
      <c r="AL34" s="320">
        <v>0</v>
      </c>
      <c r="AM34" s="319">
        <v>0</v>
      </c>
      <c r="AN34" s="320">
        <v>0</v>
      </c>
      <c r="AO34" s="319">
        <v>0</v>
      </c>
      <c r="AP34" s="320">
        <v>0</v>
      </c>
      <c r="AQ34" s="319">
        <v>0</v>
      </c>
      <c r="AR34" s="320">
        <v>0</v>
      </c>
      <c r="AS34" s="319">
        <v>0</v>
      </c>
      <c r="AT34" s="320">
        <v>0</v>
      </c>
      <c r="AU34" s="319">
        <v>0</v>
      </c>
      <c r="AV34" s="320">
        <v>0</v>
      </c>
      <c r="AW34" s="319">
        <v>0</v>
      </c>
      <c r="AX34" s="320">
        <v>0</v>
      </c>
      <c r="AY34" s="319">
        <v>0</v>
      </c>
      <c r="AZ34" s="320">
        <v>0</v>
      </c>
      <c r="BA34" s="319">
        <v>0</v>
      </c>
      <c r="BB34" s="320">
        <v>0</v>
      </c>
      <c r="BC34" s="319">
        <v>0</v>
      </c>
      <c r="BD34" s="320">
        <v>0</v>
      </c>
      <c r="BE34" s="319">
        <v>0</v>
      </c>
      <c r="BF34" s="320">
        <v>0</v>
      </c>
      <c r="BG34" s="319">
        <v>0</v>
      </c>
      <c r="BH34" s="320">
        <v>0</v>
      </c>
      <c r="BI34" s="319">
        <v>0</v>
      </c>
      <c r="BJ34" s="320">
        <v>0</v>
      </c>
      <c r="BK34" s="319">
        <v>0</v>
      </c>
      <c r="BL34" s="320">
        <v>0</v>
      </c>
      <c r="BM34" s="319">
        <v>0</v>
      </c>
      <c r="BN34" s="320">
        <v>0</v>
      </c>
      <c r="BO34" s="319">
        <v>0</v>
      </c>
      <c r="BP34" s="320">
        <v>0</v>
      </c>
      <c r="BQ34" s="319">
        <v>0</v>
      </c>
      <c r="BR34" s="320">
        <v>0</v>
      </c>
      <c r="BS34" s="319">
        <v>0</v>
      </c>
      <c r="BT34" s="320">
        <v>0</v>
      </c>
      <c r="BU34" s="319">
        <v>0</v>
      </c>
      <c r="BV34" s="320">
        <v>0</v>
      </c>
      <c r="BW34" s="319">
        <v>0</v>
      </c>
      <c r="BX34" s="320">
        <v>0</v>
      </c>
      <c r="BY34" s="319">
        <v>0</v>
      </c>
      <c r="BZ34" s="320">
        <v>0</v>
      </c>
      <c r="CA34" s="319">
        <v>0</v>
      </c>
      <c r="CB34" s="320">
        <v>0</v>
      </c>
      <c r="CC34" s="319">
        <v>0</v>
      </c>
      <c r="CD34" s="320">
        <v>0</v>
      </c>
      <c r="CE34" s="319">
        <v>0</v>
      </c>
      <c r="CF34" s="320">
        <v>0</v>
      </c>
      <c r="CG34" s="319">
        <v>0</v>
      </c>
      <c r="CH34" s="320">
        <v>0</v>
      </c>
      <c r="CI34" s="319">
        <v>0</v>
      </c>
      <c r="CJ34" s="320">
        <v>0</v>
      </c>
      <c r="CK34" s="319">
        <v>0</v>
      </c>
      <c r="CL34" s="320">
        <v>0</v>
      </c>
      <c r="CM34" s="319">
        <v>0</v>
      </c>
      <c r="CN34" s="320">
        <v>0</v>
      </c>
      <c r="CO34" s="319">
        <v>0</v>
      </c>
      <c r="CP34" s="320">
        <v>0</v>
      </c>
      <c r="CQ34" s="319">
        <v>0</v>
      </c>
      <c r="CR34" s="320">
        <v>0</v>
      </c>
      <c r="CS34" s="319">
        <v>0</v>
      </c>
      <c r="CT34" s="320">
        <v>0</v>
      </c>
      <c r="CU34" s="319">
        <v>0</v>
      </c>
      <c r="CV34" s="320">
        <v>0</v>
      </c>
      <c r="CW34" s="319">
        <v>0</v>
      </c>
      <c r="CX34" s="320">
        <v>0</v>
      </c>
      <c r="CY34" s="319">
        <v>0</v>
      </c>
      <c r="CZ34" s="320">
        <v>0</v>
      </c>
      <c r="DA34" s="319">
        <v>0</v>
      </c>
      <c r="DB34" s="320">
        <v>0</v>
      </c>
      <c r="DC34" s="319">
        <v>0</v>
      </c>
      <c r="DD34" s="320">
        <v>0</v>
      </c>
      <c r="DE34" s="319">
        <v>0</v>
      </c>
      <c r="DF34" s="320">
        <v>0</v>
      </c>
      <c r="DG34" s="319">
        <v>0</v>
      </c>
      <c r="DH34" s="320">
        <v>0</v>
      </c>
      <c r="DI34" s="319">
        <v>0</v>
      </c>
      <c r="DJ34" s="320">
        <v>0</v>
      </c>
      <c r="DK34" s="319">
        <v>0</v>
      </c>
      <c r="DL34" s="320">
        <v>0</v>
      </c>
      <c r="DM34" s="319">
        <v>0</v>
      </c>
      <c r="DN34" s="320">
        <v>0</v>
      </c>
      <c r="DO34" s="319">
        <v>0</v>
      </c>
      <c r="DP34" s="320">
        <v>0</v>
      </c>
      <c r="DQ34" s="319">
        <v>0</v>
      </c>
      <c r="DR34" s="320">
        <v>0</v>
      </c>
      <c r="DS34" s="319">
        <v>0</v>
      </c>
      <c r="DT34" s="320">
        <v>0</v>
      </c>
      <c r="DU34" s="319">
        <v>0</v>
      </c>
      <c r="DV34" s="320">
        <v>0</v>
      </c>
      <c r="DW34" s="319">
        <v>0</v>
      </c>
      <c r="DX34" s="320">
        <v>0</v>
      </c>
      <c r="DY34" s="319">
        <v>0</v>
      </c>
      <c r="DZ34" s="320">
        <v>0</v>
      </c>
      <c r="EA34" s="319">
        <v>0</v>
      </c>
      <c r="EB34" s="320">
        <v>0</v>
      </c>
      <c r="EC34" s="319">
        <v>0</v>
      </c>
      <c r="ED34" s="320">
        <v>0</v>
      </c>
      <c r="EE34" s="319">
        <v>0</v>
      </c>
      <c r="EF34" s="320">
        <v>0</v>
      </c>
      <c r="EG34" s="319">
        <v>0</v>
      </c>
      <c r="EH34" s="320">
        <v>0</v>
      </c>
      <c r="EI34" s="319">
        <v>0</v>
      </c>
      <c r="EJ34" s="320">
        <v>0</v>
      </c>
      <c r="EK34" s="319">
        <v>0</v>
      </c>
      <c r="EL34" s="320">
        <v>0</v>
      </c>
      <c r="EM34" s="319">
        <v>0</v>
      </c>
      <c r="EN34" s="320">
        <v>0</v>
      </c>
      <c r="EO34" s="319">
        <v>0</v>
      </c>
      <c r="EP34" s="320">
        <v>0</v>
      </c>
      <c r="EQ34" s="319">
        <v>0</v>
      </c>
      <c r="ER34" s="320">
        <v>0</v>
      </c>
      <c r="ES34" s="319">
        <v>0</v>
      </c>
      <c r="ET34" s="320">
        <v>0</v>
      </c>
      <c r="EU34" s="319">
        <v>0</v>
      </c>
      <c r="EV34" s="320">
        <v>0</v>
      </c>
      <c r="EW34" s="319">
        <v>0</v>
      </c>
      <c r="EX34" s="320">
        <v>0</v>
      </c>
      <c r="EY34" s="319">
        <v>0</v>
      </c>
      <c r="EZ34" s="320">
        <v>0</v>
      </c>
      <c r="FA34" s="319">
        <v>0</v>
      </c>
      <c r="FB34" s="320">
        <v>0</v>
      </c>
      <c r="FC34" s="319">
        <v>0</v>
      </c>
      <c r="FD34" s="320">
        <v>0</v>
      </c>
      <c r="FE34" s="319">
        <v>0</v>
      </c>
      <c r="FF34" s="320">
        <v>0</v>
      </c>
      <c r="FG34" s="319">
        <v>0</v>
      </c>
      <c r="FH34" s="320">
        <v>0</v>
      </c>
      <c r="FI34" s="319">
        <v>0</v>
      </c>
      <c r="FJ34" s="320">
        <v>0</v>
      </c>
      <c r="FK34" s="319">
        <v>0</v>
      </c>
      <c r="FL34" s="320">
        <v>0</v>
      </c>
      <c r="FM34" s="319">
        <v>0</v>
      </c>
      <c r="FN34" s="320">
        <v>0</v>
      </c>
      <c r="FO34" s="319">
        <v>0</v>
      </c>
      <c r="FP34" s="320">
        <v>0</v>
      </c>
      <c r="FQ34" s="319">
        <v>0</v>
      </c>
      <c r="FR34" s="320">
        <v>0</v>
      </c>
      <c r="FS34" s="319">
        <v>0</v>
      </c>
      <c r="FT34" s="320">
        <v>0</v>
      </c>
      <c r="FU34" s="319">
        <v>0</v>
      </c>
      <c r="FV34" s="320">
        <v>0</v>
      </c>
      <c r="FW34" s="319">
        <v>0</v>
      </c>
      <c r="FX34" s="320">
        <v>0</v>
      </c>
      <c r="FY34" s="319">
        <v>0</v>
      </c>
      <c r="FZ34" s="320">
        <v>0</v>
      </c>
      <c r="GA34" s="319">
        <v>0</v>
      </c>
      <c r="GB34" s="320">
        <v>0</v>
      </c>
      <c r="GC34" s="319">
        <v>0</v>
      </c>
      <c r="GD34" s="320">
        <v>0</v>
      </c>
      <c r="GE34" s="319">
        <v>0</v>
      </c>
      <c r="GF34" s="320">
        <v>0</v>
      </c>
      <c r="GG34" s="319">
        <v>0</v>
      </c>
      <c r="GH34" s="320">
        <v>0</v>
      </c>
      <c r="GI34" s="319">
        <v>0</v>
      </c>
      <c r="GJ34" s="320">
        <v>0</v>
      </c>
      <c r="GK34" s="319">
        <v>0</v>
      </c>
      <c r="GL34" s="320">
        <v>0</v>
      </c>
      <c r="GM34" s="319">
        <v>0</v>
      </c>
      <c r="GN34" s="320">
        <v>0</v>
      </c>
      <c r="GO34" s="319">
        <v>0</v>
      </c>
      <c r="GP34" s="320">
        <v>0</v>
      </c>
      <c r="GQ34" s="319">
        <v>0</v>
      </c>
      <c r="GR34" s="320">
        <v>0</v>
      </c>
      <c r="GS34" s="319">
        <v>0</v>
      </c>
      <c r="GT34" s="320">
        <v>0</v>
      </c>
      <c r="GU34" s="319">
        <v>0</v>
      </c>
      <c r="GV34" s="320">
        <v>0</v>
      </c>
      <c r="GW34" s="319">
        <v>0</v>
      </c>
      <c r="GX34" s="320">
        <v>0</v>
      </c>
      <c r="GY34" s="319">
        <v>0</v>
      </c>
      <c r="GZ34" s="320">
        <v>0</v>
      </c>
    </row>
    <row r="35" spans="1:208" s="89" customFormat="1" ht="22.5" customHeight="1" thickBot="1" x14ac:dyDescent="0.25">
      <c r="A35" s="296" t="s">
        <v>3197</v>
      </c>
      <c r="B35" s="297" t="s">
        <v>3198</v>
      </c>
      <c r="C35" s="298" t="s">
        <v>3170</v>
      </c>
      <c r="D35" s="299" t="s">
        <v>3199</v>
      </c>
      <c r="E35" s="299" t="s">
        <v>3200</v>
      </c>
      <c r="F35" s="300" t="s">
        <v>3166</v>
      </c>
      <c r="G35" s="300" t="s">
        <v>3167</v>
      </c>
      <c r="H35" s="301" t="s">
        <v>1476</v>
      </c>
      <c r="I35" s="302" t="s">
        <v>1476</v>
      </c>
      <c r="J35" s="340" t="s">
        <v>3174</v>
      </c>
      <c r="K35" s="343" t="s">
        <v>53</v>
      </c>
      <c r="L35" s="256">
        <f>CONTINUA!BV35</f>
        <v>0</v>
      </c>
      <c r="M35" s="256">
        <f>CONTINUA!BW35</f>
        <v>0</v>
      </c>
      <c r="N35" s="564"/>
      <c r="O35" s="565" t="s">
        <v>3337</v>
      </c>
      <c r="P35" s="566">
        <v>0</v>
      </c>
      <c r="Q35" s="319">
        <v>0</v>
      </c>
      <c r="R35" s="320">
        <v>0</v>
      </c>
      <c r="S35" s="319">
        <v>0</v>
      </c>
      <c r="T35" s="320">
        <v>0</v>
      </c>
      <c r="U35" s="321">
        <v>0</v>
      </c>
      <c r="V35" s="322">
        <v>0</v>
      </c>
      <c r="W35" s="319">
        <v>0</v>
      </c>
      <c r="X35" s="320">
        <v>0</v>
      </c>
      <c r="Y35" s="319">
        <v>0</v>
      </c>
      <c r="Z35" s="320">
        <v>0</v>
      </c>
      <c r="AA35" s="321">
        <v>0</v>
      </c>
      <c r="AB35" s="322">
        <v>0</v>
      </c>
      <c r="AC35" s="319">
        <v>0</v>
      </c>
      <c r="AD35" s="320">
        <v>0</v>
      </c>
      <c r="AE35" s="319">
        <v>0</v>
      </c>
      <c r="AF35" s="320">
        <v>0</v>
      </c>
      <c r="AG35" s="321">
        <v>0</v>
      </c>
      <c r="AH35" s="322">
        <v>0</v>
      </c>
      <c r="AI35" s="319">
        <v>0</v>
      </c>
      <c r="AJ35" s="320">
        <v>0</v>
      </c>
      <c r="AK35" s="319">
        <v>0</v>
      </c>
      <c r="AL35" s="320">
        <v>0</v>
      </c>
      <c r="AM35" s="321">
        <v>0</v>
      </c>
      <c r="AN35" s="322">
        <v>0</v>
      </c>
      <c r="AO35" s="319">
        <v>0</v>
      </c>
      <c r="AP35" s="320">
        <v>0</v>
      </c>
      <c r="AQ35" s="319">
        <v>0</v>
      </c>
      <c r="AR35" s="320">
        <v>0</v>
      </c>
      <c r="AS35" s="321">
        <v>0</v>
      </c>
      <c r="AT35" s="322">
        <v>0</v>
      </c>
      <c r="AU35" s="319">
        <v>0</v>
      </c>
      <c r="AV35" s="320">
        <v>0</v>
      </c>
      <c r="AW35" s="319">
        <v>0</v>
      </c>
      <c r="AX35" s="320">
        <v>0</v>
      </c>
      <c r="AY35" s="321">
        <v>0</v>
      </c>
      <c r="AZ35" s="322">
        <v>0</v>
      </c>
      <c r="BA35" s="319">
        <v>0</v>
      </c>
      <c r="BB35" s="320">
        <v>0</v>
      </c>
      <c r="BC35" s="319">
        <v>0</v>
      </c>
      <c r="BD35" s="320">
        <v>0</v>
      </c>
      <c r="BE35" s="321">
        <v>0</v>
      </c>
      <c r="BF35" s="322">
        <v>0</v>
      </c>
      <c r="BG35" s="319">
        <v>0</v>
      </c>
      <c r="BH35" s="320">
        <v>0</v>
      </c>
      <c r="BI35" s="319">
        <v>0</v>
      </c>
      <c r="BJ35" s="320">
        <v>0</v>
      </c>
      <c r="BK35" s="321">
        <v>0</v>
      </c>
      <c r="BL35" s="322">
        <v>0</v>
      </c>
      <c r="BM35" s="319">
        <v>0</v>
      </c>
      <c r="BN35" s="320">
        <v>0</v>
      </c>
      <c r="BO35" s="319">
        <v>0</v>
      </c>
      <c r="BP35" s="320">
        <v>0</v>
      </c>
      <c r="BQ35" s="321">
        <v>0</v>
      </c>
      <c r="BR35" s="322">
        <v>0</v>
      </c>
      <c r="BS35" s="319">
        <v>0</v>
      </c>
      <c r="BT35" s="320">
        <v>0</v>
      </c>
      <c r="BU35" s="319">
        <v>0</v>
      </c>
      <c r="BV35" s="320">
        <v>0</v>
      </c>
      <c r="BW35" s="321">
        <v>0</v>
      </c>
      <c r="BX35" s="322">
        <v>0</v>
      </c>
      <c r="BY35" s="319">
        <v>0</v>
      </c>
      <c r="BZ35" s="320">
        <v>0</v>
      </c>
      <c r="CA35" s="319">
        <v>0</v>
      </c>
      <c r="CB35" s="320">
        <v>0</v>
      </c>
      <c r="CC35" s="321">
        <v>0</v>
      </c>
      <c r="CD35" s="322">
        <v>0</v>
      </c>
      <c r="CE35" s="319">
        <v>0</v>
      </c>
      <c r="CF35" s="320">
        <v>0</v>
      </c>
      <c r="CG35" s="319">
        <v>0</v>
      </c>
      <c r="CH35" s="320">
        <v>0</v>
      </c>
      <c r="CI35" s="321">
        <v>0</v>
      </c>
      <c r="CJ35" s="322">
        <v>0</v>
      </c>
      <c r="CK35" s="319">
        <v>0</v>
      </c>
      <c r="CL35" s="320">
        <v>0</v>
      </c>
      <c r="CM35" s="319">
        <v>0</v>
      </c>
      <c r="CN35" s="320">
        <v>0</v>
      </c>
      <c r="CO35" s="321">
        <v>0</v>
      </c>
      <c r="CP35" s="322">
        <v>0</v>
      </c>
      <c r="CQ35" s="319">
        <v>0</v>
      </c>
      <c r="CR35" s="320">
        <v>0</v>
      </c>
      <c r="CS35" s="319">
        <v>0</v>
      </c>
      <c r="CT35" s="320">
        <v>0</v>
      </c>
      <c r="CU35" s="321">
        <v>0</v>
      </c>
      <c r="CV35" s="322">
        <v>0</v>
      </c>
      <c r="CW35" s="319">
        <v>0</v>
      </c>
      <c r="CX35" s="320">
        <v>0</v>
      </c>
      <c r="CY35" s="319">
        <v>0</v>
      </c>
      <c r="CZ35" s="320">
        <v>0</v>
      </c>
      <c r="DA35" s="321">
        <v>0</v>
      </c>
      <c r="DB35" s="322">
        <v>0</v>
      </c>
      <c r="DC35" s="319">
        <v>0</v>
      </c>
      <c r="DD35" s="320">
        <v>0</v>
      </c>
      <c r="DE35" s="319">
        <v>0</v>
      </c>
      <c r="DF35" s="320">
        <v>0</v>
      </c>
      <c r="DG35" s="321">
        <v>0</v>
      </c>
      <c r="DH35" s="322">
        <v>0</v>
      </c>
      <c r="DI35" s="319">
        <v>0</v>
      </c>
      <c r="DJ35" s="320">
        <v>0</v>
      </c>
      <c r="DK35" s="319">
        <v>0</v>
      </c>
      <c r="DL35" s="320">
        <v>0</v>
      </c>
      <c r="DM35" s="321">
        <v>0</v>
      </c>
      <c r="DN35" s="322">
        <v>0</v>
      </c>
      <c r="DO35" s="319">
        <v>0</v>
      </c>
      <c r="DP35" s="320">
        <v>0</v>
      </c>
      <c r="DQ35" s="319">
        <v>0</v>
      </c>
      <c r="DR35" s="320">
        <v>0</v>
      </c>
      <c r="DS35" s="321">
        <v>0</v>
      </c>
      <c r="DT35" s="322">
        <v>0</v>
      </c>
      <c r="DU35" s="319">
        <v>0</v>
      </c>
      <c r="DV35" s="320">
        <v>0</v>
      </c>
      <c r="DW35" s="319">
        <v>0</v>
      </c>
      <c r="DX35" s="320">
        <v>0</v>
      </c>
      <c r="DY35" s="321">
        <v>0</v>
      </c>
      <c r="DZ35" s="322">
        <v>0</v>
      </c>
      <c r="EA35" s="319">
        <v>0</v>
      </c>
      <c r="EB35" s="320">
        <v>0</v>
      </c>
      <c r="EC35" s="319">
        <v>0</v>
      </c>
      <c r="ED35" s="320">
        <v>0</v>
      </c>
      <c r="EE35" s="321">
        <v>0</v>
      </c>
      <c r="EF35" s="322">
        <v>0</v>
      </c>
      <c r="EG35" s="319">
        <v>0</v>
      </c>
      <c r="EH35" s="320">
        <v>0</v>
      </c>
      <c r="EI35" s="319">
        <v>0</v>
      </c>
      <c r="EJ35" s="320">
        <v>0</v>
      </c>
      <c r="EK35" s="321">
        <v>0</v>
      </c>
      <c r="EL35" s="322">
        <v>0</v>
      </c>
      <c r="EM35" s="319">
        <v>0</v>
      </c>
      <c r="EN35" s="320">
        <v>0</v>
      </c>
      <c r="EO35" s="319">
        <v>0</v>
      </c>
      <c r="EP35" s="320">
        <v>0</v>
      </c>
      <c r="EQ35" s="321">
        <v>0</v>
      </c>
      <c r="ER35" s="322">
        <v>0</v>
      </c>
      <c r="ES35" s="319">
        <v>0</v>
      </c>
      <c r="ET35" s="320">
        <v>0</v>
      </c>
      <c r="EU35" s="319">
        <v>0</v>
      </c>
      <c r="EV35" s="320">
        <v>0</v>
      </c>
      <c r="EW35" s="321">
        <v>0</v>
      </c>
      <c r="EX35" s="322">
        <v>0</v>
      </c>
      <c r="EY35" s="319">
        <v>0</v>
      </c>
      <c r="EZ35" s="320">
        <v>0</v>
      </c>
      <c r="FA35" s="319">
        <v>0</v>
      </c>
      <c r="FB35" s="320">
        <v>0</v>
      </c>
      <c r="FC35" s="321">
        <v>0</v>
      </c>
      <c r="FD35" s="322">
        <v>0</v>
      </c>
      <c r="FE35" s="319">
        <v>0</v>
      </c>
      <c r="FF35" s="320">
        <v>0</v>
      </c>
      <c r="FG35" s="319">
        <v>0</v>
      </c>
      <c r="FH35" s="320">
        <v>0</v>
      </c>
      <c r="FI35" s="321">
        <v>0</v>
      </c>
      <c r="FJ35" s="322">
        <v>0</v>
      </c>
      <c r="FK35" s="319">
        <v>0</v>
      </c>
      <c r="FL35" s="320">
        <v>0</v>
      </c>
      <c r="FM35" s="319">
        <v>0</v>
      </c>
      <c r="FN35" s="320">
        <v>0</v>
      </c>
      <c r="FO35" s="321">
        <v>0</v>
      </c>
      <c r="FP35" s="322">
        <v>0</v>
      </c>
      <c r="FQ35" s="319">
        <v>0</v>
      </c>
      <c r="FR35" s="320">
        <v>0</v>
      </c>
      <c r="FS35" s="319">
        <v>0</v>
      </c>
      <c r="FT35" s="320">
        <v>0</v>
      </c>
      <c r="FU35" s="321">
        <v>0</v>
      </c>
      <c r="FV35" s="322">
        <v>0</v>
      </c>
      <c r="FW35" s="319">
        <v>0</v>
      </c>
      <c r="FX35" s="320">
        <v>0</v>
      </c>
      <c r="FY35" s="319">
        <v>0</v>
      </c>
      <c r="FZ35" s="320">
        <v>0</v>
      </c>
      <c r="GA35" s="321">
        <v>0</v>
      </c>
      <c r="GB35" s="322">
        <v>0</v>
      </c>
      <c r="GC35" s="319">
        <v>0</v>
      </c>
      <c r="GD35" s="320">
        <v>0</v>
      </c>
      <c r="GE35" s="319">
        <v>0</v>
      </c>
      <c r="GF35" s="320">
        <v>0</v>
      </c>
      <c r="GG35" s="321">
        <v>0</v>
      </c>
      <c r="GH35" s="322">
        <v>0</v>
      </c>
      <c r="GI35" s="319">
        <v>0</v>
      </c>
      <c r="GJ35" s="320">
        <v>0</v>
      </c>
      <c r="GK35" s="319">
        <v>0</v>
      </c>
      <c r="GL35" s="320">
        <v>0</v>
      </c>
      <c r="GM35" s="321">
        <v>0</v>
      </c>
      <c r="GN35" s="322">
        <v>0</v>
      </c>
      <c r="GO35" s="319">
        <v>0</v>
      </c>
      <c r="GP35" s="320">
        <v>0</v>
      </c>
      <c r="GQ35" s="319">
        <v>0</v>
      </c>
      <c r="GR35" s="320">
        <v>0</v>
      </c>
      <c r="GS35" s="321">
        <v>0</v>
      </c>
      <c r="GT35" s="322">
        <v>0</v>
      </c>
      <c r="GU35" s="319">
        <v>0</v>
      </c>
      <c r="GV35" s="320">
        <v>0</v>
      </c>
      <c r="GW35" s="319">
        <v>0</v>
      </c>
      <c r="GX35" s="320">
        <v>0</v>
      </c>
      <c r="GY35" s="321">
        <v>0</v>
      </c>
      <c r="GZ35" s="322">
        <v>0</v>
      </c>
    </row>
    <row r="36" spans="1:208" s="89" customFormat="1" ht="22.5" customHeight="1" x14ac:dyDescent="0.2">
      <c r="A36" t="s">
        <v>3201</v>
      </c>
      <c r="B36" s="429" t="s">
        <v>3202</v>
      </c>
      <c r="C36" s="430">
        <v>2</v>
      </c>
      <c r="D36" s="431" t="s">
        <v>3203</v>
      </c>
      <c r="E36" s="431" t="s">
        <v>3204</v>
      </c>
      <c r="F36" s="432" t="s">
        <v>3166</v>
      </c>
      <c r="G36" s="432" t="s">
        <v>3167</v>
      </c>
      <c r="H36" s="270" t="s">
        <v>1477</v>
      </c>
      <c r="I36" s="271" t="s">
        <v>1477</v>
      </c>
      <c r="J36" s="328" t="s">
        <v>3174</v>
      </c>
      <c r="K36" s="329" t="s">
        <v>3169</v>
      </c>
      <c r="L36" s="256">
        <f>CONTINUA!BV36</f>
        <v>0</v>
      </c>
      <c r="M36" s="256">
        <f>CONTINUA!BW36</f>
        <v>0</v>
      </c>
      <c r="N36" s="564"/>
      <c r="O36" s="565" t="s">
        <v>3338</v>
      </c>
      <c r="P36" s="566">
        <v>0</v>
      </c>
      <c r="Q36" s="319">
        <v>0</v>
      </c>
      <c r="R36" s="320">
        <v>1</v>
      </c>
      <c r="S36" s="319">
        <v>0</v>
      </c>
      <c r="T36" s="320">
        <v>0</v>
      </c>
      <c r="U36" s="321">
        <v>0</v>
      </c>
      <c r="V36" s="322">
        <v>0</v>
      </c>
      <c r="W36" s="319">
        <v>0</v>
      </c>
      <c r="X36" s="320">
        <v>1</v>
      </c>
      <c r="Y36" s="319">
        <v>0</v>
      </c>
      <c r="Z36" s="320">
        <v>0</v>
      </c>
      <c r="AA36" s="321">
        <v>0</v>
      </c>
      <c r="AB36" s="322">
        <v>0</v>
      </c>
      <c r="AC36" s="319">
        <v>0</v>
      </c>
      <c r="AD36" s="320">
        <v>1</v>
      </c>
      <c r="AE36" s="319">
        <v>0</v>
      </c>
      <c r="AF36" s="320">
        <v>0</v>
      </c>
      <c r="AG36" s="321">
        <v>0</v>
      </c>
      <c r="AH36" s="322">
        <v>0</v>
      </c>
      <c r="AI36" s="319">
        <v>0</v>
      </c>
      <c r="AJ36" s="320">
        <v>1</v>
      </c>
      <c r="AK36" s="319">
        <v>0</v>
      </c>
      <c r="AL36" s="320">
        <v>0</v>
      </c>
      <c r="AM36" s="321">
        <v>0</v>
      </c>
      <c r="AN36" s="322">
        <v>0</v>
      </c>
      <c r="AO36" s="319">
        <v>0</v>
      </c>
      <c r="AP36" s="320">
        <v>1</v>
      </c>
      <c r="AQ36" s="319">
        <v>0</v>
      </c>
      <c r="AR36" s="320">
        <v>0</v>
      </c>
      <c r="AS36" s="321">
        <v>0</v>
      </c>
      <c r="AT36" s="322">
        <v>0</v>
      </c>
      <c r="AU36" s="319">
        <v>0</v>
      </c>
      <c r="AV36" s="320">
        <v>1</v>
      </c>
      <c r="AW36" s="319">
        <v>0</v>
      </c>
      <c r="AX36" s="320">
        <v>0</v>
      </c>
      <c r="AY36" s="321">
        <v>0</v>
      </c>
      <c r="AZ36" s="322">
        <v>0</v>
      </c>
      <c r="BA36" s="319">
        <v>0</v>
      </c>
      <c r="BB36" s="320">
        <v>1</v>
      </c>
      <c r="BC36" s="319">
        <v>0</v>
      </c>
      <c r="BD36" s="320">
        <v>0</v>
      </c>
      <c r="BE36" s="321">
        <v>0</v>
      </c>
      <c r="BF36" s="322">
        <v>0</v>
      </c>
      <c r="BG36" s="319">
        <v>0</v>
      </c>
      <c r="BH36" s="320">
        <v>1</v>
      </c>
      <c r="BI36" s="319">
        <v>0</v>
      </c>
      <c r="BJ36" s="320">
        <v>0</v>
      </c>
      <c r="BK36" s="321">
        <v>0</v>
      </c>
      <c r="BL36" s="322">
        <v>0</v>
      </c>
      <c r="BM36" s="319">
        <v>0</v>
      </c>
      <c r="BN36" s="320">
        <v>1</v>
      </c>
      <c r="BO36" s="319">
        <v>0</v>
      </c>
      <c r="BP36" s="320">
        <v>0</v>
      </c>
      <c r="BQ36" s="321">
        <v>0</v>
      </c>
      <c r="BR36" s="322">
        <v>0</v>
      </c>
      <c r="BS36" s="319">
        <v>0</v>
      </c>
      <c r="BT36" s="320">
        <v>1</v>
      </c>
      <c r="BU36" s="319">
        <v>0</v>
      </c>
      <c r="BV36" s="320">
        <v>0</v>
      </c>
      <c r="BW36" s="321">
        <v>0</v>
      </c>
      <c r="BX36" s="322">
        <v>0</v>
      </c>
      <c r="BY36" s="319">
        <v>0</v>
      </c>
      <c r="BZ36" s="320">
        <v>1</v>
      </c>
      <c r="CA36" s="319">
        <v>0</v>
      </c>
      <c r="CB36" s="320">
        <v>0</v>
      </c>
      <c r="CC36" s="321">
        <v>0</v>
      </c>
      <c r="CD36" s="322">
        <v>0</v>
      </c>
      <c r="CE36" s="319">
        <v>0</v>
      </c>
      <c r="CF36" s="320">
        <v>1</v>
      </c>
      <c r="CG36" s="319">
        <v>0</v>
      </c>
      <c r="CH36" s="320">
        <v>0</v>
      </c>
      <c r="CI36" s="321">
        <v>0</v>
      </c>
      <c r="CJ36" s="322">
        <v>0</v>
      </c>
      <c r="CK36" s="319">
        <v>0</v>
      </c>
      <c r="CL36" s="320">
        <v>1</v>
      </c>
      <c r="CM36" s="319">
        <v>0</v>
      </c>
      <c r="CN36" s="320">
        <v>0</v>
      </c>
      <c r="CO36" s="321">
        <v>0</v>
      </c>
      <c r="CP36" s="322">
        <v>0</v>
      </c>
      <c r="CQ36" s="319">
        <v>0</v>
      </c>
      <c r="CR36" s="320">
        <v>1</v>
      </c>
      <c r="CS36" s="319">
        <v>0</v>
      </c>
      <c r="CT36" s="320">
        <v>0</v>
      </c>
      <c r="CU36" s="321">
        <v>0</v>
      </c>
      <c r="CV36" s="322">
        <v>0</v>
      </c>
      <c r="CW36" s="319">
        <v>0</v>
      </c>
      <c r="CX36" s="320">
        <v>1</v>
      </c>
      <c r="CY36" s="319">
        <v>0</v>
      </c>
      <c r="CZ36" s="320">
        <v>0</v>
      </c>
      <c r="DA36" s="321">
        <v>0</v>
      </c>
      <c r="DB36" s="322">
        <v>0</v>
      </c>
      <c r="DC36" s="319">
        <v>0</v>
      </c>
      <c r="DD36" s="320">
        <v>1</v>
      </c>
      <c r="DE36" s="319">
        <v>0</v>
      </c>
      <c r="DF36" s="320">
        <v>0</v>
      </c>
      <c r="DG36" s="321">
        <v>0</v>
      </c>
      <c r="DH36" s="322">
        <v>0</v>
      </c>
      <c r="DI36" s="319">
        <v>0</v>
      </c>
      <c r="DJ36" s="320">
        <v>1</v>
      </c>
      <c r="DK36" s="319">
        <v>0</v>
      </c>
      <c r="DL36" s="320">
        <v>0</v>
      </c>
      <c r="DM36" s="321">
        <v>0</v>
      </c>
      <c r="DN36" s="322">
        <v>0</v>
      </c>
      <c r="DO36" s="319">
        <v>0</v>
      </c>
      <c r="DP36" s="320">
        <v>1</v>
      </c>
      <c r="DQ36" s="319">
        <v>0</v>
      </c>
      <c r="DR36" s="320">
        <v>0</v>
      </c>
      <c r="DS36" s="321">
        <v>0</v>
      </c>
      <c r="DT36" s="322">
        <v>0</v>
      </c>
      <c r="DU36" s="319">
        <v>0</v>
      </c>
      <c r="DV36" s="320">
        <v>1</v>
      </c>
      <c r="DW36" s="319">
        <v>0</v>
      </c>
      <c r="DX36" s="320">
        <v>0</v>
      </c>
      <c r="DY36" s="321">
        <v>0</v>
      </c>
      <c r="DZ36" s="322">
        <v>0</v>
      </c>
      <c r="EA36" s="319">
        <v>0</v>
      </c>
      <c r="EB36" s="320">
        <v>1</v>
      </c>
      <c r="EC36" s="319">
        <v>0</v>
      </c>
      <c r="ED36" s="320">
        <v>0</v>
      </c>
      <c r="EE36" s="321">
        <v>0</v>
      </c>
      <c r="EF36" s="322">
        <v>0</v>
      </c>
      <c r="EG36" s="319">
        <v>0</v>
      </c>
      <c r="EH36" s="320">
        <v>1</v>
      </c>
      <c r="EI36" s="319">
        <v>0</v>
      </c>
      <c r="EJ36" s="320">
        <v>0</v>
      </c>
      <c r="EK36" s="321">
        <v>0</v>
      </c>
      <c r="EL36" s="322">
        <v>0</v>
      </c>
      <c r="EM36" s="319">
        <v>0</v>
      </c>
      <c r="EN36" s="320">
        <v>1</v>
      </c>
      <c r="EO36" s="319">
        <v>0</v>
      </c>
      <c r="EP36" s="320">
        <v>0</v>
      </c>
      <c r="EQ36" s="321">
        <v>0</v>
      </c>
      <c r="ER36" s="322">
        <v>0</v>
      </c>
      <c r="ES36" s="319">
        <v>0</v>
      </c>
      <c r="ET36" s="320">
        <v>1</v>
      </c>
      <c r="EU36" s="319">
        <v>0</v>
      </c>
      <c r="EV36" s="320">
        <v>0</v>
      </c>
      <c r="EW36" s="321">
        <v>0</v>
      </c>
      <c r="EX36" s="322">
        <v>0</v>
      </c>
      <c r="EY36" s="319">
        <v>0</v>
      </c>
      <c r="EZ36" s="320">
        <v>1</v>
      </c>
      <c r="FA36" s="319">
        <v>0</v>
      </c>
      <c r="FB36" s="320">
        <v>0</v>
      </c>
      <c r="FC36" s="321">
        <v>0</v>
      </c>
      <c r="FD36" s="322">
        <v>0</v>
      </c>
      <c r="FE36" s="319">
        <v>0</v>
      </c>
      <c r="FF36" s="320">
        <v>1</v>
      </c>
      <c r="FG36" s="319">
        <v>0</v>
      </c>
      <c r="FH36" s="320">
        <v>0</v>
      </c>
      <c r="FI36" s="321">
        <v>0</v>
      </c>
      <c r="FJ36" s="322">
        <v>0</v>
      </c>
      <c r="FK36" s="319">
        <v>0</v>
      </c>
      <c r="FL36" s="320">
        <v>1</v>
      </c>
      <c r="FM36" s="319">
        <v>0</v>
      </c>
      <c r="FN36" s="320">
        <v>0</v>
      </c>
      <c r="FO36" s="321">
        <v>0</v>
      </c>
      <c r="FP36" s="322">
        <v>0</v>
      </c>
      <c r="FQ36" s="319">
        <v>0</v>
      </c>
      <c r="FR36" s="320">
        <v>1</v>
      </c>
      <c r="FS36" s="319">
        <v>0</v>
      </c>
      <c r="FT36" s="320">
        <v>0</v>
      </c>
      <c r="FU36" s="321">
        <v>0</v>
      </c>
      <c r="FV36" s="322">
        <v>0</v>
      </c>
      <c r="FW36" s="319">
        <v>0</v>
      </c>
      <c r="FX36" s="320">
        <v>1</v>
      </c>
      <c r="FY36" s="319">
        <v>0</v>
      </c>
      <c r="FZ36" s="320">
        <v>0</v>
      </c>
      <c r="GA36" s="321">
        <v>0</v>
      </c>
      <c r="GB36" s="322">
        <v>0</v>
      </c>
      <c r="GC36" s="319">
        <v>0</v>
      </c>
      <c r="GD36" s="320">
        <v>1</v>
      </c>
      <c r="GE36" s="319">
        <v>0</v>
      </c>
      <c r="GF36" s="320">
        <v>0</v>
      </c>
      <c r="GG36" s="321">
        <v>0</v>
      </c>
      <c r="GH36" s="322">
        <v>0</v>
      </c>
      <c r="GI36" s="319">
        <v>0</v>
      </c>
      <c r="GJ36" s="320">
        <v>1</v>
      </c>
      <c r="GK36" s="319">
        <v>0</v>
      </c>
      <c r="GL36" s="320">
        <v>0</v>
      </c>
      <c r="GM36" s="321">
        <v>0</v>
      </c>
      <c r="GN36" s="322">
        <v>0</v>
      </c>
      <c r="GO36" s="319">
        <v>0</v>
      </c>
      <c r="GP36" s="320">
        <v>1</v>
      </c>
      <c r="GQ36" s="319">
        <v>0</v>
      </c>
      <c r="GR36" s="320">
        <v>0</v>
      </c>
      <c r="GS36" s="321">
        <v>0</v>
      </c>
      <c r="GT36" s="322">
        <v>0</v>
      </c>
      <c r="GU36" s="319">
        <v>0</v>
      </c>
      <c r="GV36" s="320">
        <v>1</v>
      </c>
      <c r="GW36" s="319">
        <v>0</v>
      </c>
      <c r="GX36" s="320">
        <v>0</v>
      </c>
      <c r="GY36" s="321">
        <v>0</v>
      </c>
      <c r="GZ36" s="322">
        <v>0</v>
      </c>
    </row>
    <row r="37" spans="1:208" s="89" customFormat="1" ht="22.5" customHeight="1" x14ac:dyDescent="0.2">
      <c r="A37" s="287" t="s">
        <v>3201</v>
      </c>
      <c r="B37" s="288" t="s">
        <v>3202</v>
      </c>
      <c r="C37" s="289" t="s">
        <v>3170</v>
      </c>
      <c r="D37" s="290" t="s">
        <v>3203</v>
      </c>
      <c r="E37" s="290" t="s">
        <v>3204</v>
      </c>
      <c r="F37" s="291" t="s">
        <v>3166</v>
      </c>
      <c r="G37" s="291" t="s">
        <v>3167</v>
      </c>
      <c r="H37" s="292" t="s">
        <v>1477</v>
      </c>
      <c r="I37" s="293" t="s">
        <v>1477</v>
      </c>
      <c r="J37" s="340" t="s">
        <v>3174</v>
      </c>
      <c r="K37" s="340" t="s">
        <v>3171</v>
      </c>
      <c r="L37" s="256">
        <f>CONTINUA!BV37</f>
        <v>20</v>
      </c>
      <c r="M37" s="256">
        <f>CONTINUA!BW37</f>
        <v>0</v>
      </c>
      <c r="N37" s="564"/>
      <c r="O37" s="565" t="s">
        <v>3338</v>
      </c>
      <c r="P37" s="566">
        <v>0</v>
      </c>
      <c r="Q37" s="319">
        <v>18</v>
      </c>
      <c r="R37" s="320">
        <v>1</v>
      </c>
      <c r="S37" s="319">
        <v>8</v>
      </c>
      <c r="T37" s="320">
        <v>1</v>
      </c>
      <c r="U37" s="319">
        <v>0</v>
      </c>
      <c r="V37" s="320">
        <v>0</v>
      </c>
      <c r="W37" s="319">
        <v>18</v>
      </c>
      <c r="X37" s="320">
        <v>1</v>
      </c>
      <c r="Y37" s="319">
        <v>8</v>
      </c>
      <c r="Z37" s="320">
        <v>1</v>
      </c>
      <c r="AA37" s="319">
        <v>0</v>
      </c>
      <c r="AB37" s="320">
        <v>0</v>
      </c>
      <c r="AC37" s="319">
        <v>18</v>
      </c>
      <c r="AD37" s="320">
        <v>1</v>
      </c>
      <c r="AE37" s="319">
        <v>8</v>
      </c>
      <c r="AF37" s="320">
        <v>1</v>
      </c>
      <c r="AG37" s="319">
        <v>0</v>
      </c>
      <c r="AH37" s="320">
        <v>0</v>
      </c>
      <c r="AI37" s="319">
        <v>18</v>
      </c>
      <c r="AJ37" s="320">
        <v>1</v>
      </c>
      <c r="AK37" s="319">
        <v>8</v>
      </c>
      <c r="AL37" s="320">
        <v>1</v>
      </c>
      <c r="AM37" s="319">
        <v>0</v>
      </c>
      <c r="AN37" s="320">
        <v>0</v>
      </c>
      <c r="AO37" s="319">
        <v>18</v>
      </c>
      <c r="AP37" s="320">
        <v>1</v>
      </c>
      <c r="AQ37" s="319">
        <v>8</v>
      </c>
      <c r="AR37" s="320">
        <v>1</v>
      </c>
      <c r="AS37" s="319">
        <v>0</v>
      </c>
      <c r="AT37" s="320">
        <v>0</v>
      </c>
      <c r="AU37" s="319">
        <v>18</v>
      </c>
      <c r="AV37" s="320">
        <v>1</v>
      </c>
      <c r="AW37" s="319">
        <v>8</v>
      </c>
      <c r="AX37" s="320">
        <v>1</v>
      </c>
      <c r="AY37" s="319">
        <v>0</v>
      </c>
      <c r="AZ37" s="320">
        <v>0</v>
      </c>
      <c r="BA37" s="319">
        <v>18</v>
      </c>
      <c r="BB37" s="320">
        <v>1</v>
      </c>
      <c r="BC37" s="319">
        <v>8</v>
      </c>
      <c r="BD37" s="320">
        <v>1</v>
      </c>
      <c r="BE37" s="319">
        <v>0</v>
      </c>
      <c r="BF37" s="320">
        <v>0</v>
      </c>
      <c r="BG37" s="319">
        <v>18</v>
      </c>
      <c r="BH37" s="320">
        <v>1</v>
      </c>
      <c r="BI37" s="319">
        <v>8</v>
      </c>
      <c r="BJ37" s="320">
        <v>1</v>
      </c>
      <c r="BK37" s="319">
        <v>0</v>
      </c>
      <c r="BL37" s="320">
        <v>0</v>
      </c>
      <c r="BM37" s="319">
        <v>18</v>
      </c>
      <c r="BN37" s="320">
        <v>1</v>
      </c>
      <c r="BO37" s="319">
        <v>8</v>
      </c>
      <c r="BP37" s="320">
        <v>1</v>
      </c>
      <c r="BQ37" s="319">
        <v>0</v>
      </c>
      <c r="BR37" s="320">
        <v>0</v>
      </c>
      <c r="BS37" s="319">
        <v>18</v>
      </c>
      <c r="BT37" s="320">
        <v>1</v>
      </c>
      <c r="BU37" s="319">
        <v>8</v>
      </c>
      <c r="BV37" s="320">
        <v>1</v>
      </c>
      <c r="BW37" s="319">
        <v>0</v>
      </c>
      <c r="BX37" s="320">
        <v>0</v>
      </c>
      <c r="BY37" s="319">
        <v>18</v>
      </c>
      <c r="BZ37" s="320">
        <v>1</v>
      </c>
      <c r="CA37" s="319">
        <v>8</v>
      </c>
      <c r="CB37" s="320">
        <v>1</v>
      </c>
      <c r="CC37" s="319">
        <v>0</v>
      </c>
      <c r="CD37" s="320">
        <v>0</v>
      </c>
      <c r="CE37" s="319">
        <v>18</v>
      </c>
      <c r="CF37" s="320">
        <v>1</v>
      </c>
      <c r="CG37" s="319">
        <v>8</v>
      </c>
      <c r="CH37" s="320">
        <v>1</v>
      </c>
      <c r="CI37" s="319">
        <v>0</v>
      </c>
      <c r="CJ37" s="320">
        <v>0</v>
      </c>
      <c r="CK37" s="319">
        <v>18</v>
      </c>
      <c r="CL37" s="320">
        <v>1</v>
      </c>
      <c r="CM37" s="319">
        <v>8</v>
      </c>
      <c r="CN37" s="320">
        <v>1</v>
      </c>
      <c r="CO37" s="319">
        <v>0</v>
      </c>
      <c r="CP37" s="320">
        <v>0</v>
      </c>
      <c r="CQ37" s="319">
        <v>18</v>
      </c>
      <c r="CR37" s="320">
        <v>1</v>
      </c>
      <c r="CS37" s="319">
        <v>8</v>
      </c>
      <c r="CT37" s="320">
        <v>1</v>
      </c>
      <c r="CU37" s="319">
        <v>0</v>
      </c>
      <c r="CV37" s="320">
        <v>0</v>
      </c>
      <c r="CW37" s="319">
        <v>18</v>
      </c>
      <c r="CX37" s="320">
        <v>1</v>
      </c>
      <c r="CY37" s="319">
        <v>8</v>
      </c>
      <c r="CZ37" s="320">
        <v>1</v>
      </c>
      <c r="DA37" s="319">
        <v>0</v>
      </c>
      <c r="DB37" s="320">
        <v>0</v>
      </c>
      <c r="DC37" s="319">
        <v>18</v>
      </c>
      <c r="DD37" s="320">
        <v>1</v>
      </c>
      <c r="DE37" s="319">
        <v>8</v>
      </c>
      <c r="DF37" s="320">
        <v>1</v>
      </c>
      <c r="DG37" s="319">
        <v>0</v>
      </c>
      <c r="DH37" s="320">
        <v>0</v>
      </c>
      <c r="DI37" s="319">
        <v>18</v>
      </c>
      <c r="DJ37" s="320">
        <v>1</v>
      </c>
      <c r="DK37" s="319">
        <v>8</v>
      </c>
      <c r="DL37" s="320">
        <v>1</v>
      </c>
      <c r="DM37" s="319">
        <v>0</v>
      </c>
      <c r="DN37" s="320">
        <v>0</v>
      </c>
      <c r="DO37" s="319">
        <v>18</v>
      </c>
      <c r="DP37" s="320">
        <v>1</v>
      </c>
      <c r="DQ37" s="319">
        <v>8</v>
      </c>
      <c r="DR37" s="320">
        <v>1</v>
      </c>
      <c r="DS37" s="319">
        <v>0</v>
      </c>
      <c r="DT37" s="320">
        <v>0</v>
      </c>
      <c r="DU37" s="319">
        <v>18</v>
      </c>
      <c r="DV37" s="320">
        <v>1</v>
      </c>
      <c r="DW37" s="319">
        <v>8</v>
      </c>
      <c r="DX37" s="320">
        <v>1</v>
      </c>
      <c r="DY37" s="319">
        <v>0</v>
      </c>
      <c r="DZ37" s="320">
        <v>0</v>
      </c>
      <c r="EA37" s="319">
        <v>18</v>
      </c>
      <c r="EB37" s="320">
        <v>1</v>
      </c>
      <c r="EC37" s="319">
        <v>8</v>
      </c>
      <c r="ED37" s="320">
        <v>1</v>
      </c>
      <c r="EE37" s="319">
        <v>0</v>
      </c>
      <c r="EF37" s="320">
        <v>0</v>
      </c>
      <c r="EG37" s="319">
        <v>18</v>
      </c>
      <c r="EH37" s="320">
        <v>1</v>
      </c>
      <c r="EI37" s="319">
        <v>8</v>
      </c>
      <c r="EJ37" s="320">
        <v>1</v>
      </c>
      <c r="EK37" s="319">
        <v>0</v>
      </c>
      <c r="EL37" s="320">
        <v>0</v>
      </c>
      <c r="EM37" s="319">
        <v>18</v>
      </c>
      <c r="EN37" s="320">
        <v>1</v>
      </c>
      <c r="EO37" s="319">
        <v>8</v>
      </c>
      <c r="EP37" s="320">
        <v>1</v>
      </c>
      <c r="EQ37" s="319">
        <v>0</v>
      </c>
      <c r="ER37" s="320">
        <v>0</v>
      </c>
      <c r="ES37" s="319">
        <v>18</v>
      </c>
      <c r="ET37" s="320">
        <v>1</v>
      </c>
      <c r="EU37" s="319">
        <v>8</v>
      </c>
      <c r="EV37" s="320">
        <v>1</v>
      </c>
      <c r="EW37" s="319">
        <v>0</v>
      </c>
      <c r="EX37" s="320">
        <v>0</v>
      </c>
      <c r="EY37" s="319">
        <v>18</v>
      </c>
      <c r="EZ37" s="320">
        <v>1</v>
      </c>
      <c r="FA37" s="319">
        <v>8</v>
      </c>
      <c r="FB37" s="320">
        <v>1</v>
      </c>
      <c r="FC37" s="319">
        <v>0</v>
      </c>
      <c r="FD37" s="320">
        <v>0</v>
      </c>
      <c r="FE37" s="319">
        <v>18</v>
      </c>
      <c r="FF37" s="320">
        <v>1</v>
      </c>
      <c r="FG37" s="319">
        <v>8</v>
      </c>
      <c r="FH37" s="320">
        <v>1</v>
      </c>
      <c r="FI37" s="319">
        <v>0</v>
      </c>
      <c r="FJ37" s="320">
        <v>0</v>
      </c>
      <c r="FK37" s="319">
        <v>18</v>
      </c>
      <c r="FL37" s="320">
        <v>1</v>
      </c>
      <c r="FM37" s="319">
        <v>8</v>
      </c>
      <c r="FN37" s="320">
        <v>1</v>
      </c>
      <c r="FO37" s="319">
        <v>0</v>
      </c>
      <c r="FP37" s="320">
        <v>0</v>
      </c>
      <c r="FQ37" s="319">
        <v>18</v>
      </c>
      <c r="FR37" s="320">
        <v>1</v>
      </c>
      <c r="FS37" s="319">
        <v>8</v>
      </c>
      <c r="FT37" s="320">
        <v>1</v>
      </c>
      <c r="FU37" s="319">
        <v>0</v>
      </c>
      <c r="FV37" s="320">
        <v>0</v>
      </c>
      <c r="FW37" s="319">
        <v>18</v>
      </c>
      <c r="FX37" s="320">
        <v>1</v>
      </c>
      <c r="FY37" s="319">
        <v>8</v>
      </c>
      <c r="FZ37" s="320">
        <v>1</v>
      </c>
      <c r="GA37" s="319">
        <v>0</v>
      </c>
      <c r="GB37" s="320">
        <v>0</v>
      </c>
      <c r="GC37" s="319">
        <v>18</v>
      </c>
      <c r="GD37" s="320">
        <v>1</v>
      </c>
      <c r="GE37" s="319">
        <v>8</v>
      </c>
      <c r="GF37" s="320">
        <v>1</v>
      </c>
      <c r="GG37" s="319">
        <v>0</v>
      </c>
      <c r="GH37" s="320">
        <v>0</v>
      </c>
      <c r="GI37" s="319">
        <v>18</v>
      </c>
      <c r="GJ37" s="320">
        <v>1</v>
      </c>
      <c r="GK37" s="319">
        <v>8</v>
      </c>
      <c r="GL37" s="320">
        <v>1</v>
      </c>
      <c r="GM37" s="319">
        <v>0</v>
      </c>
      <c r="GN37" s="320">
        <v>0</v>
      </c>
      <c r="GO37" s="319">
        <v>18</v>
      </c>
      <c r="GP37" s="320">
        <v>1</v>
      </c>
      <c r="GQ37" s="319">
        <v>8</v>
      </c>
      <c r="GR37" s="320">
        <v>1</v>
      </c>
      <c r="GS37" s="319">
        <v>0</v>
      </c>
      <c r="GT37" s="320">
        <v>0</v>
      </c>
      <c r="GU37" s="319">
        <v>18</v>
      </c>
      <c r="GV37" s="320">
        <v>1</v>
      </c>
      <c r="GW37" s="319">
        <v>8</v>
      </c>
      <c r="GX37" s="320">
        <v>1</v>
      </c>
      <c r="GY37" s="319">
        <v>0</v>
      </c>
      <c r="GZ37" s="320">
        <v>0</v>
      </c>
    </row>
    <row r="38" spans="1:208" s="89" customFormat="1" ht="22.5" customHeight="1" x14ac:dyDescent="0.2">
      <c r="A38" s="287" t="s">
        <v>3201</v>
      </c>
      <c r="B38" s="288" t="s">
        <v>3202</v>
      </c>
      <c r="C38" s="294" t="s">
        <v>3170</v>
      </c>
      <c r="D38" s="290" t="s">
        <v>3203</v>
      </c>
      <c r="E38" s="290" t="s">
        <v>3204</v>
      </c>
      <c r="F38" s="295" t="s">
        <v>3166</v>
      </c>
      <c r="G38" s="295" t="s">
        <v>3167</v>
      </c>
      <c r="H38" s="292" t="s">
        <v>1477</v>
      </c>
      <c r="I38" s="293" t="s">
        <v>1477</v>
      </c>
      <c r="J38" s="340" t="s">
        <v>3174</v>
      </c>
      <c r="K38" s="341" t="s">
        <v>3172</v>
      </c>
      <c r="L38" s="256">
        <f>CONTINUA!BV38</f>
        <v>0</v>
      </c>
      <c r="M38" s="256">
        <f>CONTINUA!BW38</f>
        <v>0</v>
      </c>
      <c r="N38" s="564"/>
      <c r="O38" s="565" t="s">
        <v>3338</v>
      </c>
      <c r="P38" s="566">
        <v>0</v>
      </c>
      <c r="Q38" s="319">
        <v>0</v>
      </c>
      <c r="R38" s="320">
        <v>0</v>
      </c>
      <c r="S38" s="319">
        <v>0</v>
      </c>
      <c r="T38" s="320">
        <v>0</v>
      </c>
      <c r="U38" s="319">
        <v>0</v>
      </c>
      <c r="V38" s="320">
        <v>0</v>
      </c>
      <c r="W38" s="319">
        <v>0</v>
      </c>
      <c r="X38" s="320">
        <v>0</v>
      </c>
      <c r="Y38" s="319">
        <v>0</v>
      </c>
      <c r="Z38" s="320">
        <v>0</v>
      </c>
      <c r="AA38" s="319">
        <v>0</v>
      </c>
      <c r="AB38" s="320">
        <v>0</v>
      </c>
      <c r="AC38" s="319">
        <v>0</v>
      </c>
      <c r="AD38" s="320">
        <v>0</v>
      </c>
      <c r="AE38" s="319">
        <v>0</v>
      </c>
      <c r="AF38" s="320">
        <v>0</v>
      </c>
      <c r="AG38" s="319">
        <v>0</v>
      </c>
      <c r="AH38" s="320">
        <v>0</v>
      </c>
      <c r="AI38" s="319">
        <v>0</v>
      </c>
      <c r="AJ38" s="320">
        <v>0</v>
      </c>
      <c r="AK38" s="319">
        <v>0</v>
      </c>
      <c r="AL38" s="320">
        <v>0</v>
      </c>
      <c r="AM38" s="319">
        <v>0</v>
      </c>
      <c r="AN38" s="320">
        <v>0</v>
      </c>
      <c r="AO38" s="319">
        <v>0</v>
      </c>
      <c r="AP38" s="320">
        <v>0</v>
      </c>
      <c r="AQ38" s="319">
        <v>0</v>
      </c>
      <c r="AR38" s="320">
        <v>0</v>
      </c>
      <c r="AS38" s="319">
        <v>0</v>
      </c>
      <c r="AT38" s="320">
        <v>0</v>
      </c>
      <c r="AU38" s="319">
        <v>0</v>
      </c>
      <c r="AV38" s="320">
        <v>0</v>
      </c>
      <c r="AW38" s="319">
        <v>0</v>
      </c>
      <c r="AX38" s="320">
        <v>0</v>
      </c>
      <c r="AY38" s="319">
        <v>0</v>
      </c>
      <c r="AZ38" s="320">
        <v>0</v>
      </c>
      <c r="BA38" s="319">
        <v>0</v>
      </c>
      <c r="BB38" s="320">
        <v>0</v>
      </c>
      <c r="BC38" s="319">
        <v>0</v>
      </c>
      <c r="BD38" s="320">
        <v>0</v>
      </c>
      <c r="BE38" s="319">
        <v>0</v>
      </c>
      <c r="BF38" s="320">
        <v>0</v>
      </c>
      <c r="BG38" s="319">
        <v>0</v>
      </c>
      <c r="BH38" s="320">
        <v>0</v>
      </c>
      <c r="BI38" s="319">
        <v>0</v>
      </c>
      <c r="BJ38" s="320">
        <v>0</v>
      </c>
      <c r="BK38" s="319">
        <v>0</v>
      </c>
      <c r="BL38" s="320">
        <v>0</v>
      </c>
      <c r="BM38" s="319">
        <v>0</v>
      </c>
      <c r="BN38" s="320">
        <v>0</v>
      </c>
      <c r="BO38" s="319">
        <v>0</v>
      </c>
      <c r="BP38" s="320">
        <v>0</v>
      </c>
      <c r="BQ38" s="319">
        <v>0</v>
      </c>
      <c r="BR38" s="320">
        <v>0</v>
      </c>
      <c r="BS38" s="319">
        <v>0</v>
      </c>
      <c r="BT38" s="320">
        <v>0</v>
      </c>
      <c r="BU38" s="319">
        <v>0</v>
      </c>
      <c r="BV38" s="320">
        <v>0</v>
      </c>
      <c r="BW38" s="319">
        <v>0</v>
      </c>
      <c r="BX38" s="320">
        <v>0</v>
      </c>
      <c r="BY38" s="319">
        <v>0</v>
      </c>
      <c r="BZ38" s="320">
        <v>0</v>
      </c>
      <c r="CA38" s="319">
        <v>0</v>
      </c>
      <c r="CB38" s="320">
        <v>0</v>
      </c>
      <c r="CC38" s="319">
        <v>0</v>
      </c>
      <c r="CD38" s="320">
        <v>0</v>
      </c>
      <c r="CE38" s="319">
        <v>0</v>
      </c>
      <c r="CF38" s="320">
        <v>0</v>
      </c>
      <c r="CG38" s="319">
        <v>0</v>
      </c>
      <c r="CH38" s="320">
        <v>0</v>
      </c>
      <c r="CI38" s="319">
        <v>0</v>
      </c>
      <c r="CJ38" s="320">
        <v>0</v>
      </c>
      <c r="CK38" s="319">
        <v>0</v>
      </c>
      <c r="CL38" s="320">
        <v>0</v>
      </c>
      <c r="CM38" s="319">
        <v>0</v>
      </c>
      <c r="CN38" s="320">
        <v>0</v>
      </c>
      <c r="CO38" s="319">
        <v>0</v>
      </c>
      <c r="CP38" s="320">
        <v>0</v>
      </c>
      <c r="CQ38" s="319">
        <v>0</v>
      </c>
      <c r="CR38" s="320">
        <v>0</v>
      </c>
      <c r="CS38" s="319">
        <v>0</v>
      </c>
      <c r="CT38" s="320">
        <v>0</v>
      </c>
      <c r="CU38" s="319">
        <v>0</v>
      </c>
      <c r="CV38" s="320">
        <v>0</v>
      </c>
      <c r="CW38" s="319">
        <v>0</v>
      </c>
      <c r="CX38" s="320">
        <v>0</v>
      </c>
      <c r="CY38" s="319">
        <v>0</v>
      </c>
      <c r="CZ38" s="320">
        <v>0</v>
      </c>
      <c r="DA38" s="319">
        <v>0</v>
      </c>
      <c r="DB38" s="320">
        <v>0</v>
      </c>
      <c r="DC38" s="319">
        <v>0</v>
      </c>
      <c r="DD38" s="320">
        <v>0</v>
      </c>
      <c r="DE38" s="319">
        <v>0</v>
      </c>
      <c r="DF38" s="320">
        <v>0</v>
      </c>
      <c r="DG38" s="319">
        <v>0</v>
      </c>
      <c r="DH38" s="320">
        <v>0</v>
      </c>
      <c r="DI38" s="319">
        <v>0</v>
      </c>
      <c r="DJ38" s="320">
        <v>0</v>
      </c>
      <c r="DK38" s="319">
        <v>0</v>
      </c>
      <c r="DL38" s="320">
        <v>0</v>
      </c>
      <c r="DM38" s="319">
        <v>0</v>
      </c>
      <c r="DN38" s="320">
        <v>0</v>
      </c>
      <c r="DO38" s="319">
        <v>0</v>
      </c>
      <c r="DP38" s="320">
        <v>0</v>
      </c>
      <c r="DQ38" s="319">
        <v>0</v>
      </c>
      <c r="DR38" s="320">
        <v>0</v>
      </c>
      <c r="DS38" s="319">
        <v>0</v>
      </c>
      <c r="DT38" s="320">
        <v>0</v>
      </c>
      <c r="DU38" s="319">
        <v>0</v>
      </c>
      <c r="DV38" s="320">
        <v>0</v>
      </c>
      <c r="DW38" s="319">
        <v>0</v>
      </c>
      <c r="DX38" s="320">
        <v>0</v>
      </c>
      <c r="DY38" s="319">
        <v>0</v>
      </c>
      <c r="DZ38" s="320">
        <v>0</v>
      </c>
      <c r="EA38" s="319">
        <v>0</v>
      </c>
      <c r="EB38" s="320">
        <v>0</v>
      </c>
      <c r="EC38" s="319">
        <v>0</v>
      </c>
      <c r="ED38" s="320">
        <v>0</v>
      </c>
      <c r="EE38" s="319">
        <v>0</v>
      </c>
      <c r="EF38" s="320">
        <v>0</v>
      </c>
      <c r="EG38" s="319">
        <v>0</v>
      </c>
      <c r="EH38" s="320">
        <v>0</v>
      </c>
      <c r="EI38" s="319">
        <v>0</v>
      </c>
      <c r="EJ38" s="320">
        <v>0</v>
      </c>
      <c r="EK38" s="319">
        <v>0</v>
      </c>
      <c r="EL38" s="320">
        <v>0</v>
      </c>
      <c r="EM38" s="319">
        <v>0</v>
      </c>
      <c r="EN38" s="320">
        <v>0</v>
      </c>
      <c r="EO38" s="319">
        <v>0</v>
      </c>
      <c r="EP38" s="320">
        <v>0</v>
      </c>
      <c r="EQ38" s="319">
        <v>0</v>
      </c>
      <c r="ER38" s="320">
        <v>0</v>
      </c>
      <c r="ES38" s="319">
        <v>0</v>
      </c>
      <c r="ET38" s="320">
        <v>0</v>
      </c>
      <c r="EU38" s="319">
        <v>0</v>
      </c>
      <c r="EV38" s="320">
        <v>0</v>
      </c>
      <c r="EW38" s="319">
        <v>0</v>
      </c>
      <c r="EX38" s="320">
        <v>0</v>
      </c>
      <c r="EY38" s="319">
        <v>0</v>
      </c>
      <c r="EZ38" s="320">
        <v>0</v>
      </c>
      <c r="FA38" s="319">
        <v>0</v>
      </c>
      <c r="FB38" s="320">
        <v>0</v>
      </c>
      <c r="FC38" s="319">
        <v>0</v>
      </c>
      <c r="FD38" s="320">
        <v>0</v>
      </c>
      <c r="FE38" s="319">
        <v>0</v>
      </c>
      <c r="FF38" s="320">
        <v>0</v>
      </c>
      <c r="FG38" s="319">
        <v>0</v>
      </c>
      <c r="FH38" s="320">
        <v>0</v>
      </c>
      <c r="FI38" s="319">
        <v>0</v>
      </c>
      <c r="FJ38" s="320">
        <v>0</v>
      </c>
      <c r="FK38" s="319">
        <v>0</v>
      </c>
      <c r="FL38" s="320">
        <v>0</v>
      </c>
      <c r="FM38" s="319">
        <v>0</v>
      </c>
      <c r="FN38" s="320">
        <v>0</v>
      </c>
      <c r="FO38" s="319">
        <v>0</v>
      </c>
      <c r="FP38" s="320">
        <v>0</v>
      </c>
      <c r="FQ38" s="319">
        <v>0</v>
      </c>
      <c r="FR38" s="320">
        <v>0</v>
      </c>
      <c r="FS38" s="319">
        <v>0</v>
      </c>
      <c r="FT38" s="320">
        <v>0</v>
      </c>
      <c r="FU38" s="319">
        <v>0</v>
      </c>
      <c r="FV38" s="320">
        <v>0</v>
      </c>
      <c r="FW38" s="319">
        <v>0</v>
      </c>
      <c r="FX38" s="320">
        <v>0</v>
      </c>
      <c r="FY38" s="319">
        <v>0</v>
      </c>
      <c r="FZ38" s="320">
        <v>0</v>
      </c>
      <c r="GA38" s="319">
        <v>0</v>
      </c>
      <c r="GB38" s="320">
        <v>0</v>
      </c>
      <c r="GC38" s="319">
        <v>0</v>
      </c>
      <c r="GD38" s="320">
        <v>0</v>
      </c>
      <c r="GE38" s="319">
        <v>0</v>
      </c>
      <c r="GF38" s="320">
        <v>0</v>
      </c>
      <c r="GG38" s="319">
        <v>0</v>
      </c>
      <c r="GH38" s="320">
        <v>0</v>
      </c>
      <c r="GI38" s="319">
        <v>0</v>
      </c>
      <c r="GJ38" s="320">
        <v>0</v>
      </c>
      <c r="GK38" s="319">
        <v>0</v>
      </c>
      <c r="GL38" s="320">
        <v>0</v>
      </c>
      <c r="GM38" s="319">
        <v>0</v>
      </c>
      <c r="GN38" s="320">
        <v>0</v>
      </c>
      <c r="GO38" s="319">
        <v>0</v>
      </c>
      <c r="GP38" s="320">
        <v>0</v>
      </c>
      <c r="GQ38" s="319">
        <v>0</v>
      </c>
      <c r="GR38" s="320">
        <v>0</v>
      </c>
      <c r="GS38" s="319">
        <v>0</v>
      </c>
      <c r="GT38" s="320">
        <v>0</v>
      </c>
      <c r="GU38" s="319">
        <v>0</v>
      </c>
      <c r="GV38" s="320">
        <v>0</v>
      </c>
      <c r="GW38" s="319">
        <v>0</v>
      </c>
      <c r="GX38" s="320">
        <v>0</v>
      </c>
      <c r="GY38" s="319">
        <v>0</v>
      </c>
      <c r="GZ38" s="320">
        <v>0</v>
      </c>
    </row>
    <row r="39" spans="1:208" s="89" customFormat="1" ht="22.5" customHeight="1" x14ac:dyDescent="0.2">
      <c r="A39" s="287" t="s">
        <v>3201</v>
      </c>
      <c r="B39" s="288" t="s">
        <v>3202</v>
      </c>
      <c r="C39" s="294" t="s">
        <v>3170</v>
      </c>
      <c r="D39" s="290" t="s">
        <v>3203</v>
      </c>
      <c r="E39" s="290" t="s">
        <v>3204</v>
      </c>
      <c r="F39" s="295" t="s">
        <v>3166</v>
      </c>
      <c r="G39" s="295" t="s">
        <v>3167</v>
      </c>
      <c r="H39" s="292" t="s">
        <v>1477</v>
      </c>
      <c r="I39" s="293" t="s">
        <v>1477</v>
      </c>
      <c r="J39" s="340" t="s">
        <v>3174</v>
      </c>
      <c r="K39" s="342" t="s">
        <v>3173</v>
      </c>
      <c r="L39" s="256">
        <f>CONTINUA!BV39</f>
        <v>0</v>
      </c>
      <c r="M39" s="256">
        <f>CONTINUA!BW39</f>
        <v>0</v>
      </c>
      <c r="N39" s="564"/>
      <c r="O39" s="565" t="s">
        <v>3338</v>
      </c>
      <c r="P39" s="566">
        <v>0</v>
      </c>
      <c r="Q39" s="319">
        <v>0</v>
      </c>
      <c r="R39" s="320">
        <v>0</v>
      </c>
      <c r="S39" s="319">
        <v>0</v>
      </c>
      <c r="T39" s="320">
        <v>0</v>
      </c>
      <c r="U39" s="319">
        <v>0</v>
      </c>
      <c r="V39" s="320">
        <v>0</v>
      </c>
      <c r="W39" s="319">
        <v>0</v>
      </c>
      <c r="X39" s="320">
        <v>0</v>
      </c>
      <c r="Y39" s="319">
        <v>0</v>
      </c>
      <c r="Z39" s="320">
        <v>0</v>
      </c>
      <c r="AA39" s="319">
        <v>0</v>
      </c>
      <c r="AB39" s="320">
        <v>0</v>
      </c>
      <c r="AC39" s="319">
        <v>0</v>
      </c>
      <c r="AD39" s="320">
        <v>0</v>
      </c>
      <c r="AE39" s="319">
        <v>0</v>
      </c>
      <c r="AF39" s="320">
        <v>0</v>
      </c>
      <c r="AG39" s="319">
        <v>0</v>
      </c>
      <c r="AH39" s="320">
        <v>0</v>
      </c>
      <c r="AI39" s="319">
        <v>0</v>
      </c>
      <c r="AJ39" s="320">
        <v>0</v>
      </c>
      <c r="AK39" s="319">
        <v>0</v>
      </c>
      <c r="AL39" s="320">
        <v>0</v>
      </c>
      <c r="AM39" s="319">
        <v>0</v>
      </c>
      <c r="AN39" s="320">
        <v>0</v>
      </c>
      <c r="AO39" s="319">
        <v>0</v>
      </c>
      <c r="AP39" s="320">
        <v>0</v>
      </c>
      <c r="AQ39" s="319">
        <v>0</v>
      </c>
      <c r="AR39" s="320">
        <v>0</v>
      </c>
      <c r="AS39" s="319">
        <v>0</v>
      </c>
      <c r="AT39" s="320">
        <v>0</v>
      </c>
      <c r="AU39" s="319">
        <v>0</v>
      </c>
      <c r="AV39" s="320">
        <v>0</v>
      </c>
      <c r="AW39" s="319">
        <v>0</v>
      </c>
      <c r="AX39" s="320">
        <v>0</v>
      </c>
      <c r="AY39" s="319">
        <v>0</v>
      </c>
      <c r="AZ39" s="320">
        <v>0</v>
      </c>
      <c r="BA39" s="319">
        <v>0</v>
      </c>
      <c r="BB39" s="320">
        <v>0</v>
      </c>
      <c r="BC39" s="319">
        <v>0</v>
      </c>
      <c r="BD39" s="320">
        <v>0</v>
      </c>
      <c r="BE39" s="319">
        <v>0</v>
      </c>
      <c r="BF39" s="320">
        <v>0</v>
      </c>
      <c r="BG39" s="319">
        <v>0</v>
      </c>
      <c r="BH39" s="320">
        <v>0</v>
      </c>
      <c r="BI39" s="319">
        <v>0</v>
      </c>
      <c r="BJ39" s="320">
        <v>0</v>
      </c>
      <c r="BK39" s="319">
        <v>0</v>
      </c>
      <c r="BL39" s="320">
        <v>0</v>
      </c>
      <c r="BM39" s="319">
        <v>0</v>
      </c>
      <c r="BN39" s="320">
        <v>0</v>
      </c>
      <c r="BO39" s="319">
        <v>0</v>
      </c>
      <c r="BP39" s="320">
        <v>0</v>
      </c>
      <c r="BQ39" s="319">
        <v>0</v>
      </c>
      <c r="BR39" s="320">
        <v>0</v>
      </c>
      <c r="BS39" s="319">
        <v>0</v>
      </c>
      <c r="BT39" s="320">
        <v>0</v>
      </c>
      <c r="BU39" s="319">
        <v>0</v>
      </c>
      <c r="BV39" s="320">
        <v>0</v>
      </c>
      <c r="BW39" s="319">
        <v>0</v>
      </c>
      <c r="BX39" s="320">
        <v>0</v>
      </c>
      <c r="BY39" s="319">
        <v>0</v>
      </c>
      <c r="BZ39" s="320">
        <v>0</v>
      </c>
      <c r="CA39" s="319">
        <v>0</v>
      </c>
      <c r="CB39" s="320">
        <v>0</v>
      </c>
      <c r="CC39" s="319">
        <v>0</v>
      </c>
      <c r="CD39" s="320">
        <v>0</v>
      </c>
      <c r="CE39" s="319">
        <v>0</v>
      </c>
      <c r="CF39" s="320">
        <v>0</v>
      </c>
      <c r="CG39" s="319">
        <v>0</v>
      </c>
      <c r="CH39" s="320">
        <v>0</v>
      </c>
      <c r="CI39" s="319">
        <v>0</v>
      </c>
      <c r="CJ39" s="320">
        <v>0</v>
      </c>
      <c r="CK39" s="319">
        <v>0</v>
      </c>
      <c r="CL39" s="320">
        <v>0</v>
      </c>
      <c r="CM39" s="319">
        <v>0</v>
      </c>
      <c r="CN39" s="320">
        <v>0</v>
      </c>
      <c r="CO39" s="319">
        <v>0</v>
      </c>
      <c r="CP39" s="320">
        <v>0</v>
      </c>
      <c r="CQ39" s="319">
        <v>0</v>
      </c>
      <c r="CR39" s="320">
        <v>0</v>
      </c>
      <c r="CS39" s="319">
        <v>0</v>
      </c>
      <c r="CT39" s="320">
        <v>0</v>
      </c>
      <c r="CU39" s="319">
        <v>0</v>
      </c>
      <c r="CV39" s="320">
        <v>0</v>
      </c>
      <c r="CW39" s="319">
        <v>0</v>
      </c>
      <c r="CX39" s="320">
        <v>0</v>
      </c>
      <c r="CY39" s="319">
        <v>0</v>
      </c>
      <c r="CZ39" s="320">
        <v>0</v>
      </c>
      <c r="DA39" s="319">
        <v>0</v>
      </c>
      <c r="DB39" s="320">
        <v>0</v>
      </c>
      <c r="DC39" s="319">
        <v>0</v>
      </c>
      <c r="DD39" s="320">
        <v>0</v>
      </c>
      <c r="DE39" s="319">
        <v>0</v>
      </c>
      <c r="DF39" s="320">
        <v>0</v>
      </c>
      <c r="DG39" s="319">
        <v>0</v>
      </c>
      <c r="DH39" s="320">
        <v>0</v>
      </c>
      <c r="DI39" s="319">
        <v>0</v>
      </c>
      <c r="DJ39" s="320">
        <v>0</v>
      </c>
      <c r="DK39" s="319">
        <v>0</v>
      </c>
      <c r="DL39" s="320">
        <v>0</v>
      </c>
      <c r="DM39" s="319">
        <v>0</v>
      </c>
      <c r="DN39" s="320">
        <v>0</v>
      </c>
      <c r="DO39" s="319">
        <v>0</v>
      </c>
      <c r="DP39" s="320">
        <v>0</v>
      </c>
      <c r="DQ39" s="319">
        <v>0</v>
      </c>
      <c r="DR39" s="320">
        <v>0</v>
      </c>
      <c r="DS39" s="319">
        <v>0</v>
      </c>
      <c r="DT39" s="320">
        <v>0</v>
      </c>
      <c r="DU39" s="319">
        <v>0</v>
      </c>
      <c r="DV39" s="320">
        <v>0</v>
      </c>
      <c r="DW39" s="319">
        <v>0</v>
      </c>
      <c r="DX39" s="320">
        <v>0</v>
      </c>
      <c r="DY39" s="319">
        <v>0</v>
      </c>
      <c r="DZ39" s="320">
        <v>0</v>
      </c>
      <c r="EA39" s="319">
        <v>0</v>
      </c>
      <c r="EB39" s="320">
        <v>0</v>
      </c>
      <c r="EC39" s="319">
        <v>0</v>
      </c>
      <c r="ED39" s="320">
        <v>0</v>
      </c>
      <c r="EE39" s="319">
        <v>0</v>
      </c>
      <c r="EF39" s="320">
        <v>0</v>
      </c>
      <c r="EG39" s="319">
        <v>0</v>
      </c>
      <c r="EH39" s="320">
        <v>0</v>
      </c>
      <c r="EI39" s="319">
        <v>0</v>
      </c>
      <c r="EJ39" s="320">
        <v>0</v>
      </c>
      <c r="EK39" s="319">
        <v>0</v>
      </c>
      <c r="EL39" s="320">
        <v>0</v>
      </c>
      <c r="EM39" s="319">
        <v>0</v>
      </c>
      <c r="EN39" s="320">
        <v>0</v>
      </c>
      <c r="EO39" s="319">
        <v>0</v>
      </c>
      <c r="EP39" s="320">
        <v>0</v>
      </c>
      <c r="EQ39" s="319">
        <v>0</v>
      </c>
      <c r="ER39" s="320">
        <v>0</v>
      </c>
      <c r="ES39" s="319">
        <v>0</v>
      </c>
      <c r="ET39" s="320">
        <v>0</v>
      </c>
      <c r="EU39" s="319">
        <v>0</v>
      </c>
      <c r="EV39" s="320">
        <v>0</v>
      </c>
      <c r="EW39" s="319">
        <v>0</v>
      </c>
      <c r="EX39" s="320">
        <v>0</v>
      </c>
      <c r="EY39" s="319">
        <v>0</v>
      </c>
      <c r="EZ39" s="320">
        <v>0</v>
      </c>
      <c r="FA39" s="319">
        <v>0</v>
      </c>
      <c r="FB39" s="320">
        <v>0</v>
      </c>
      <c r="FC39" s="319">
        <v>0</v>
      </c>
      <c r="FD39" s="320">
        <v>0</v>
      </c>
      <c r="FE39" s="319">
        <v>0</v>
      </c>
      <c r="FF39" s="320">
        <v>0</v>
      </c>
      <c r="FG39" s="319">
        <v>0</v>
      </c>
      <c r="FH39" s="320">
        <v>0</v>
      </c>
      <c r="FI39" s="319">
        <v>0</v>
      </c>
      <c r="FJ39" s="320">
        <v>0</v>
      </c>
      <c r="FK39" s="319">
        <v>0</v>
      </c>
      <c r="FL39" s="320">
        <v>0</v>
      </c>
      <c r="FM39" s="319">
        <v>0</v>
      </c>
      <c r="FN39" s="320">
        <v>0</v>
      </c>
      <c r="FO39" s="319">
        <v>0</v>
      </c>
      <c r="FP39" s="320">
        <v>0</v>
      </c>
      <c r="FQ39" s="319">
        <v>0</v>
      </c>
      <c r="FR39" s="320">
        <v>0</v>
      </c>
      <c r="FS39" s="319">
        <v>0</v>
      </c>
      <c r="FT39" s="320">
        <v>0</v>
      </c>
      <c r="FU39" s="319">
        <v>0</v>
      </c>
      <c r="FV39" s="320">
        <v>0</v>
      </c>
      <c r="FW39" s="319">
        <v>0</v>
      </c>
      <c r="FX39" s="320">
        <v>0</v>
      </c>
      <c r="FY39" s="319">
        <v>0</v>
      </c>
      <c r="FZ39" s="320">
        <v>0</v>
      </c>
      <c r="GA39" s="319">
        <v>0</v>
      </c>
      <c r="GB39" s="320">
        <v>0</v>
      </c>
      <c r="GC39" s="319">
        <v>0</v>
      </c>
      <c r="GD39" s="320">
        <v>0</v>
      </c>
      <c r="GE39" s="319">
        <v>0</v>
      </c>
      <c r="GF39" s="320">
        <v>0</v>
      </c>
      <c r="GG39" s="319">
        <v>0</v>
      </c>
      <c r="GH39" s="320">
        <v>0</v>
      </c>
      <c r="GI39" s="319">
        <v>0</v>
      </c>
      <c r="GJ39" s="320">
        <v>0</v>
      </c>
      <c r="GK39" s="319">
        <v>0</v>
      </c>
      <c r="GL39" s="320">
        <v>0</v>
      </c>
      <c r="GM39" s="319">
        <v>0</v>
      </c>
      <c r="GN39" s="320">
        <v>0</v>
      </c>
      <c r="GO39" s="319">
        <v>0</v>
      </c>
      <c r="GP39" s="320">
        <v>0</v>
      </c>
      <c r="GQ39" s="319">
        <v>0</v>
      </c>
      <c r="GR39" s="320">
        <v>0</v>
      </c>
      <c r="GS39" s="319">
        <v>0</v>
      </c>
      <c r="GT39" s="320">
        <v>0</v>
      </c>
      <c r="GU39" s="319">
        <v>0</v>
      </c>
      <c r="GV39" s="320">
        <v>0</v>
      </c>
      <c r="GW39" s="319">
        <v>0</v>
      </c>
      <c r="GX39" s="320">
        <v>0</v>
      </c>
      <c r="GY39" s="319">
        <v>0</v>
      </c>
      <c r="GZ39" s="320">
        <v>0</v>
      </c>
    </row>
    <row r="40" spans="1:208" s="89" customFormat="1" ht="22.5" customHeight="1" thickBot="1" x14ac:dyDescent="0.25">
      <c r="A40" s="296" t="s">
        <v>3201</v>
      </c>
      <c r="B40" s="297" t="s">
        <v>3202</v>
      </c>
      <c r="C40" s="298" t="s">
        <v>3170</v>
      </c>
      <c r="D40" s="299" t="s">
        <v>3203</v>
      </c>
      <c r="E40" s="299" t="s">
        <v>3204</v>
      </c>
      <c r="F40" s="300" t="s">
        <v>3166</v>
      </c>
      <c r="G40" s="300" t="s">
        <v>3167</v>
      </c>
      <c r="H40" s="301" t="s">
        <v>1477</v>
      </c>
      <c r="I40" s="302" t="s">
        <v>1477</v>
      </c>
      <c r="J40" s="340" t="s">
        <v>3174</v>
      </c>
      <c r="K40" s="343" t="s">
        <v>53</v>
      </c>
      <c r="L40" s="256">
        <f>CONTINUA!BV40</f>
        <v>0</v>
      </c>
      <c r="M40" s="256">
        <f>CONTINUA!BW40</f>
        <v>0</v>
      </c>
      <c r="N40" s="564"/>
      <c r="O40" s="565" t="s">
        <v>3338</v>
      </c>
      <c r="P40" s="566">
        <v>0</v>
      </c>
      <c r="Q40" s="319">
        <v>0</v>
      </c>
      <c r="R40" s="320">
        <v>0</v>
      </c>
      <c r="S40" s="319">
        <v>0</v>
      </c>
      <c r="T40" s="320">
        <v>0</v>
      </c>
      <c r="U40" s="321">
        <v>0</v>
      </c>
      <c r="V40" s="322">
        <v>0</v>
      </c>
      <c r="W40" s="319">
        <v>0</v>
      </c>
      <c r="X40" s="320">
        <v>0</v>
      </c>
      <c r="Y40" s="319">
        <v>0</v>
      </c>
      <c r="Z40" s="320">
        <v>0</v>
      </c>
      <c r="AA40" s="321">
        <v>0</v>
      </c>
      <c r="AB40" s="322">
        <v>0</v>
      </c>
      <c r="AC40" s="319">
        <v>0</v>
      </c>
      <c r="AD40" s="320">
        <v>0</v>
      </c>
      <c r="AE40" s="319">
        <v>0</v>
      </c>
      <c r="AF40" s="320">
        <v>0</v>
      </c>
      <c r="AG40" s="321">
        <v>0</v>
      </c>
      <c r="AH40" s="322">
        <v>0</v>
      </c>
      <c r="AI40" s="319">
        <v>0</v>
      </c>
      <c r="AJ40" s="320">
        <v>0</v>
      </c>
      <c r="AK40" s="319">
        <v>0</v>
      </c>
      <c r="AL40" s="320">
        <v>0</v>
      </c>
      <c r="AM40" s="321">
        <v>0</v>
      </c>
      <c r="AN40" s="322">
        <v>0</v>
      </c>
      <c r="AO40" s="319">
        <v>0</v>
      </c>
      <c r="AP40" s="320">
        <v>0</v>
      </c>
      <c r="AQ40" s="319">
        <v>0</v>
      </c>
      <c r="AR40" s="320">
        <v>0</v>
      </c>
      <c r="AS40" s="321">
        <v>0</v>
      </c>
      <c r="AT40" s="322">
        <v>0</v>
      </c>
      <c r="AU40" s="319">
        <v>0</v>
      </c>
      <c r="AV40" s="320">
        <v>0</v>
      </c>
      <c r="AW40" s="319">
        <v>0</v>
      </c>
      <c r="AX40" s="320">
        <v>0</v>
      </c>
      <c r="AY40" s="321">
        <v>0</v>
      </c>
      <c r="AZ40" s="322">
        <v>0</v>
      </c>
      <c r="BA40" s="319">
        <v>0</v>
      </c>
      <c r="BB40" s="320">
        <v>0</v>
      </c>
      <c r="BC40" s="319">
        <v>0</v>
      </c>
      <c r="BD40" s="320">
        <v>0</v>
      </c>
      <c r="BE40" s="321">
        <v>0</v>
      </c>
      <c r="BF40" s="322">
        <v>0</v>
      </c>
      <c r="BG40" s="319">
        <v>0</v>
      </c>
      <c r="BH40" s="320">
        <v>0</v>
      </c>
      <c r="BI40" s="319">
        <v>0</v>
      </c>
      <c r="BJ40" s="320">
        <v>0</v>
      </c>
      <c r="BK40" s="321">
        <v>0</v>
      </c>
      <c r="BL40" s="322">
        <v>0</v>
      </c>
      <c r="BM40" s="319">
        <v>0</v>
      </c>
      <c r="BN40" s="320">
        <v>0</v>
      </c>
      <c r="BO40" s="319">
        <v>0</v>
      </c>
      <c r="BP40" s="320">
        <v>0</v>
      </c>
      <c r="BQ40" s="321">
        <v>0</v>
      </c>
      <c r="BR40" s="322">
        <v>0</v>
      </c>
      <c r="BS40" s="319">
        <v>0</v>
      </c>
      <c r="BT40" s="320">
        <v>0</v>
      </c>
      <c r="BU40" s="319">
        <v>0</v>
      </c>
      <c r="BV40" s="320">
        <v>0</v>
      </c>
      <c r="BW40" s="321">
        <v>0</v>
      </c>
      <c r="BX40" s="322">
        <v>0</v>
      </c>
      <c r="BY40" s="319">
        <v>0</v>
      </c>
      <c r="BZ40" s="320">
        <v>0</v>
      </c>
      <c r="CA40" s="319">
        <v>0</v>
      </c>
      <c r="CB40" s="320">
        <v>0</v>
      </c>
      <c r="CC40" s="321">
        <v>0</v>
      </c>
      <c r="CD40" s="322">
        <v>0</v>
      </c>
      <c r="CE40" s="319">
        <v>0</v>
      </c>
      <c r="CF40" s="320">
        <v>0</v>
      </c>
      <c r="CG40" s="319">
        <v>0</v>
      </c>
      <c r="CH40" s="320">
        <v>0</v>
      </c>
      <c r="CI40" s="321">
        <v>0</v>
      </c>
      <c r="CJ40" s="322">
        <v>0</v>
      </c>
      <c r="CK40" s="319">
        <v>0</v>
      </c>
      <c r="CL40" s="320">
        <v>0</v>
      </c>
      <c r="CM40" s="319">
        <v>0</v>
      </c>
      <c r="CN40" s="320">
        <v>0</v>
      </c>
      <c r="CO40" s="321">
        <v>0</v>
      </c>
      <c r="CP40" s="322">
        <v>0</v>
      </c>
      <c r="CQ40" s="319">
        <v>0</v>
      </c>
      <c r="CR40" s="320">
        <v>0</v>
      </c>
      <c r="CS40" s="319">
        <v>0</v>
      </c>
      <c r="CT40" s="320">
        <v>0</v>
      </c>
      <c r="CU40" s="321">
        <v>0</v>
      </c>
      <c r="CV40" s="322">
        <v>0</v>
      </c>
      <c r="CW40" s="319">
        <v>0</v>
      </c>
      <c r="CX40" s="320">
        <v>0</v>
      </c>
      <c r="CY40" s="319">
        <v>0</v>
      </c>
      <c r="CZ40" s="320">
        <v>0</v>
      </c>
      <c r="DA40" s="321">
        <v>0</v>
      </c>
      <c r="DB40" s="322">
        <v>0</v>
      </c>
      <c r="DC40" s="319">
        <v>0</v>
      </c>
      <c r="DD40" s="320">
        <v>0</v>
      </c>
      <c r="DE40" s="319">
        <v>0</v>
      </c>
      <c r="DF40" s="320">
        <v>0</v>
      </c>
      <c r="DG40" s="321">
        <v>0</v>
      </c>
      <c r="DH40" s="322">
        <v>0</v>
      </c>
      <c r="DI40" s="319">
        <v>0</v>
      </c>
      <c r="DJ40" s="320">
        <v>0</v>
      </c>
      <c r="DK40" s="319">
        <v>0</v>
      </c>
      <c r="DL40" s="320">
        <v>0</v>
      </c>
      <c r="DM40" s="321">
        <v>0</v>
      </c>
      <c r="DN40" s="322">
        <v>0</v>
      </c>
      <c r="DO40" s="319">
        <v>0</v>
      </c>
      <c r="DP40" s="320">
        <v>0</v>
      </c>
      <c r="DQ40" s="319">
        <v>0</v>
      </c>
      <c r="DR40" s="320">
        <v>0</v>
      </c>
      <c r="DS40" s="321">
        <v>0</v>
      </c>
      <c r="DT40" s="322">
        <v>0</v>
      </c>
      <c r="DU40" s="319">
        <v>0</v>
      </c>
      <c r="DV40" s="320">
        <v>0</v>
      </c>
      <c r="DW40" s="319">
        <v>0</v>
      </c>
      <c r="DX40" s="320">
        <v>0</v>
      </c>
      <c r="DY40" s="321">
        <v>0</v>
      </c>
      <c r="DZ40" s="322">
        <v>0</v>
      </c>
      <c r="EA40" s="319">
        <v>0</v>
      </c>
      <c r="EB40" s="320">
        <v>0</v>
      </c>
      <c r="EC40" s="319">
        <v>0</v>
      </c>
      <c r="ED40" s="320">
        <v>0</v>
      </c>
      <c r="EE40" s="321">
        <v>0</v>
      </c>
      <c r="EF40" s="322">
        <v>0</v>
      </c>
      <c r="EG40" s="319">
        <v>0</v>
      </c>
      <c r="EH40" s="320">
        <v>0</v>
      </c>
      <c r="EI40" s="319">
        <v>0</v>
      </c>
      <c r="EJ40" s="320">
        <v>0</v>
      </c>
      <c r="EK40" s="321">
        <v>0</v>
      </c>
      <c r="EL40" s="322">
        <v>0</v>
      </c>
      <c r="EM40" s="319">
        <v>0</v>
      </c>
      <c r="EN40" s="320">
        <v>0</v>
      </c>
      <c r="EO40" s="319">
        <v>0</v>
      </c>
      <c r="EP40" s="320">
        <v>0</v>
      </c>
      <c r="EQ40" s="321">
        <v>0</v>
      </c>
      <c r="ER40" s="322">
        <v>0</v>
      </c>
      <c r="ES40" s="319">
        <v>0</v>
      </c>
      <c r="ET40" s="320">
        <v>0</v>
      </c>
      <c r="EU40" s="319">
        <v>0</v>
      </c>
      <c r="EV40" s="320">
        <v>0</v>
      </c>
      <c r="EW40" s="321">
        <v>0</v>
      </c>
      <c r="EX40" s="322">
        <v>0</v>
      </c>
      <c r="EY40" s="319">
        <v>0</v>
      </c>
      <c r="EZ40" s="320">
        <v>0</v>
      </c>
      <c r="FA40" s="319">
        <v>0</v>
      </c>
      <c r="FB40" s="320">
        <v>0</v>
      </c>
      <c r="FC40" s="321">
        <v>0</v>
      </c>
      <c r="FD40" s="322">
        <v>0</v>
      </c>
      <c r="FE40" s="319">
        <v>0</v>
      </c>
      <c r="FF40" s="320">
        <v>0</v>
      </c>
      <c r="FG40" s="319">
        <v>0</v>
      </c>
      <c r="FH40" s="320">
        <v>0</v>
      </c>
      <c r="FI40" s="321">
        <v>0</v>
      </c>
      <c r="FJ40" s="322">
        <v>0</v>
      </c>
      <c r="FK40" s="319">
        <v>0</v>
      </c>
      <c r="FL40" s="320">
        <v>0</v>
      </c>
      <c r="FM40" s="319">
        <v>0</v>
      </c>
      <c r="FN40" s="320">
        <v>0</v>
      </c>
      <c r="FO40" s="321">
        <v>0</v>
      </c>
      <c r="FP40" s="322">
        <v>0</v>
      </c>
      <c r="FQ40" s="319">
        <v>0</v>
      </c>
      <c r="FR40" s="320">
        <v>0</v>
      </c>
      <c r="FS40" s="319">
        <v>0</v>
      </c>
      <c r="FT40" s="320">
        <v>0</v>
      </c>
      <c r="FU40" s="321">
        <v>0</v>
      </c>
      <c r="FV40" s="322">
        <v>0</v>
      </c>
      <c r="FW40" s="319">
        <v>0</v>
      </c>
      <c r="FX40" s="320">
        <v>0</v>
      </c>
      <c r="FY40" s="319">
        <v>0</v>
      </c>
      <c r="FZ40" s="320">
        <v>0</v>
      </c>
      <c r="GA40" s="321">
        <v>0</v>
      </c>
      <c r="GB40" s="322">
        <v>0</v>
      </c>
      <c r="GC40" s="319">
        <v>0</v>
      </c>
      <c r="GD40" s="320">
        <v>0</v>
      </c>
      <c r="GE40" s="319">
        <v>0</v>
      </c>
      <c r="GF40" s="320">
        <v>0</v>
      </c>
      <c r="GG40" s="321">
        <v>0</v>
      </c>
      <c r="GH40" s="322">
        <v>0</v>
      </c>
      <c r="GI40" s="319">
        <v>0</v>
      </c>
      <c r="GJ40" s="320">
        <v>0</v>
      </c>
      <c r="GK40" s="319">
        <v>0</v>
      </c>
      <c r="GL40" s="320">
        <v>0</v>
      </c>
      <c r="GM40" s="321">
        <v>0</v>
      </c>
      <c r="GN40" s="322">
        <v>0</v>
      </c>
      <c r="GO40" s="319">
        <v>0</v>
      </c>
      <c r="GP40" s="320">
        <v>0</v>
      </c>
      <c r="GQ40" s="319">
        <v>0</v>
      </c>
      <c r="GR40" s="320">
        <v>0</v>
      </c>
      <c r="GS40" s="321">
        <v>0</v>
      </c>
      <c r="GT40" s="322">
        <v>0</v>
      </c>
      <c r="GU40" s="319">
        <v>0</v>
      </c>
      <c r="GV40" s="320">
        <v>0</v>
      </c>
      <c r="GW40" s="319">
        <v>0</v>
      </c>
      <c r="GX40" s="320">
        <v>0</v>
      </c>
      <c r="GY40" s="321">
        <v>0</v>
      </c>
      <c r="GZ40" s="322">
        <v>0</v>
      </c>
    </row>
    <row r="41" spans="1:208" s="89" customFormat="1" ht="22.5" customHeight="1" x14ac:dyDescent="0.2">
      <c r="A41" t="s">
        <v>3205</v>
      </c>
      <c r="B41" s="429" t="s">
        <v>3206</v>
      </c>
      <c r="C41" s="430">
        <v>1</v>
      </c>
      <c r="D41" s="431" t="s">
        <v>3207</v>
      </c>
      <c r="E41" s="431" t="s">
        <v>3208</v>
      </c>
      <c r="F41" s="432" t="s">
        <v>3166</v>
      </c>
      <c r="G41" s="432" t="s">
        <v>3167</v>
      </c>
      <c r="H41" s="270" t="s">
        <v>1478</v>
      </c>
      <c r="I41" s="271" t="s">
        <v>1478</v>
      </c>
      <c r="J41" s="328" t="s">
        <v>3168</v>
      </c>
      <c r="K41" s="329" t="s">
        <v>3169</v>
      </c>
      <c r="L41" s="256">
        <f>CONTINUA!BV41</f>
        <v>0</v>
      </c>
      <c r="M41" s="256">
        <f>CONTINUA!BW41</f>
        <v>0</v>
      </c>
      <c r="N41" s="564"/>
      <c r="O41" s="565" t="s">
        <v>3339</v>
      </c>
      <c r="P41" s="566">
        <v>0</v>
      </c>
      <c r="Q41" s="319">
        <v>26</v>
      </c>
      <c r="R41" s="320"/>
      <c r="S41" s="319">
        <v>0</v>
      </c>
      <c r="T41" s="320"/>
      <c r="U41" s="321">
        <v>0</v>
      </c>
      <c r="V41" s="322">
        <v>0</v>
      </c>
      <c r="W41" s="319">
        <v>26</v>
      </c>
      <c r="X41" s="320"/>
      <c r="Y41" s="319">
        <v>0</v>
      </c>
      <c r="Z41" s="320"/>
      <c r="AA41" s="321">
        <v>0</v>
      </c>
      <c r="AB41" s="322">
        <v>0</v>
      </c>
      <c r="AC41" s="319">
        <v>26</v>
      </c>
      <c r="AD41" s="320"/>
      <c r="AE41" s="319">
        <v>0</v>
      </c>
      <c r="AF41" s="320"/>
      <c r="AG41" s="321">
        <v>0</v>
      </c>
      <c r="AH41" s="322">
        <v>0</v>
      </c>
      <c r="AI41" s="319">
        <v>26</v>
      </c>
      <c r="AJ41" s="320"/>
      <c r="AK41" s="319">
        <v>0</v>
      </c>
      <c r="AL41" s="320"/>
      <c r="AM41" s="321">
        <v>0</v>
      </c>
      <c r="AN41" s="322">
        <v>0</v>
      </c>
      <c r="AO41" s="319">
        <v>26</v>
      </c>
      <c r="AP41" s="320"/>
      <c r="AQ41" s="319">
        <v>0</v>
      </c>
      <c r="AR41" s="320"/>
      <c r="AS41" s="321">
        <v>0</v>
      </c>
      <c r="AT41" s="322">
        <v>0</v>
      </c>
      <c r="AU41" s="319">
        <v>26</v>
      </c>
      <c r="AV41" s="320"/>
      <c r="AW41" s="319">
        <v>0</v>
      </c>
      <c r="AX41" s="320"/>
      <c r="AY41" s="321">
        <v>0</v>
      </c>
      <c r="AZ41" s="322">
        <v>0</v>
      </c>
      <c r="BA41" s="319">
        <v>26</v>
      </c>
      <c r="BB41" s="320"/>
      <c r="BC41" s="319">
        <v>0</v>
      </c>
      <c r="BD41" s="320"/>
      <c r="BE41" s="321">
        <v>0</v>
      </c>
      <c r="BF41" s="322">
        <v>0</v>
      </c>
      <c r="BG41" s="319">
        <v>26</v>
      </c>
      <c r="BH41" s="320"/>
      <c r="BI41" s="319">
        <v>0</v>
      </c>
      <c r="BJ41" s="320"/>
      <c r="BK41" s="321">
        <v>0</v>
      </c>
      <c r="BL41" s="322">
        <v>0</v>
      </c>
      <c r="BM41" s="319">
        <v>26</v>
      </c>
      <c r="BN41" s="320"/>
      <c r="BO41" s="319">
        <v>0</v>
      </c>
      <c r="BP41" s="320"/>
      <c r="BQ41" s="321">
        <v>0</v>
      </c>
      <c r="BR41" s="322">
        <v>0</v>
      </c>
      <c r="BS41" s="319">
        <v>26</v>
      </c>
      <c r="BT41" s="320"/>
      <c r="BU41" s="319">
        <v>0</v>
      </c>
      <c r="BV41" s="320"/>
      <c r="BW41" s="321">
        <v>0</v>
      </c>
      <c r="BX41" s="322">
        <v>0</v>
      </c>
      <c r="BY41" s="319">
        <v>26</v>
      </c>
      <c r="BZ41" s="320"/>
      <c r="CA41" s="319">
        <v>0</v>
      </c>
      <c r="CB41" s="320"/>
      <c r="CC41" s="321">
        <v>0</v>
      </c>
      <c r="CD41" s="322">
        <v>0</v>
      </c>
      <c r="CE41" s="319">
        <v>26</v>
      </c>
      <c r="CF41" s="320"/>
      <c r="CG41" s="319">
        <v>0</v>
      </c>
      <c r="CH41" s="320"/>
      <c r="CI41" s="321">
        <v>0</v>
      </c>
      <c r="CJ41" s="322">
        <v>0</v>
      </c>
      <c r="CK41" s="319">
        <v>26</v>
      </c>
      <c r="CL41" s="320"/>
      <c r="CM41" s="319">
        <v>0</v>
      </c>
      <c r="CN41" s="320"/>
      <c r="CO41" s="321">
        <v>0</v>
      </c>
      <c r="CP41" s="322">
        <v>0</v>
      </c>
      <c r="CQ41" s="319">
        <v>26</v>
      </c>
      <c r="CR41" s="320"/>
      <c r="CS41" s="319">
        <v>0</v>
      </c>
      <c r="CT41" s="320"/>
      <c r="CU41" s="321">
        <v>0</v>
      </c>
      <c r="CV41" s="322">
        <v>0</v>
      </c>
      <c r="CW41" s="319">
        <v>26</v>
      </c>
      <c r="CX41" s="320"/>
      <c r="CY41" s="319">
        <v>0</v>
      </c>
      <c r="CZ41" s="320"/>
      <c r="DA41" s="321">
        <v>0</v>
      </c>
      <c r="DB41" s="322">
        <v>0</v>
      </c>
      <c r="DC41" s="319">
        <v>26</v>
      </c>
      <c r="DD41" s="320"/>
      <c r="DE41" s="319">
        <v>0</v>
      </c>
      <c r="DF41" s="320"/>
      <c r="DG41" s="321">
        <v>0</v>
      </c>
      <c r="DH41" s="322">
        <v>0</v>
      </c>
      <c r="DI41" s="319">
        <v>26</v>
      </c>
      <c r="DJ41" s="320"/>
      <c r="DK41" s="319">
        <v>0</v>
      </c>
      <c r="DL41" s="320"/>
      <c r="DM41" s="321">
        <v>0</v>
      </c>
      <c r="DN41" s="322">
        <v>0</v>
      </c>
      <c r="DO41" s="319">
        <v>26</v>
      </c>
      <c r="DP41" s="320"/>
      <c r="DQ41" s="319">
        <v>0</v>
      </c>
      <c r="DR41" s="320"/>
      <c r="DS41" s="321">
        <v>0</v>
      </c>
      <c r="DT41" s="322">
        <v>0</v>
      </c>
      <c r="DU41" s="319">
        <v>26</v>
      </c>
      <c r="DV41" s="320"/>
      <c r="DW41" s="319">
        <v>0</v>
      </c>
      <c r="DX41" s="320"/>
      <c r="DY41" s="321">
        <v>0</v>
      </c>
      <c r="DZ41" s="322">
        <v>0</v>
      </c>
      <c r="EA41" s="319">
        <v>26</v>
      </c>
      <c r="EB41" s="320"/>
      <c r="EC41" s="319">
        <v>0</v>
      </c>
      <c r="ED41" s="320"/>
      <c r="EE41" s="321">
        <v>0</v>
      </c>
      <c r="EF41" s="322">
        <v>0</v>
      </c>
      <c r="EG41" s="319">
        <v>26</v>
      </c>
      <c r="EH41" s="320"/>
      <c r="EI41" s="319">
        <v>0</v>
      </c>
      <c r="EJ41" s="320"/>
      <c r="EK41" s="321">
        <v>0</v>
      </c>
      <c r="EL41" s="322">
        <v>0</v>
      </c>
      <c r="EM41" s="319">
        <v>26</v>
      </c>
      <c r="EN41" s="320"/>
      <c r="EO41" s="319">
        <v>0</v>
      </c>
      <c r="EP41" s="320"/>
      <c r="EQ41" s="321">
        <v>0</v>
      </c>
      <c r="ER41" s="322">
        <v>0</v>
      </c>
      <c r="ES41" s="319">
        <v>26</v>
      </c>
      <c r="ET41" s="320"/>
      <c r="EU41" s="319">
        <v>0</v>
      </c>
      <c r="EV41" s="320"/>
      <c r="EW41" s="321">
        <v>0</v>
      </c>
      <c r="EX41" s="322">
        <v>0</v>
      </c>
      <c r="EY41" s="319">
        <v>26</v>
      </c>
      <c r="EZ41" s="320"/>
      <c r="FA41" s="319">
        <v>0</v>
      </c>
      <c r="FB41" s="320"/>
      <c r="FC41" s="321">
        <v>0</v>
      </c>
      <c r="FD41" s="322">
        <v>0</v>
      </c>
      <c r="FE41" s="319">
        <v>26</v>
      </c>
      <c r="FF41" s="320"/>
      <c r="FG41" s="319">
        <v>0</v>
      </c>
      <c r="FH41" s="320"/>
      <c r="FI41" s="321">
        <v>0</v>
      </c>
      <c r="FJ41" s="322">
        <v>0</v>
      </c>
      <c r="FK41" s="319">
        <v>26</v>
      </c>
      <c r="FL41" s="320"/>
      <c r="FM41" s="319">
        <v>0</v>
      </c>
      <c r="FN41" s="320"/>
      <c r="FO41" s="321">
        <v>0</v>
      </c>
      <c r="FP41" s="322">
        <v>0</v>
      </c>
      <c r="FQ41" s="319">
        <v>26</v>
      </c>
      <c r="FR41" s="320"/>
      <c r="FS41" s="319">
        <v>0</v>
      </c>
      <c r="FT41" s="320"/>
      <c r="FU41" s="321">
        <v>0</v>
      </c>
      <c r="FV41" s="322">
        <v>0</v>
      </c>
      <c r="FW41" s="319">
        <v>26</v>
      </c>
      <c r="FX41" s="320"/>
      <c r="FY41" s="319">
        <v>0</v>
      </c>
      <c r="FZ41" s="320"/>
      <c r="GA41" s="321">
        <v>0</v>
      </c>
      <c r="GB41" s="322">
        <v>0</v>
      </c>
      <c r="GC41" s="319">
        <v>26</v>
      </c>
      <c r="GD41" s="320"/>
      <c r="GE41" s="319">
        <v>0</v>
      </c>
      <c r="GF41" s="320"/>
      <c r="GG41" s="321">
        <v>0</v>
      </c>
      <c r="GH41" s="322">
        <v>0</v>
      </c>
      <c r="GI41" s="319">
        <v>26</v>
      </c>
      <c r="GJ41" s="320"/>
      <c r="GK41" s="319">
        <v>0</v>
      </c>
      <c r="GL41" s="320"/>
      <c r="GM41" s="321">
        <v>0</v>
      </c>
      <c r="GN41" s="322">
        <v>0</v>
      </c>
      <c r="GO41" s="319">
        <v>26</v>
      </c>
      <c r="GP41" s="320"/>
      <c r="GQ41" s="319">
        <v>0</v>
      </c>
      <c r="GR41" s="320"/>
      <c r="GS41" s="321">
        <v>0</v>
      </c>
      <c r="GT41" s="322">
        <v>0</v>
      </c>
      <c r="GU41" s="319">
        <v>26</v>
      </c>
      <c r="GV41" s="320"/>
      <c r="GW41" s="319">
        <v>0</v>
      </c>
      <c r="GX41" s="320"/>
      <c r="GY41" s="321">
        <v>0</v>
      </c>
      <c r="GZ41" s="322">
        <v>0</v>
      </c>
    </row>
    <row r="42" spans="1:208" s="89" customFormat="1" ht="22.5" customHeight="1" x14ac:dyDescent="0.2">
      <c r="A42" s="287" t="s">
        <v>3205</v>
      </c>
      <c r="B42" s="288" t="s">
        <v>3206</v>
      </c>
      <c r="C42" s="289" t="s">
        <v>3170</v>
      </c>
      <c r="D42" s="290" t="s">
        <v>3207</v>
      </c>
      <c r="E42" s="290" t="s">
        <v>3208</v>
      </c>
      <c r="F42" s="291" t="s">
        <v>3166</v>
      </c>
      <c r="G42" s="291" t="s">
        <v>3167</v>
      </c>
      <c r="H42" s="292" t="s">
        <v>1478</v>
      </c>
      <c r="I42" s="293" t="s">
        <v>1478</v>
      </c>
      <c r="J42" s="340" t="s">
        <v>3168</v>
      </c>
      <c r="K42" s="340" t="s">
        <v>3171</v>
      </c>
      <c r="L42" s="256">
        <f>CONTINUA!BV42</f>
        <v>0</v>
      </c>
      <c r="M42" s="256">
        <f>CONTINUA!BW42</f>
        <v>0</v>
      </c>
      <c r="N42" s="564"/>
      <c r="O42" s="565" t="s">
        <v>3339</v>
      </c>
      <c r="P42" s="566">
        <v>0</v>
      </c>
      <c r="Q42" s="319">
        <v>22</v>
      </c>
      <c r="R42" s="320"/>
      <c r="S42" s="319">
        <v>0</v>
      </c>
      <c r="T42" s="320"/>
      <c r="U42" s="319">
        <v>0</v>
      </c>
      <c r="V42" s="320">
        <v>0</v>
      </c>
      <c r="W42" s="319">
        <v>22</v>
      </c>
      <c r="X42" s="320"/>
      <c r="Y42" s="319">
        <v>0</v>
      </c>
      <c r="Z42" s="320"/>
      <c r="AA42" s="319">
        <v>0</v>
      </c>
      <c r="AB42" s="320">
        <v>0</v>
      </c>
      <c r="AC42" s="319">
        <v>22</v>
      </c>
      <c r="AD42" s="320"/>
      <c r="AE42" s="319">
        <v>0</v>
      </c>
      <c r="AF42" s="320"/>
      <c r="AG42" s="319">
        <v>0</v>
      </c>
      <c r="AH42" s="320">
        <v>0</v>
      </c>
      <c r="AI42" s="319">
        <v>22</v>
      </c>
      <c r="AJ42" s="320"/>
      <c r="AK42" s="319">
        <v>0</v>
      </c>
      <c r="AL42" s="320"/>
      <c r="AM42" s="319">
        <v>0</v>
      </c>
      <c r="AN42" s="320">
        <v>0</v>
      </c>
      <c r="AO42" s="319">
        <v>22</v>
      </c>
      <c r="AP42" s="320"/>
      <c r="AQ42" s="319">
        <v>0</v>
      </c>
      <c r="AR42" s="320"/>
      <c r="AS42" s="319">
        <v>0</v>
      </c>
      <c r="AT42" s="320">
        <v>0</v>
      </c>
      <c r="AU42" s="319">
        <v>22</v>
      </c>
      <c r="AV42" s="320"/>
      <c r="AW42" s="319">
        <v>0</v>
      </c>
      <c r="AX42" s="320"/>
      <c r="AY42" s="319">
        <v>0</v>
      </c>
      <c r="AZ42" s="320">
        <v>0</v>
      </c>
      <c r="BA42" s="319">
        <v>22</v>
      </c>
      <c r="BB42" s="320"/>
      <c r="BC42" s="319">
        <v>0</v>
      </c>
      <c r="BD42" s="320"/>
      <c r="BE42" s="319">
        <v>0</v>
      </c>
      <c r="BF42" s="320">
        <v>0</v>
      </c>
      <c r="BG42" s="319">
        <v>22</v>
      </c>
      <c r="BH42" s="320"/>
      <c r="BI42" s="319">
        <v>0</v>
      </c>
      <c r="BJ42" s="320"/>
      <c r="BK42" s="319">
        <v>0</v>
      </c>
      <c r="BL42" s="320">
        <v>0</v>
      </c>
      <c r="BM42" s="319">
        <v>22</v>
      </c>
      <c r="BN42" s="320"/>
      <c r="BO42" s="319">
        <v>0</v>
      </c>
      <c r="BP42" s="320"/>
      <c r="BQ42" s="319">
        <v>0</v>
      </c>
      <c r="BR42" s="320">
        <v>0</v>
      </c>
      <c r="BS42" s="319">
        <v>22</v>
      </c>
      <c r="BT42" s="320"/>
      <c r="BU42" s="319">
        <v>0</v>
      </c>
      <c r="BV42" s="320"/>
      <c r="BW42" s="319">
        <v>0</v>
      </c>
      <c r="BX42" s="320">
        <v>0</v>
      </c>
      <c r="BY42" s="319">
        <v>22</v>
      </c>
      <c r="BZ42" s="320"/>
      <c r="CA42" s="319">
        <v>0</v>
      </c>
      <c r="CB42" s="320"/>
      <c r="CC42" s="319">
        <v>0</v>
      </c>
      <c r="CD42" s="320">
        <v>0</v>
      </c>
      <c r="CE42" s="319">
        <v>22</v>
      </c>
      <c r="CF42" s="320"/>
      <c r="CG42" s="319">
        <v>0</v>
      </c>
      <c r="CH42" s="320"/>
      <c r="CI42" s="319">
        <v>0</v>
      </c>
      <c r="CJ42" s="320">
        <v>0</v>
      </c>
      <c r="CK42" s="319">
        <v>22</v>
      </c>
      <c r="CL42" s="320"/>
      <c r="CM42" s="319">
        <v>0</v>
      </c>
      <c r="CN42" s="320"/>
      <c r="CO42" s="319">
        <v>0</v>
      </c>
      <c r="CP42" s="320">
        <v>0</v>
      </c>
      <c r="CQ42" s="319">
        <v>22</v>
      </c>
      <c r="CR42" s="320"/>
      <c r="CS42" s="319">
        <v>0</v>
      </c>
      <c r="CT42" s="320"/>
      <c r="CU42" s="319">
        <v>0</v>
      </c>
      <c r="CV42" s="320">
        <v>0</v>
      </c>
      <c r="CW42" s="319">
        <v>22</v>
      </c>
      <c r="CX42" s="320"/>
      <c r="CY42" s="319">
        <v>0</v>
      </c>
      <c r="CZ42" s="320"/>
      <c r="DA42" s="319">
        <v>0</v>
      </c>
      <c r="DB42" s="320">
        <v>0</v>
      </c>
      <c r="DC42" s="319">
        <v>22</v>
      </c>
      <c r="DD42" s="320"/>
      <c r="DE42" s="319">
        <v>0</v>
      </c>
      <c r="DF42" s="320"/>
      <c r="DG42" s="319">
        <v>0</v>
      </c>
      <c r="DH42" s="320">
        <v>0</v>
      </c>
      <c r="DI42" s="319">
        <v>22</v>
      </c>
      <c r="DJ42" s="320"/>
      <c r="DK42" s="319">
        <v>0</v>
      </c>
      <c r="DL42" s="320"/>
      <c r="DM42" s="319">
        <v>0</v>
      </c>
      <c r="DN42" s="320">
        <v>0</v>
      </c>
      <c r="DO42" s="319">
        <v>22</v>
      </c>
      <c r="DP42" s="320"/>
      <c r="DQ42" s="319">
        <v>0</v>
      </c>
      <c r="DR42" s="320"/>
      <c r="DS42" s="319">
        <v>0</v>
      </c>
      <c r="DT42" s="320">
        <v>0</v>
      </c>
      <c r="DU42" s="319">
        <v>22</v>
      </c>
      <c r="DV42" s="320"/>
      <c r="DW42" s="319">
        <v>0</v>
      </c>
      <c r="DX42" s="320"/>
      <c r="DY42" s="319">
        <v>0</v>
      </c>
      <c r="DZ42" s="320">
        <v>0</v>
      </c>
      <c r="EA42" s="319">
        <v>22</v>
      </c>
      <c r="EB42" s="320"/>
      <c r="EC42" s="319">
        <v>0</v>
      </c>
      <c r="ED42" s="320"/>
      <c r="EE42" s="319">
        <v>0</v>
      </c>
      <c r="EF42" s="320">
        <v>0</v>
      </c>
      <c r="EG42" s="319">
        <v>22</v>
      </c>
      <c r="EH42" s="320"/>
      <c r="EI42" s="319">
        <v>0</v>
      </c>
      <c r="EJ42" s="320"/>
      <c r="EK42" s="319">
        <v>0</v>
      </c>
      <c r="EL42" s="320">
        <v>0</v>
      </c>
      <c r="EM42" s="319">
        <v>22</v>
      </c>
      <c r="EN42" s="320"/>
      <c r="EO42" s="319">
        <v>0</v>
      </c>
      <c r="EP42" s="320"/>
      <c r="EQ42" s="319">
        <v>0</v>
      </c>
      <c r="ER42" s="320">
        <v>0</v>
      </c>
      <c r="ES42" s="319">
        <v>22</v>
      </c>
      <c r="ET42" s="320"/>
      <c r="EU42" s="319">
        <v>0</v>
      </c>
      <c r="EV42" s="320"/>
      <c r="EW42" s="319">
        <v>0</v>
      </c>
      <c r="EX42" s="320">
        <v>0</v>
      </c>
      <c r="EY42" s="319">
        <v>22</v>
      </c>
      <c r="EZ42" s="320"/>
      <c r="FA42" s="319">
        <v>0</v>
      </c>
      <c r="FB42" s="320"/>
      <c r="FC42" s="319">
        <v>0</v>
      </c>
      <c r="FD42" s="320">
        <v>0</v>
      </c>
      <c r="FE42" s="319">
        <v>22</v>
      </c>
      <c r="FF42" s="320"/>
      <c r="FG42" s="319">
        <v>0</v>
      </c>
      <c r="FH42" s="320"/>
      <c r="FI42" s="319">
        <v>0</v>
      </c>
      <c r="FJ42" s="320">
        <v>0</v>
      </c>
      <c r="FK42" s="319">
        <v>22</v>
      </c>
      <c r="FL42" s="320"/>
      <c r="FM42" s="319">
        <v>0</v>
      </c>
      <c r="FN42" s="320"/>
      <c r="FO42" s="319">
        <v>0</v>
      </c>
      <c r="FP42" s="320">
        <v>0</v>
      </c>
      <c r="FQ42" s="319">
        <v>22</v>
      </c>
      <c r="FR42" s="320"/>
      <c r="FS42" s="319">
        <v>0</v>
      </c>
      <c r="FT42" s="320"/>
      <c r="FU42" s="319">
        <v>0</v>
      </c>
      <c r="FV42" s="320">
        <v>0</v>
      </c>
      <c r="FW42" s="319">
        <v>22</v>
      </c>
      <c r="FX42" s="320"/>
      <c r="FY42" s="319">
        <v>0</v>
      </c>
      <c r="FZ42" s="320"/>
      <c r="GA42" s="319">
        <v>0</v>
      </c>
      <c r="GB42" s="320">
        <v>0</v>
      </c>
      <c r="GC42" s="319">
        <v>22</v>
      </c>
      <c r="GD42" s="320"/>
      <c r="GE42" s="319">
        <v>0</v>
      </c>
      <c r="GF42" s="320"/>
      <c r="GG42" s="319">
        <v>0</v>
      </c>
      <c r="GH42" s="320">
        <v>0</v>
      </c>
      <c r="GI42" s="319">
        <v>22</v>
      </c>
      <c r="GJ42" s="320"/>
      <c r="GK42" s="319">
        <v>0</v>
      </c>
      <c r="GL42" s="320"/>
      <c r="GM42" s="319">
        <v>0</v>
      </c>
      <c r="GN42" s="320">
        <v>0</v>
      </c>
      <c r="GO42" s="319">
        <v>22</v>
      </c>
      <c r="GP42" s="320"/>
      <c r="GQ42" s="319">
        <v>0</v>
      </c>
      <c r="GR42" s="320"/>
      <c r="GS42" s="319">
        <v>0</v>
      </c>
      <c r="GT42" s="320">
        <v>0</v>
      </c>
      <c r="GU42" s="319">
        <v>22</v>
      </c>
      <c r="GV42" s="320"/>
      <c r="GW42" s="319">
        <v>0</v>
      </c>
      <c r="GX42" s="320"/>
      <c r="GY42" s="319">
        <v>0</v>
      </c>
      <c r="GZ42" s="320">
        <v>0</v>
      </c>
    </row>
    <row r="43" spans="1:208" s="89" customFormat="1" ht="22.5" customHeight="1" x14ac:dyDescent="0.2">
      <c r="A43" s="287" t="s">
        <v>3205</v>
      </c>
      <c r="B43" s="288" t="s">
        <v>3206</v>
      </c>
      <c r="C43" s="294" t="s">
        <v>3170</v>
      </c>
      <c r="D43" s="290" t="s">
        <v>3207</v>
      </c>
      <c r="E43" s="290" t="s">
        <v>3208</v>
      </c>
      <c r="F43" s="295" t="s">
        <v>3166</v>
      </c>
      <c r="G43" s="295" t="s">
        <v>3167</v>
      </c>
      <c r="H43" s="292" t="s">
        <v>1478</v>
      </c>
      <c r="I43" s="293" t="s">
        <v>1478</v>
      </c>
      <c r="J43" s="340" t="s">
        <v>3168</v>
      </c>
      <c r="K43" s="341" t="s">
        <v>3172</v>
      </c>
      <c r="L43" s="256">
        <f>CONTINUA!BV43</f>
        <v>0</v>
      </c>
      <c r="M43" s="256">
        <f>CONTINUA!BW43</f>
        <v>0</v>
      </c>
      <c r="N43" s="564"/>
      <c r="O43" s="565" t="s">
        <v>3339</v>
      </c>
      <c r="P43" s="566">
        <v>0</v>
      </c>
      <c r="Q43" s="319">
        <v>0</v>
      </c>
      <c r="R43" s="320"/>
      <c r="S43" s="319">
        <v>0</v>
      </c>
      <c r="T43" s="320"/>
      <c r="U43" s="319">
        <v>0</v>
      </c>
      <c r="V43" s="320">
        <v>0</v>
      </c>
      <c r="W43" s="319">
        <v>0</v>
      </c>
      <c r="X43" s="320"/>
      <c r="Y43" s="319">
        <v>0</v>
      </c>
      <c r="Z43" s="320"/>
      <c r="AA43" s="319">
        <v>0</v>
      </c>
      <c r="AB43" s="320">
        <v>0</v>
      </c>
      <c r="AC43" s="319">
        <v>0</v>
      </c>
      <c r="AD43" s="320"/>
      <c r="AE43" s="319">
        <v>0</v>
      </c>
      <c r="AF43" s="320"/>
      <c r="AG43" s="319">
        <v>0</v>
      </c>
      <c r="AH43" s="320">
        <v>0</v>
      </c>
      <c r="AI43" s="319">
        <v>0</v>
      </c>
      <c r="AJ43" s="320"/>
      <c r="AK43" s="319">
        <v>0</v>
      </c>
      <c r="AL43" s="320"/>
      <c r="AM43" s="319">
        <v>0</v>
      </c>
      <c r="AN43" s="320">
        <v>0</v>
      </c>
      <c r="AO43" s="319">
        <v>0</v>
      </c>
      <c r="AP43" s="320"/>
      <c r="AQ43" s="319">
        <v>0</v>
      </c>
      <c r="AR43" s="320"/>
      <c r="AS43" s="319">
        <v>0</v>
      </c>
      <c r="AT43" s="320">
        <v>0</v>
      </c>
      <c r="AU43" s="319">
        <v>0</v>
      </c>
      <c r="AV43" s="320"/>
      <c r="AW43" s="319">
        <v>0</v>
      </c>
      <c r="AX43" s="320"/>
      <c r="AY43" s="319">
        <v>0</v>
      </c>
      <c r="AZ43" s="320">
        <v>0</v>
      </c>
      <c r="BA43" s="319">
        <v>0</v>
      </c>
      <c r="BB43" s="320"/>
      <c r="BC43" s="319">
        <v>0</v>
      </c>
      <c r="BD43" s="320"/>
      <c r="BE43" s="319">
        <v>0</v>
      </c>
      <c r="BF43" s="320">
        <v>0</v>
      </c>
      <c r="BG43" s="319">
        <v>0</v>
      </c>
      <c r="BH43" s="320"/>
      <c r="BI43" s="319">
        <v>0</v>
      </c>
      <c r="BJ43" s="320"/>
      <c r="BK43" s="319">
        <v>0</v>
      </c>
      <c r="BL43" s="320">
        <v>0</v>
      </c>
      <c r="BM43" s="319">
        <v>0</v>
      </c>
      <c r="BN43" s="320"/>
      <c r="BO43" s="319">
        <v>0</v>
      </c>
      <c r="BP43" s="320"/>
      <c r="BQ43" s="319">
        <v>0</v>
      </c>
      <c r="BR43" s="320">
        <v>0</v>
      </c>
      <c r="BS43" s="319">
        <v>0</v>
      </c>
      <c r="BT43" s="320"/>
      <c r="BU43" s="319">
        <v>0</v>
      </c>
      <c r="BV43" s="320"/>
      <c r="BW43" s="319">
        <v>0</v>
      </c>
      <c r="BX43" s="320">
        <v>0</v>
      </c>
      <c r="BY43" s="319">
        <v>0</v>
      </c>
      <c r="BZ43" s="320"/>
      <c r="CA43" s="319">
        <v>0</v>
      </c>
      <c r="CB43" s="320"/>
      <c r="CC43" s="319">
        <v>0</v>
      </c>
      <c r="CD43" s="320">
        <v>0</v>
      </c>
      <c r="CE43" s="319">
        <v>0</v>
      </c>
      <c r="CF43" s="320"/>
      <c r="CG43" s="319">
        <v>0</v>
      </c>
      <c r="CH43" s="320"/>
      <c r="CI43" s="319">
        <v>0</v>
      </c>
      <c r="CJ43" s="320">
        <v>0</v>
      </c>
      <c r="CK43" s="319">
        <v>0</v>
      </c>
      <c r="CL43" s="320"/>
      <c r="CM43" s="319">
        <v>0</v>
      </c>
      <c r="CN43" s="320"/>
      <c r="CO43" s="319">
        <v>0</v>
      </c>
      <c r="CP43" s="320">
        <v>0</v>
      </c>
      <c r="CQ43" s="319">
        <v>0</v>
      </c>
      <c r="CR43" s="320"/>
      <c r="CS43" s="319">
        <v>0</v>
      </c>
      <c r="CT43" s="320"/>
      <c r="CU43" s="319">
        <v>0</v>
      </c>
      <c r="CV43" s="320">
        <v>0</v>
      </c>
      <c r="CW43" s="319">
        <v>0</v>
      </c>
      <c r="CX43" s="320"/>
      <c r="CY43" s="319">
        <v>0</v>
      </c>
      <c r="CZ43" s="320"/>
      <c r="DA43" s="319">
        <v>0</v>
      </c>
      <c r="DB43" s="320">
        <v>0</v>
      </c>
      <c r="DC43" s="319">
        <v>0</v>
      </c>
      <c r="DD43" s="320"/>
      <c r="DE43" s="319">
        <v>0</v>
      </c>
      <c r="DF43" s="320"/>
      <c r="DG43" s="319">
        <v>0</v>
      </c>
      <c r="DH43" s="320">
        <v>0</v>
      </c>
      <c r="DI43" s="319">
        <v>0</v>
      </c>
      <c r="DJ43" s="320"/>
      <c r="DK43" s="319">
        <v>0</v>
      </c>
      <c r="DL43" s="320"/>
      <c r="DM43" s="319">
        <v>0</v>
      </c>
      <c r="DN43" s="320">
        <v>0</v>
      </c>
      <c r="DO43" s="319">
        <v>0</v>
      </c>
      <c r="DP43" s="320"/>
      <c r="DQ43" s="319">
        <v>0</v>
      </c>
      <c r="DR43" s="320"/>
      <c r="DS43" s="319">
        <v>0</v>
      </c>
      <c r="DT43" s="320">
        <v>0</v>
      </c>
      <c r="DU43" s="319">
        <v>0</v>
      </c>
      <c r="DV43" s="320"/>
      <c r="DW43" s="319">
        <v>0</v>
      </c>
      <c r="DX43" s="320"/>
      <c r="DY43" s="319">
        <v>0</v>
      </c>
      <c r="DZ43" s="320">
        <v>0</v>
      </c>
      <c r="EA43" s="319">
        <v>0</v>
      </c>
      <c r="EB43" s="320"/>
      <c r="EC43" s="319">
        <v>0</v>
      </c>
      <c r="ED43" s="320"/>
      <c r="EE43" s="319">
        <v>0</v>
      </c>
      <c r="EF43" s="320">
        <v>0</v>
      </c>
      <c r="EG43" s="319">
        <v>0</v>
      </c>
      <c r="EH43" s="320"/>
      <c r="EI43" s="319">
        <v>0</v>
      </c>
      <c r="EJ43" s="320"/>
      <c r="EK43" s="319">
        <v>0</v>
      </c>
      <c r="EL43" s="320">
        <v>0</v>
      </c>
      <c r="EM43" s="319">
        <v>0</v>
      </c>
      <c r="EN43" s="320"/>
      <c r="EO43" s="319">
        <v>0</v>
      </c>
      <c r="EP43" s="320"/>
      <c r="EQ43" s="319">
        <v>0</v>
      </c>
      <c r="ER43" s="320">
        <v>0</v>
      </c>
      <c r="ES43" s="319">
        <v>0</v>
      </c>
      <c r="ET43" s="320"/>
      <c r="EU43" s="319">
        <v>0</v>
      </c>
      <c r="EV43" s="320"/>
      <c r="EW43" s="319">
        <v>0</v>
      </c>
      <c r="EX43" s="320">
        <v>0</v>
      </c>
      <c r="EY43" s="319">
        <v>0</v>
      </c>
      <c r="EZ43" s="320"/>
      <c r="FA43" s="319">
        <v>0</v>
      </c>
      <c r="FB43" s="320"/>
      <c r="FC43" s="319">
        <v>0</v>
      </c>
      <c r="FD43" s="320">
        <v>0</v>
      </c>
      <c r="FE43" s="319">
        <v>0</v>
      </c>
      <c r="FF43" s="320"/>
      <c r="FG43" s="319">
        <v>0</v>
      </c>
      <c r="FH43" s="320"/>
      <c r="FI43" s="319">
        <v>0</v>
      </c>
      <c r="FJ43" s="320">
        <v>0</v>
      </c>
      <c r="FK43" s="319">
        <v>0</v>
      </c>
      <c r="FL43" s="320"/>
      <c r="FM43" s="319">
        <v>0</v>
      </c>
      <c r="FN43" s="320"/>
      <c r="FO43" s="319">
        <v>0</v>
      </c>
      <c r="FP43" s="320">
        <v>0</v>
      </c>
      <c r="FQ43" s="319">
        <v>0</v>
      </c>
      <c r="FR43" s="320"/>
      <c r="FS43" s="319">
        <v>0</v>
      </c>
      <c r="FT43" s="320"/>
      <c r="FU43" s="319">
        <v>0</v>
      </c>
      <c r="FV43" s="320">
        <v>0</v>
      </c>
      <c r="FW43" s="319">
        <v>0</v>
      </c>
      <c r="FX43" s="320"/>
      <c r="FY43" s="319">
        <v>0</v>
      </c>
      <c r="FZ43" s="320"/>
      <c r="GA43" s="319">
        <v>0</v>
      </c>
      <c r="GB43" s="320">
        <v>0</v>
      </c>
      <c r="GC43" s="319">
        <v>0</v>
      </c>
      <c r="GD43" s="320"/>
      <c r="GE43" s="319">
        <v>0</v>
      </c>
      <c r="GF43" s="320"/>
      <c r="GG43" s="319">
        <v>0</v>
      </c>
      <c r="GH43" s="320">
        <v>0</v>
      </c>
      <c r="GI43" s="319">
        <v>0</v>
      </c>
      <c r="GJ43" s="320"/>
      <c r="GK43" s="319">
        <v>0</v>
      </c>
      <c r="GL43" s="320"/>
      <c r="GM43" s="319">
        <v>0</v>
      </c>
      <c r="GN43" s="320">
        <v>0</v>
      </c>
      <c r="GO43" s="319">
        <v>0</v>
      </c>
      <c r="GP43" s="320"/>
      <c r="GQ43" s="319">
        <v>0</v>
      </c>
      <c r="GR43" s="320"/>
      <c r="GS43" s="319">
        <v>0</v>
      </c>
      <c r="GT43" s="320">
        <v>0</v>
      </c>
      <c r="GU43" s="319">
        <v>0</v>
      </c>
      <c r="GV43" s="320"/>
      <c r="GW43" s="319">
        <v>0</v>
      </c>
      <c r="GX43" s="320"/>
      <c r="GY43" s="319">
        <v>0</v>
      </c>
      <c r="GZ43" s="320">
        <v>0</v>
      </c>
    </row>
    <row r="44" spans="1:208" s="89" customFormat="1" ht="22.5" customHeight="1" x14ac:dyDescent="0.2">
      <c r="A44" s="287" t="s">
        <v>3205</v>
      </c>
      <c r="B44" s="288" t="s">
        <v>3206</v>
      </c>
      <c r="C44" s="294" t="s">
        <v>3170</v>
      </c>
      <c r="D44" s="290" t="s">
        <v>3207</v>
      </c>
      <c r="E44" s="290" t="s">
        <v>3208</v>
      </c>
      <c r="F44" s="295" t="s">
        <v>3166</v>
      </c>
      <c r="G44" s="295" t="s">
        <v>3167</v>
      </c>
      <c r="H44" s="292" t="s">
        <v>1478</v>
      </c>
      <c r="I44" s="293" t="s">
        <v>1478</v>
      </c>
      <c r="J44" s="340" t="s">
        <v>3168</v>
      </c>
      <c r="K44" s="342" t="s">
        <v>3173</v>
      </c>
      <c r="L44" s="256">
        <f>CONTINUA!BV44</f>
        <v>0</v>
      </c>
      <c r="M44" s="256">
        <f>CONTINUA!BW44</f>
        <v>0</v>
      </c>
      <c r="N44" s="564"/>
      <c r="O44" s="565" t="s">
        <v>3339</v>
      </c>
      <c r="P44" s="566">
        <v>0</v>
      </c>
      <c r="Q44" s="319">
        <v>0</v>
      </c>
      <c r="R44" s="320"/>
      <c r="S44" s="319">
        <v>0</v>
      </c>
      <c r="T44" s="320"/>
      <c r="U44" s="319">
        <v>0</v>
      </c>
      <c r="V44" s="320">
        <v>0</v>
      </c>
      <c r="W44" s="319">
        <v>0</v>
      </c>
      <c r="X44" s="320"/>
      <c r="Y44" s="319">
        <v>0</v>
      </c>
      <c r="Z44" s="320"/>
      <c r="AA44" s="319">
        <v>0</v>
      </c>
      <c r="AB44" s="320">
        <v>0</v>
      </c>
      <c r="AC44" s="319">
        <v>0</v>
      </c>
      <c r="AD44" s="320"/>
      <c r="AE44" s="319">
        <v>0</v>
      </c>
      <c r="AF44" s="320"/>
      <c r="AG44" s="319">
        <v>0</v>
      </c>
      <c r="AH44" s="320">
        <v>0</v>
      </c>
      <c r="AI44" s="319">
        <v>0</v>
      </c>
      <c r="AJ44" s="320"/>
      <c r="AK44" s="319">
        <v>0</v>
      </c>
      <c r="AL44" s="320"/>
      <c r="AM44" s="319">
        <v>0</v>
      </c>
      <c r="AN44" s="320">
        <v>0</v>
      </c>
      <c r="AO44" s="319">
        <v>0</v>
      </c>
      <c r="AP44" s="320"/>
      <c r="AQ44" s="319">
        <v>0</v>
      </c>
      <c r="AR44" s="320"/>
      <c r="AS44" s="319">
        <v>0</v>
      </c>
      <c r="AT44" s="320">
        <v>0</v>
      </c>
      <c r="AU44" s="319">
        <v>0</v>
      </c>
      <c r="AV44" s="320"/>
      <c r="AW44" s="319">
        <v>0</v>
      </c>
      <c r="AX44" s="320"/>
      <c r="AY44" s="319">
        <v>0</v>
      </c>
      <c r="AZ44" s="320">
        <v>0</v>
      </c>
      <c r="BA44" s="319">
        <v>0</v>
      </c>
      <c r="BB44" s="320"/>
      <c r="BC44" s="319">
        <v>0</v>
      </c>
      <c r="BD44" s="320"/>
      <c r="BE44" s="319">
        <v>0</v>
      </c>
      <c r="BF44" s="320">
        <v>0</v>
      </c>
      <c r="BG44" s="319">
        <v>0</v>
      </c>
      <c r="BH44" s="320"/>
      <c r="BI44" s="319">
        <v>0</v>
      </c>
      <c r="BJ44" s="320"/>
      <c r="BK44" s="319">
        <v>0</v>
      </c>
      <c r="BL44" s="320">
        <v>0</v>
      </c>
      <c r="BM44" s="319">
        <v>0</v>
      </c>
      <c r="BN44" s="320"/>
      <c r="BO44" s="319">
        <v>0</v>
      </c>
      <c r="BP44" s="320"/>
      <c r="BQ44" s="319">
        <v>0</v>
      </c>
      <c r="BR44" s="320">
        <v>0</v>
      </c>
      <c r="BS44" s="319">
        <v>0</v>
      </c>
      <c r="BT44" s="320"/>
      <c r="BU44" s="319">
        <v>0</v>
      </c>
      <c r="BV44" s="320"/>
      <c r="BW44" s="319">
        <v>0</v>
      </c>
      <c r="BX44" s="320">
        <v>0</v>
      </c>
      <c r="BY44" s="319">
        <v>0</v>
      </c>
      <c r="BZ44" s="320"/>
      <c r="CA44" s="319">
        <v>0</v>
      </c>
      <c r="CB44" s="320"/>
      <c r="CC44" s="319">
        <v>0</v>
      </c>
      <c r="CD44" s="320">
        <v>0</v>
      </c>
      <c r="CE44" s="319">
        <v>0</v>
      </c>
      <c r="CF44" s="320"/>
      <c r="CG44" s="319">
        <v>0</v>
      </c>
      <c r="CH44" s="320"/>
      <c r="CI44" s="319">
        <v>0</v>
      </c>
      <c r="CJ44" s="320">
        <v>0</v>
      </c>
      <c r="CK44" s="319">
        <v>0</v>
      </c>
      <c r="CL44" s="320"/>
      <c r="CM44" s="319">
        <v>0</v>
      </c>
      <c r="CN44" s="320"/>
      <c r="CO44" s="319">
        <v>0</v>
      </c>
      <c r="CP44" s="320">
        <v>0</v>
      </c>
      <c r="CQ44" s="319">
        <v>0</v>
      </c>
      <c r="CR44" s="320"/>
      <c r="CS44" s="319">
        <v>0</v>
      </c>
      <c r="CT44" s="320"/>
      <c r="CU44" s="319">
        <v>0</v>
      </c>
      <c r="CV44" s="320">
        <v>0</v>
      </c>
      <c r="CW44" s="319">
        <v>0</v>
      </c>
      <c r="CX44" s="320"/>
      <c r="CY44" s="319">
        <v>0</v>
      </c>
      <c r="CZ44" s="320"/>
      <c r="DA44" s="319">
        <v>0</v>
      </c>
      <c r="DB44" s="320">
        <v>0</v>
      </c>
      <c r="DC44" s="319">
        <v>0</v>
      </c>
      <c r="DD44" s="320"/>
      <c r="DE44" s="319">
        <v>0</v>
      </c>
      <c r="DF44" s="320"/>
      <c r="DG44" s="319">
        <v>0</v>
      </c>
      <c r="DH44" s="320">
        <v>0</v>
      </c>
      <c r="DI44" s="319">
        <v>0</v>
      </c>
      <c r="DJ44" s="320"/>
      <c r="DK44" s="319">
        <v>0</v>
      </c>
      <c r="DL44" s="320"/>
      <c r="DM44" s="319">
        <v>0</v>
      </c>
      <c r="DN44" s="320">
        <v>0</v>
      </c>
      <c r="DO44" s="319">
        <v>0</v>
      </c>
      <c r="DP44" s="320"/>
      <c r="DQ44" s="319">
        <v>0</v>
      </c>
      <c r="DR44" s="320"/>
      <c r="DS44" s="319">
        <v>0</v>
      </c>
      <c r="DT44" s="320">
        <v>0</v>
      </c>
      <c r="DU44" s="319">
        <v>0</v>
      </c>
      <c r="DV44" s="320"/>
      <c r="DW44" s="319">
        <v>0</v>
      </c>
      <c r="DX44" s="320"/>
      <c r="DY44" s="319">
        <v>0</v>
      </c>
      <c r="DZ44" s="320">
        <v>0</v>
      </c>
      <c r="EA44" s="319">
        <v>0</v>
      </c>
      <c r="EB44" s="320"/>
      <c r="EC44" s="319">
        <v>0</v>
      </c>
      <c r="ED44" s="320"/>
      <c r="EE44" s="319">
        <v>0</v>
      </c>
      <c r="EF44" s="320">
        <v>0</v>
      </c>
      <c r="EG44" s="319">
        <v>0</v>
      </c>
      <c r="EH44" s="320"/>
      <c r="EI44" s="319">
        <v>0</v>
      </c>
      <c r="EJ44" s="320"/>
      <c r="EK44" s="319">
        <v>0</v>
      </c>
      <c r="EL44" s="320">
        <v>0</v>
      </c>
      <c r="EM44" s="319">
        <v>0</v>
      </c>
      <c r="EN44" s="320"/>
      <c r="EO44" s="319">
        <v>0</v>
      </c>
      <c r="EP44" s="320"/>
      <c r="EQ44" s="319">
        <v>0</v>
      </c>
      <c r="ER44" s="320">
        <v>0</v>
      </c>
      <c r="ES44" s="319">
        <v>0</v>
      </c>
      <c r="ET44" s="320"/>
      <c r="EU44" s="319">
        <v>0</v>
      </c>
      <c r="EV44" s="320"/>
      <c r="EW44" s="319">
        <v>0</v>
      </c>
      <c r="EX44" s="320">
        <v>0</v>
      </c>
      <c r="EY44" s="319">
        <v>0</v>
      </c>
      <c r="EZ44" s="320"/>
      <c r="FA44" s="319">
        <v>0</v>
      </c>
      <c r="FB44" s="320"/>
      <c r="FC44" s="319">
        <v>0</v>
      </c>
      <c r="FD44" s="320">
        <v>0</v>
      </c>
      <c r="FE44" s="319">
        <v>0</v>
      </c>
      <c r="FF44" s="320"/>
      <c r="FG44" s="319">
        <v>0</v>
      </c>
      <c r="FH44" s="320"/>
      <c r="FI44" s="319">
        <v>0</v>
      </c>
      <c r="FJ44" s="320">
        <v>0</v>
      </c>
      <c r="FK44" s="319">
        <v>0</v>
      </c>
      <c r="FL44" s="320"/>
      <c r="FM44" s="319">
        <v>0</v>
      </c>
      <c r="FN44" s="320"/>
      <c r="FO44" s="319">
        <v>0</v>
      </c>
      <c r="FP44" s="320">
        <v>0</v>
      </c>
      <c r="FQ44" s="319">
        <v>0</v>
      </c>
      <c r="FR44" s="320"/>
      <c r="FS44" s="319">
        <v>0</v>
      </c>
      <c r="FT44" s="320"/>
      <c r="FU44" s="319">
        <v>0</v>
      </c>
      <c r="FV44" s="320">
        <v>0</v>
      </c>
      <c r="FW44" s="319">
        <v>0</v>
      </c>
      <c r="FX44" s="320"/>
      <c r="FY44" s="319">
        <v>0</v>
      </c>
      <c r="FZ44" s="320"/>
      <c r="GA44" s="319">
        <v>0</v>
      </c>
      <c r="GB44" s="320">
        <v>0</v>
      </c>
      <c r="GC44" s="319">
        <v>0</v>
      </c>
      <c r="GD44" s="320"/>
      <c r="GE44" s="319">
        <v>0</v>
      </c>
      <c r="GF44" s="320"/>
      <c r="GG44" s="319">
        <v>0</v>
      </c>
      <c r="GH44" s="320">
        <v>0</v>
      </c>
      <c r="GI44" s="319">
        <v>0</v>
      </c>
      <c r="GJ44" s="320"/>
      <c r="GK44" s="319">
        <v>0</v>
      </c>
      <c r="GL44" s="320"/>
      <c r="GM44" s="319">
        <v>0</v>
      </c>
      <c r="GN44" s="320">
        <v>0</v>
      </c>
      <c r="GO44" s="319">
        <v>0</v>
      </c>
      <c r="GP44" s="320"/>
      <c r="GQ44" s="319">
        <v>0</v>
      </c>
      <c r="GR44" s="320"/>
      <c r="GS44" s="319">
        <v>0</v>
      </c>
      <c r="GT44" s="320">
        <v>0</v>
      </c>
      <c r="GU44" s="319">
        <v>0</v>
      </c>
      <c r="GV44" s="320"/>
      <c r="GW44" s="319">
        <v>0</v>
      </c>
      <c r="GX44" s="320"/>
      <c r="GY44" s="319">
        <v>0</v>
      </c>
      <c r="GZ44" s="320">
        <v>0</v>
      </c>
    </row>
    <row r="45" spans="1:208" s="89" customFormat="1" ht="22.5" customHeight="1" thickBot="1" x14ac:dyDescent="0.25">
      <c r="A45" s="296" t="s">
        <v>3205</v>
      </c>
      <c r="B45" s="297" t="s">
        <v>3206</v>
      </c>
      <c r="C45" s="298" t="s">
        <v>3170</v>
      </c>
      <c r="D45" s="299" t="s">
        <v>3207</v>
      </c>
      <c r="E45" s="299" t="s">
        <v>3208</v>
      </c>
      <c r="F45" s="300" t="s">
        <v>3166</v>
      </c>
      <c r="G45" s="300" t="s">
        <v>3167</v>
      </c>
      <c r="H45" s="301" t="s">
        <v>1478</v>
      </c>
      <c r="I45" s="302" t="s">
        <v>1478</v>
      </c>
      <c r="J45" s="340" t="s">
        <v>3168</v>
      </c>
      <c r="K45" s="343" t="s">
        <v>53</v>
      </c>
      <c r="L45" s="256">
        <f>CONTINUA!BV45</f>
        <v>0</v>
      </c>
      <c r="M45" s="256">
        <f>CONTINUA!BW45</f>
        <v>0</v>
      </c>
      <c r="N45" s="564"/>
      <c r="O45" s="565" t="s">
        <v>3339</v>
      </c>
      <c r="P45" s="566">
        <v>0</v>
      </c>
      <c r="Q45" s="319">
        <v>0</v>
      </c>
      <c r="R45" s="320"/>
      <c r="S45" s="319">
        <v>0</v>
      </c>
      <c r="T45" s="320"/>
      <c r="U45" s="321">
        <v>0</v>
      </c>
      <c r="V45" s="322">
        <v>0</v>
      </c>
      <c r="W45" s="319">
        <v>0</v>
      </c>
      <c r="X45" s="320"/>
      <c r="Y45" s="319">
        <v>0</v>
      </c>
      <c r="Z45" s="320"/>
      <c r="AA45" s="321">
        <v>0</v>
      </c>
      <c r="AB45" s="322">
        <v>0</v>
      </c>
      <c r="AC45" s="319">
        <v>0</v>
      </c>
      <c r="AD45" s="320"/>
      <c r="AE45" s="319">
        <v>0</v>
      </c>
      <c r="AF45" s="320"/>
      <c r="AG45" s="321">
        <v>0</v>
      </c>
      <c r="AH45" s="322">
        <v>0</v>
      </c>
      <c r="AI45" s="319">
        <v>0</v>
      </c>
      <c r="AJ45" s="320"/>
      <c r="AK45" s="319">
        <v>0</v>
      </c>
      <c r="AL45" s="320"/>
      <c r="AM45" s="321">
        <v>0</v>
      </c>
      <c r="AN45" s="322">
        <v>0</v>
      </c>
      <c r="AO45" s="319">
        <v>0</v>
      </c>
      <c r="AP45" s="320"/>
      <c r="AQ45" s="319">
        <v>0</v>
      </c>
      <c r="AR45" s="320"/>
      <c r="AS45" s="321">
        <v>0</v>
      </c>
      <c r="AT45" s="322">
        <v>0</v>
      </c>
      <c r="AU45" s="319">
        <v>0</v>
      </c>
      <c r="AV45" s="320"/>
      <c r="AW45" s="319">
        <v>0</v>
      </c>
      <c r="AX45" s="320"/>
      <c r="AY45" s="321">
        <v>0</v>
      </c>
      <c r="AZ45" s="322">
        <v>0</v>
      </c>
      <c r="BA45" s="319">
        <v>0</v>
      </c>
      <c r="BB45" s="320"/>
      <c r="BC45" s="319">
        <v>0</v>
      </c>
      <c r="BD45" s="320"/>
      <c r="BE45" s="321">
        <v>0</v>
      </c>
      <c r="BF45" s="322">
        <v>0</v>
      </c>
      <c r="BG45" s="319">
        <v>0</v>
      </c>
      <c r="BH45" s="320"/>
      <c r="BI45" s="319">
        <v>0</v>
      </c>
      <c r="BJ45" s="320"/>
      <c r="BK45" s="321">
        <v>0</v>
      </c>
      <c r="BL45" s="322">
        <v>0</v>
      </c>
      <c r="BM45" s="319">
        <v>0</v>
      </c>
      <c r="BN45" s="320"/>
      <c r="BO45" s="319">
        <v>0</v>
      </c>
      <c r="BP45" s="320"/>
      <c r="BQ45" s="321">
        <v>0</v>
      </c>
      <c r="BR45" s="322">
        <v>0</v>
      </c>
      <c r="BS45" s="319">
        <v>0</v>
      </c>
      <c r="BT45" s="320"/>
      <c r="BU45" s="319">
        <v>0</v>
      </c>
      <c r="BV45" s="320"/>
      <c r="BW45" s="321">
        <v>0</v>
      </c>
      <c r="BX45" s="322">
        <v>0</v>
      </c>
      <c r="BY45" s="319">
        <v>0</v>
      </c>
      <c r="BZ45" s="320"/>
      <c r="CA45" s="319">
        <v>0</v>
      </c>
      <c r="CB45" s="320"/>
      <c r="CC45" s="321">
        <v>0</v>
      </c>
      <c r="CD45" s="322">
        <v>0</v>
      </c>
      <c r="CE45" s="319">
        <v>0</v>
      </c>
      <c r="CF45" s="320"/>
      <c r="CG45" s="319">
        <v>0</v>
      </c>
      <c r="CH45" s="320"/>
      <c r="CI45" s="321">
        <v>0</v>
      </c>
      <c r="CJ45" s="322">
        <v>0</v>
      </c>
      <c r="CK45" s="319">
        <v>0</v>
      </c>
      <c r="CL45" s="320"/>
      <c r="CM45" s="319">
        <v>0</v>
      </c>
      <c r="CN45" s="320"/>
      <c r="CO45" s="321">
        <v>0</v>
      </c>
      <c r="CP45" s="322">
        <v>0</v>
      </c>
      <c r="CQ45" s="319">
        <v>0</v>
      </c>
      <c r="CR45" s="320"/>
      <c r="CS45" s="319">
        <v>0</v>
      </c>
      <c r="CT45" s="320"/>
      <c r="CU45" s="321">
        <v>0</v>
      </c>
      <c r="CV45" s="322">
        <v>0</v>
      </c>
      <c r="CW45" s="319">
        <v>0</v>
      </c>
      <c r="CX45" s="320"/>
      <c r="CY45" s="319">
        <v>0</v>
      </c>
      <c r="CZ45" s="320"/>
      <c r="DA45" s="321">
        <v>0</v>
      </c>
      <c r="DB45" s="322">
        <v>0</v>
      </c>
      <c r="DC45" s="319">
        <v>0</v>
      </c>
      <c r="DD45" s="320"/>
      <c r="DE45" s="319">
        <v>0</v>
      </c>
      <c r="DF45" s="320"/>
      <c r="DG45" s="321">
        <v>0</v>
      </c>
      <c r="DH45" s="322">
        <v>0</v>
      </c>
      <c r="DI45" s="319">
        <v>0</v>
      </c>
      <c r="DJ45" s="320"/>
      <c r="DK45" s="319">
        <v>0</v>
      </c>
      <c r="DL45" s="320"/>
      <c r="DM45" s="321">
        <v>0</v>
      </c>
      <c r="DN45" s="322">
        <v>0</v>
      </c>
      <c r="DO45" s="319">
        <v>0</v>
      </c>
      <c r="DP45" s="320"/>
      <c r="DQ45" s="319">
        <v>0</v>
      </c>
      <c r="DR45" s="320"/>
      <c r="DS45" s="321">
        <v>0</v>
      </c>
      <c r="DT45" s="322">
        <v>0</v>
      </c>
      <c r="DU45" s="319">
        <v>0</v>
      </c>
      <c r="DV45" s="320"/>
      <c r="DW45" s="319">
        <v>0</v>
      </c>
      <c r="DX45" s="320"/>
      <c r="DY45" s="321">
        <v>0</v>
      </c>
      <c r="DZ45" s="322">
        <v>0</v>
      </c>
      <c r="EA45" s="319">
        <v>0</v>
      </c>
      <c r="EB45" s="320"/>
      <c r="EC45" s="319">
        <v>0</v>
      </c>
      <c r="ED45" s="320"/>
      <c r="EE45" s="321">
        <v>0</v>
      </c>
      <c r="EF45" s="322">
        <v>0</v>
      </c>
      <c r="EG45" s="319">
        <v>0</v>
      </c>
      <c r="EH45" s="320"/>
      <c r="EI45" s="319">
        <v>0</v>
      </c>
      <c r="EJ45" s="320"/>
      <c r="EK45" s="321">
        <v>0</v>
      </c>
      <c r="EL45" s="322">
        <v>0</v>
      </c>
      <c r="EM45" s="319">
        <v>0</v>
      </c>
      <c r="EN45" s="320"/>
      <c r="EO45" s="319">
        <v>0</v>
      </c>
      <c r="EP45" s="320"/>
      <c r="EQ45" s="321">
        <v>0</v>
      </c>
      <c r="ER45" s="322">
        <v>0</v>
      </c>
      <c r="ES45" s="319">
        <v>0</v>
      </c>
      <c r="ET45" s="320"/>
      <c r="EU45" s="319">
        <v>0</v>
      </c>
      <c r="EV45" s="320"/>
      <c r="EW45" s="321">
        <v>0</v>
      </c>
      <c r="EX45" s="322">
        <v>0</v>
      </c>
      <c r="EY45" s="319">
        <v>0</v>
      </c>
      <c r="EZ45" s="320"/>
      <c r="FA45" s="319">
        <v>0</v>
      </c>
      <c r="FB45" s="320"/>
      <c r="FC45" s="321">
        <v>0</v>
      </c>
      <c r="FD45" s="322">
        <v>0</v>
      </c>
      <c r="FE45" s="319">
        <v>0</v>
      </c>
      <c r="FF45" s="320"/>
      <c r="FG45" s="319">
        <v>0</v>
      </c>
      <c r="FH45" s="320"/>
      <c r="FI45" s="321">
        <v>0</v>
      </c>
      <c r="FJ45" s="322">
        <v>0</v>
      </c>
      <c r="FK45" s="319">
        <v>0</v>
      </c>
      <c r="FL45" s="320"/>
      <c r="FM45" s="319">
        <v>0</v>
      </c>
      <c r="FN45" s="320"/>
      <c r="FO45" s="321">
        <v>0</v>
      </c>
      <c r="FP45" s="322">
        <v>0</v>
      </c>
      <c r="FQ45" s="319">
        <v>0</v>
      </c>
      <c r="FR45" s="320"/>
      <c r="FS45" s="319">
        <v>0</v>
      </c>
      <c r="FT45" s="320"/>
      <c r="FU45" s="321">
        <v>0</v>
      </c>
      <c r="FV45" s="322">
        <v>0</v>
      </c>
      <c r="FW45" s="319">
        <v>0</v>
      </c>
      <c r="FX45" s="320"/>
      <c r="FY45" s="319">
        <v>0</v>
      </c>
      <c r="FZ45" s="320"/>
      <c r="GA45" s="321">
        <v>0</v>
      </c>
      <c r="GB45" s="322">
        <v>0</v>
      </c>
      <c r="GC45" s="319">
        <v>0</v>
      </c>
      <c r="GD45" s="320"/>
      <c r="GE45" s="319">
        <v>0</v>
      </c>
      <c r="GF45" s="320"/>
      <c r="GG45" s="321">
        <v>0</v>
      </c>
      <c r="GH45" s="322">
        <v>0</v>
      </c>
      <c r="GI45" s="319">
        <v>0</v>
      </c>
      <c r="GJ45" s="320"/>
      <c r="GK45" s="319">
        <v>0</v>
      </c>
      <c r="GL45" s="320"/>
      <c r="GM45" s="321">
        <v>0</v>
      </c>
      <c r="GN45" s="322">
        <v>0</v>
      </c>
      <c r="GO45" s="319">
        <v>0</v>
      </c>
      <c r="GP45" s="320"/>
      <c r="GQ45" s="319">
        <v>0</v>
      </c>
      <c r="GR45" s="320"/>
      <c r="GS45" s="321">
        <v>0</v>
      </c>
      <c r="GT45" s="322">
        <v>0</v>
      </c>
      <c r="GU45" s="319">
        <v>0</v>
      </c>
      <c r="GV45" s="320"/>
      <c r="GW45" s="319">
        <v>0</v>
      </c>
      <c r="GX45" s="320"/>
      <c r="GY45" s="321">
        <v>0</v>
      </c>
      <c r="GZ45" s="322">
        <v>0</v>
      </c>
    </row>
    <row r="46" spans="1:208" s="89" customFormat="1" ht="22.5" customHeight="1" x14ac:dyDescent="0.2">
      <c r="A46" t="s">
        <v>3209</v>
      </c>
      <c r="B46" s="429" t="s">
        <v>3210</v>
      </c>
      <c r="C46" s="430">
        <v>1</v>
      </c>
      <c r="D46" s="431" t="s">
        <v>3211</v>
      </c>
      <c r="E46" s="431" t="s">
        <v>3212</v>
      </c>
      <c r="F46" s="432" t="s">
        <v>3166</v>
      </c>
      <c r="G46" s="432" t="s">
        <v>3167</v>
      </c>
      <c r="H46" s="270" t="s">
        <v>1480</v>
      </c>
      <c r="I46" s="271" t="s">
        <v>1480</v>
      </c>
      <c r="J46" s="328" t="s">
        <v>3168</v>
      </c>
      <c r="K46" s="329" t="s">
        <v>3169</v>
      </c>
      <c r="L46" s="256">
        <f>CONTINUA!BV46</f>
        <v>0</v>
      </c>
      <c r="M46" s="256">
        <f>CONTINUA!BW46</f>
        <v>0</v>
      </c>
      <c r="N46" s="564"/>
      <c r="O46" s="565" t="s">
        <v>3340</v>
      </c>
      <c r="P46" s="566">
        <v>0</v>
      </c>
      <c r="Q46" s="319">
        <v>6</v>
      </c>
      <c r="R46" s="320"/>
      <c r="S46" s="319">
        <v>0</v>
      </c>
      <c r="T46" s="320"/>
      <c r="U46" s="321">
        <v>0</v>
      </c>
      <c r="V46" s="322">
        <v>0</v>
      </c>
      <c r="W46" s="319">
        <v>6</v>
      </c>
      <c r="X46" s="320"/>
      <c r="Y46" s="319">
        <v>0</v>
      </c>
      <c r="Z46" s="320"/>
      <c r="AA46" s="321">
        <v>0</v>
      </c>
      <c r="AB46" s="322">
        <v>0</v>
      </c>
      <c r="AC46" s="319">
        <v>6</v>
      </c>
      <c r="AD46" s="320"/>
      <c r="AE46" s="319">
        <v>0</v>
      </c>
      <c r="AF46" s="320"/>
      <c r="AG46" s="321">
        <v>0</v>
      </c>
      <c r="AH46" s="322">
        <v>0</v>
      </c>
      <c r="AI46" s="319">
        <v>6</v>
      </c>
      <c r="AJ46" s="320"/>
      <c r="AK46" s="319">
        <v>0</v>
      </c>
      <c r="AL46" s="320"/>
      <c r="AM46" s="321">
        <v>0</v>
      </c>
      <c r="AN46" s="322">
        <v>0</v>
      </c>
      <c r="AO46" s="319">
        <v>6</v>
      </c>
      <c r="AP46" s="320"/>
      <c r="AQ46" s="319">
        <v>0</v>
      </c>
      <c r="AR46" s="320"/>
      <c r="AS46" s="321">
        <v>0</v>
      </c>
      <c r="AT46" s="322">
        <v>0</v>
      </c>
      <c r="AU46" s="319">
        <v>6</v>
      </c>
      <c r="AV46" s="320"/>
      <c r="AW46" s="319">
        <v>0</v>
      </c>
      <c r="AX46" s="320"/>
      <c r="AY46" s="321">
        <v>0</v>
      </c>
      <c r="AZ46" s="322">
        <v>0</v>
      </c>
      <c r="BA46" s="319">
        <v>6</v>
      </c>
      <c r="BB46" s="320"/>
      <c r="BC46" s="319">
        <v>0</v>
      </c>
      <c r="BD46" s="320"/>
      <c r="BE46" s="321">
        <v>0</v>
      </c>
      <c r="BF46" s="322">
        <v>0</v>
      </c>
      <c r="BG46" s="319">
        <v>6</v>
      </c>
      <c r="BH46" s="320"/>
      <c r="BI46" s="319">
        <v>0</v>
      </c>
      <c r="BJ46" s="320"/>
      <c r="BK46" s="321">
        <v>0</v>
      </c>
      <c r="BL46" s="322">
        <v>0</v>
      </c>
      <c r="BM46" s="319">
        <v>6</v>
      </c>
      <c r="BN46" s="320"/>
      <c r="BO46" s="319">
        <v>0</v>
      </c>
      <c r="BP46" s="320"/>
      <c r="BQ46" s="321">
        <v>0</v>
      </c>
      <c r="BR46" s="322">
        <v>0</v>
      </c>
      <c r="BS46" s="319">
        <v>6</v>
      </c>
      <c r="BT46" s="320"/>
      <c r="BU46" s="319">
        <v>0</v>
      </c>
      <c r="BV46" s="320"/>
      <c r="BW46" s="321">
        <v>0</v>
      </c>
      <c r="BX46" s="322">
        <v>0</v>
      </c>
      <c r="BY46" s="319">
        <v>6</v>
      </c>
      <c r="BZ46" s="320"/>
      <c r="CA46" s="319">
        <v>0</v>
      </c>
      <c r="CB46" s="320"/>
      <c r="CC46" s="321">
        <v>0</v>
      </c>
      <c r="CD46" s="322">
        <v>0</v>
      </c>
      <c r="CE46" s="319">
        <v>6</v>
      </c>
      <c r="CF46" s="320"/>
      <c r="CG46" s="319">
        <v>0</v>
      </c>
      <c r="CH46" s="320"/>
      <c r="CI46" s="321">
        <v>0</v>
      </c>
      <c r="CJ46" s="322">
        <v>0</v>
      </c>
      <c r="CK46" s="319">
        <v>6</v>
      </c>
      <c r="CL46" s="320"/>
      <c r="CM46" s="319">
        <v>0</v>
      </c>
      <c r="CN46" s="320"/>
      <c r="CO46" s="321">
        <v>0</v>
      </c>
      <c r="CP46" s="322">
        <v>0</v>
      </c>
      <c r="CQ46" s="319">
        <v>6</v>
      </c>
      <c r="CR46" s="320"/>
      <c r="CS46" s="319">
        <v>0</v>
      </c>
      <c r="CT46" s="320"/>
      <c r="CU46" s="321">
        <v>0</v>
      </c>
      <c r="CV46" s="322">
        <v>0</v>
      </c>
      <c r="CW46" s="319">
        <v>6</v>
      </c>
      <c r="CX46" s="320"/>
      <c r="CY46" s="319">
        <v>0</v>
      </c>
      <c r="CZ46" s="320"/>
      <c r="DA46" s="321">
        <v>0</v>
      </c>
      <c r="DB46" s="322">
        <v>0</v>
      </c>
      <c r="DC46" s="319">
        <v>6</v>
      </c>
      <c r="DD46" s="320"/>
      <c r="DE46" s="319">
        <v>0</v>
      </c>
      <c r="DF46" s="320"/>
      <c r="DG46" s="321">
        <v>0</v>
      </c>
      <c r="DH46" s="322">
        <v>0</v>
      </c>
      <c r="DI46" s="319">
        <v>6</v>
      </c>
      <c r="DJ46" s="320"/>
      <c r="DK46" s="319">
        <v>0</v>
      </c>
      <c r="DL46" s="320"/>
      <c r="DM46" s="321">
        <v>0</v>
      </c>
      <c r="DN46" s="322">
        <v>0</v>
      </c>
      <c r="DO46" s="319">
        <v>6</v>
      </c>
      <c r="DP46" s="320"/>
      <c r="DQ46" s="319">
        <v>0</v>
      </c>
      <c r="DR46" s="320"/>
      <c r="DS46" s="321">
        <v>0</v>
      </c>
      <c r="DT46" s="322">
        <v>0</v>
      </c>
      <c r="DU46" s="319">
        <v>6</v>
      </c>
      <c r="DV46" s="320"/>
      <c r="DW46" s="319">
        <v>0</v>
      </c>
      <c r="DX46" s="320"/>
      <c r="DY46" s="321">
        <v>0</v>
      </c>
      <c r="DZ46" s="322">
        <v>0</v>
      </c>
      <c r="EA46" s="319">
        <v>6</v>
      </c>
      <c r="EB46" s="320"/>
      <c r="EC46" s="319">
        <v>0</v>
      </c>
      <c r="ED46" s="320"/>
      <c r="EE46" s="321">
        <v>0</v>
      </c>
      <c r="EF46" s="322">
        <v>0</v>
      </c>
      <c r="EG46" s="319">
        <v>6</v>
      </c>
      <c r="EH46" s="320"/>
      <c r="EI46" s="319">
        <v>0</v>
      </c>
      <c r="EJ46" s="320"/>
      <c r="EK46" s="321">
        <v>0</v>
      </c>
      <c r="EL46" s="322">
        <v>0</v>
      </c>
      <c r="EM46" s="319">
        <v>6</v>
      </c>
      <c r="EN46" s="320"/>
      <c r="EO46" s="319">
        <v>0</v>
      </c>
      <c r="EP46" s="320"/>
      <c r="EQ46" s="321">
        <v>0</v>
      </c>
      <c r="ER46" s="322">
        <v>0</v>
      </c>
      <c r="ES46" s="319">
        <v>6</v>
      </c>
      <c r="ET46" s="320"/>
      <c r="EU46" s="319">
        <v>0</v>
      </c>
      <c r="EV46" s="320"/>
      <c r="EW46" s="321">
        <v>0</v>
      </c>
      <c r="EX46" s="322">
        <v>0</v>
      </c>
      <c r="EY46" s="319">
        <v>6</v>
      </c>
      <c r="EZ46" s="320"/>
      <c r="FA46" s="319">
        <v>0</v>
      </c>
      <c r="FB46" s="320"/>
      <c r="FC46" s="321">
        <v>0</v>
      </c>
      <c r="FD46" s="322">
        <v>0</v>
      </c>
      <c r="FE46" s="319">
        <v>6</v>
      </c>
      <c r="FF46" s="320"/>
      <c r="FG46" s="319">
        <v>0</v>
      </c>
      <c r="FH46" s="320"/>
      <c r="FI46" s="321">
        <v>0</v>
      </c>
      <c r="FJ46" s="322">
        <v>0</v>
      </c>
      <c r="FK46" s="319">
        <v>6</v>
      </c>
      <c r="FL46" s="320"/>
      <c r="FM46" s="319">
        <v>0</v>
      </c>
      <c r="FN46" s="320"/>
      <c r="FO46" s="321">
        <v>0</v>
      </c>
      <c r="FP46" s="322">
        <v>0</v>
      </c>
      <c r="FQ46" s="319">
        <v>6</v>
      </c>
      <c r="FR46" s="320"/>
      <c r="FS46" s="319">
        <v>0</v>
      </c>
      <c r="FT46" s="320"/>
      <c r="FU46" s="321">
        <v>0</v>
      </c>
      <c r="FV46" s="322">
        <v>0</v>
      </c>
      <c r="FW46" s="319">
        <v>6</v>
      </c>
      <c r="FX46" s="320"/>
      <c r="FY46" s="319">
        <v>0</v>
      </c>
      <c r="FZ46" s="320"/>
      <c r="GA46" s="321">
        <v>0</v>
      </c>
      <c r="GB46" s="322">
        <v>0</v>
      </c>
      <c r="GC46" s="319">
        <v>6</v>
      </c>
      <c r="GD46" s="320"/>
      <c r="GE46" s="319">
        <v>0</v>
      </c>
      <c r="GF46" s="320"/>
      <c r="GG46" s="321">
        <v>0</v>
      </c>
      <c r="GH46" s="322">
        <v>0</v>
      </c>
      <c r="GI46" s="319">
        <v>6</v>
      </c>
      <c r="GJ46" s="320"/>
      <c r="GK46" s="319">
        <v>0</v>
      </c>
      <c r="GL46" s="320"/>
      <c r="GM46" s="321">
        <v>0</v>
      </c>
      <c r="GN46" s="322">
        <v>0</v>
      </c>
      <c r="GO46" s="319">
        <v>6</v>
      </c>
      <c r="GP46" s="320"/>
      <c r="GQ46" s="319">
        <v>0</v>
      </c>
      <c r="GR46" s="320"/>
      <c r="GS46" s="321">
        <v>0</v>
      </c>
      <c r="GT46" s="322">
        <v>0</v>
      </c>
      <c r="GU46" s="319">
        <v>6</v>
      </c>
      <c r="GV46" s="320"/>
      <c r="GW46" s="319">
        <v>0</v>
      </c>
      <c r="GX46" s="320"/>
      <c r="GY46" s="321">
        <v>0</v>
      </c>
      <c r="GZ46" s="322">
        <v>0</v>
      </c>
    </row>
    <row r="47" spans="1:208" s="89" customFormat="1" ht="22.5" customHeight="1" x14ac:dyDescent="0.2">
      <c r="A47" s="287" t="s">
        <v>3209</v>
      </c>
      <c r="B47" s="288" t="s">
        <v>3210</v>
      </c>
      <c r="C47" s="289" t="s">
        <v>3170</v>
      </c>
      <c r="D47" s="290" t="s">
        <v>3211</v>
      </c>
      <c r="E47" s="290" t="s">
        <v>3212</v>
      </c>
      <c r="F47" s="291" t="s">
        <v>3166</v>
      </c>
      <c r="G47" s="291" t="s">
        <v>3167</v>
      </c>
      <c r="H47" s="292" t="s">
        <v>1480</v>
      </c>
      <c r="I47" s="293" t="s">
        <v>1480</v>
      </c>
      <c r="J47" s="340" t="s">
        <v>3168</v>
      </c>
      <c r="K47" s="340" t="s">
        <v>3171</v>
      </c>
      <c r="L47" s="256">
        <f>CONTINUA!BV47</f>
        <v>0</v>
      </c>
      <c r="M47" s="256">
        <f>CONTINUA!BW47</f>
        <v>0</v>
      </c>
      <c r="N47" s="564"/>
      <c r="O47" s="565" t="s">
        <v>3340</v>
      </c>
      <c r="P47" s="566">
        <v>0</v>
      </c>
      <c r="Q47" s="319">
        <v>35</v>
      </c>
      <c r="R47" s="320"/>
      <c r="S47" s="319">
        <v>3</v>
      </c>
      <c r="T47" s="320"/>
      <c r="U47" s="319">
        <v>0</v>
      </c>
      <c r="V47" s="320">
        <v>0</v>
      </c>
      <c r="W47" s="319">
        <v>35</v>
      </c>
      <c r="X47" s="320"/>
      <c r="Y47" s="319">
        <v>3</v>
      </c>
      <c r="Z47" s="320"/>
      <c r="AA47" s="319">
        <v>0</v>
      </c>
      <c r="AB47" s="320">
        <v>0</v>
      </c>
      <c r="AC47" s="319">
        <v>35</v>
      </c>
      <c r="AD47" s="320"/>
      <c r="AE47" s="319">
        <v>3</v>
      </c>
      <c r="AF47" s="320"/>
      <c r="AG47" s="319">
        <v>0</v>
      </c>
      <c r="AH47" s="320">
        <v>0</v>
      </c>
      <c r="AI47" s="319">
        <v>35</v>
      </c>
      <c r="AJ47" s="320"/>
      <c r="AK47" s="319">
        <v>3</v>
      </c>
      <c r="AL47" s="320"/>
      <c r="AM47" s="319">
        <v>0</v>
      </c>
      <c r="AN47" s="320">
        <v>0</v>
      </c>
      <c r="AO47" s="319">
        <v>35</v>
      </c>
      <c r="AP47" s="320"/>
      <c r="AQ47" s="319">
        <v>3</v>
      </c>
      <c r="AR47" s="320"/>
      <c r="AS47" s="319">
        <v>0</v>
      </c>
      <c r="AT47" s="320">
        <v>0</v>
      </c>
      <c r="AU47" s="319">
        <v>35</v>
      </c>
      <c r="AV47" s="320"/>
      <c r="AW47" s="319">
        <v>3</v>
      </c>
      <c r="AX47" s="320"/>
      <c r="AY47" s="319">
        <v>0</v>
      </c>
      <c r="AZ47" s="320">
        <v>0</v>
      </c>
      <c r="BA47" s="319">
        <v>35</v>
      </c>
      <c r="BB47" s="320"/>
      <c r="BC47" s="319">
        <v>3</v>
      </c>
      <c r="BD47" s="320"/>
      <c r="BE47" s="319">
        <v>0</v>
      </c>
      <c r="BF47" s="320">
        <v>0</v>
      </c>
      <c r="BG47" s="319">
        <v>35</v>
      </c>
      <c r="BH47" s="320"/>
      <c r="BI47" s="319">
        <v>3</v>
      </c>
      <c r="BJ47" s="320"/>
      <c r="BK47" s="319">
        <v>0</v>
      </c>
      <c r="BL47" s="320">
        <v>0</v>
      </c>
      <c r="BM47" s="319">
        <v>35</v>
      </c>
      <c r="BN47" s="320"/>
      <c r="BO47" s="319">
        <v>3</v>
      </c>
      <c r="BP47" s="320"/>
      <c r="BQ47" s="319">
        <v>0</v>
      </c>
      <c r="BR47" s="320">
        <v>0</v>
      </c>
      <c r="BS47" s="319">
        <v>35</v>
      </c>
      <c r="BT47" s="320"/>
      <c r="BU47" s="319">
        <v>3</v>
      </c>
      <c r="BV47" s="320"/>
      <c r="BW47" s="319">
        <v>0</v>
      </c>
      <c r="BX47" s="320">
        <v>0</v>
      </c>
      <c r="BY47" s="319">
        <v>35</v>
      </c>
      <c r="BZ47" s="320"/>
      <c r="CA47" s="319">
        <v>3</v>
      </c>
      <c r="CB47" s="320"/>
      <c r="CC47" s="319">
        <v>0</v>
      </c>
      <c r="CD47" s="320">
        <v>0</v>
      </c>
      <c r="CE47" s="319">
        <v>35</v>
      </c>
      <c r="CF47" s="320"/>
      <c r="CG47" s="319">
        <v>3</v>
      </c>
      <c r="CH47" s="320"/>
      <c r="CI47" s="319">
        <v>0</v>
      </c>
      <c r="CJ47" s="320">
        <v>0</v>
      </c>
      <c r="CK47" s="319">
        <v>35</v>
      </c>
      <c r="CL47" s="320"/>
      <c r="CM47" s="319">
        <v>3</v>
      </c>
      <c r="CN47" s="320"/>
      <c r="CO47" s="319">
        <v>0</v>
      </c>
      <c r="CP47" s="320">
        <v>0</v>
      </c>
      <c r="CQ47" s="319">
        <v>35</v>
      </c>
      <c r="CR47" s="320"/>
      <c r="CS47" s="319">
        <v>3</v>
      </c>
      <c r="CT47" s="320"/>
      <c r="CU47" s="319">
        <v>0</v>
      </c>
      <c r="CV47" s="320">
        <v>0</v>
      </c>
      <c r="CW47" s="319">
        <v>35</v>
      </c>
      <c r="CX47" s="320"/>
      <c r="CY47" s="319">
        <v>3</v>
      </c>
      <c r="CZ47" s="320"/>
      <c r="DA47" s="319">
        <v>0</v>
      </c>
      <c r="DB47" s="320">
        <v>0</v>
      </c>
      <c r="DC47" s="319">
        <v>35</v>
      </c>
      <c r="DD47" s="320"/>
      <c r="DE47" s="319">
        <v>3</v>
      </c>
      <c r="DF47" s="320"/>
      <c r="DG47" s="319">
        <v>0</v>
      </c>
      <c r="DH47" s="320">
        <v>0</v>
      </c>
      <c r="DI47" s="319">
        <v>35</v>
      </c>
      <c r="DJ47" s="320"/>
      <c r="DK47" s="319">
        <v>3</v>
      </c>
      <c r="DL47" s="320"/>
      <c r="DM47" s="319">
        <v>0</v>
      </c>
      <c r="DN47" s="320">
        <v>0</v>
      </c>
      <c r="DO47" s="319">
        <v>35</v>
      </c>
      <c r="DP47" s="320"/>
      <c r="DQ47" s="319">
        <v>3</v>
      </c>
      <c r="DR47" s="320"/>
      <c r="DS47" s="319">
        <v>0</v>
      </c>
      <c r="DT47" s="320">
        <v>0</v>
      </c>
      <c r="DU47" s="319">
        <v>35</v>
      </c>
      <c r="DV47" s="320"/>
      <c r="DW47" s="319">
        <v>3</v>
      </c>
      <c r="DX47" s="320"/>
      <c r="DY47" s="319">
        <v>0</v>
      </c>
      <c r="DZ47" s="320">
        <v>0</v>
      </c>
      <c r="EA47" s="319">
        <v>35</v>
      </c>
      <c r="EB47" s="320"/>
      <c r="EC47" s="319">
        <v>3</v>
      </c>
      <c r="ED47" s="320"/>
      <c r="EE47" s="319">
        <v>0</v>
      </c>
      <c r="EF47" s="320">
        <v>0</v>
      </c>
      <c r="EG47" s="319">
        <v>35</v>
      </c>
      <c r="EH47" s="320"/>
      <c r="EI47" s="319">
        <v>3</v>
      </c>
      <c r="EJ47" s="320"/>
      <c r="EK47" s="319">
        <v>0</v>
      </c>
      <c r="EL47" s="320">
        <v>0</v>
      </c>
      <c r="EM47" s="319">
        <v>35</v>
      </c>
      <c r="EN47" s="320"/>
      <c r="EO47" s="319">
        <v>3</v>
      </c>
      <c r="EP47" s="320"/>
      <c r="EQ47" s="319">
        <v>0</v>
      </c>
      <c r="ER47" s="320">
        <v>0</v>
      </c>
      <c r="ES47" s="319">
        <v>35</v>
      </c>
      <c r="ET47" s="320"/>
      <c r="EU47" s="319">
        <v>3</v>
      </c>
      <c r="EV47" s="320"/>
      <c r="EW47" s="319">
        <v>0</v>
      </c>
      <c r="EX47" s="320">
        <v>0</v>
      </c>
      <c r="EY47" s="319">
        <v>35</v>
      </c>
      <c r="EZ47" s="320"/>
      <c r="FA47" s="319">
        <v>3</v>
      </c>
      <c r="FB47" s="320"/>
      <c r="FC47" s="319">
        <v>0</v>
      </c>
      <c r="FD47" s="320">
        <v>0</v>
      </c>
      <c r="FE47" s="319">
        <v>35</v>
      </c>
      <c r="FF47" s="320"/>
      <c r="FG47" s="319">
        <v>3</v>
      </c>
      <c r="FH47" s="320"/>
      <c r="FI47" s="319">
        <v>0</v>
      </c>
      <c r="FJ47" s="320">
        <v>0</v>
      </c>
      <c r="FK47" s="319">
        <v>35</v>
      </c>
      <c r="FL47" s="320"/>
      <c r="FM47" s="319">
        <v>3</v>
      </c>
      <c r="FN47" s="320"/>
      <c r="FO47" s="319">
        <v>0</v>
      </c>
      <c r="FP47" s="320">
        <v>0</v>
      </c>
      <c r="FQ47" s="319">
        <v>35</v>
      </c>
      <c r="FR47" s="320"/>
      <c r="FS47" s="319">
        <v>3</v>
      </c>
      <c r="FT47" s="320"/>
      <c r="FU47" s="319">
        <v>0</v>
      </c>
      <c r="FV47" s="320">
        <v>0</v>
      </c>
      <c r="FW47" s="319">
        <v>35</v>
      </c>
      <c r="FX47" s="320"/>
      <c r="FY47" s="319">
        <v>3</v>
      </c>
      <c r="FZ47" s="320"/>
      <c r="GA47" s="319">
        <v>0</v>
      </c>
      <c r="GB47" s="320">
        <v>0</v>
      </c>
      <c r="GC47" s="319">
        <v>35</v>
      </c>
      <c r="GD47" s="320"/>
      <c r="GE47" s="319">
        <v>3</v>
      </c>
      <c r="GF47" s="320"/>
      <c r="GG47" s="319">
        <v>0</v>
      </c>
      <c r="GH47" s="320">
        <v>0</v>
      </c>
      <c r="GI47" s="319">
        <v>35</v>
      </c>
      <c r="GJ47" s="320"/>
      <c r="GK47" s="319">
        <v>3</v>
      </c>
      <c r="GL47" s="320"/>
      <c r="GM47" s="319">
        <v>0</v>
      </c>
      <c r="GN47" s="320">
        <v>0</v>
      </c>
      <c r="GO47" s="319">
        <v>35</v>
      </c>
      <c r="GP47" s="320"/>
      <c r="GQ47" s="319">
        <v>3</v>
      </c>
      <c r="GR47" s="320"/>
      <c r="GS47" s="319">
        <v>0</v>
      </c>
      <c r="GT47" s="320">
        <v>0</v>
      </c>
      <c r="GU47" s="319">
        <v>35</v>
      </c>
      <c r="GV47" s="320"/>
      <c r="GW47" s="319">
        <v>3</v>
      </c>
      <c r="GX47" s="320"/>
      <c r="GY47" s="319">
        <v>0</v>
      </c>
      <c r="GZ47" s="320">
        <v>0</v>
      </c>
    </row>
    <row r="48" spans="1:208" s="89" customFormat="1" ht="22.5" customHeight="1" x14ac:dyDescent="0.2">
      <c r="A48" s="287" t="s">
        <v>3209</v>
      </c>
      <c r="B48" s="288" t="s">
        <v>3210</v>
      </c>
      <c r="C48" s="294" t="s">
        <v>3170</v>
      </c>
      <c r="D48" s="290" t="s">
        <v>3211</v>
      </c>
      <c r="E48" s="290" t="s">
        <v>3212</v>
      </c>
      <c r="F48" s="295" t="s">
        <v>3166</v>
      </c>
      <c r="G48" s="295" t="s">
        <v>3167</v>
      </c>
      <c r="H48" s="292" t="s">
        <v>1480</v>
      </c>
      <c r="I48" s="293" t="s">
        <v>1480</v>
      </c>
      <c r="J48" s="340" t="s">
        <v>3168</v>
      </c>
      <c r="K48" s="341" t="s">
        <v>3172</v>
      </c>
      <c r="L48" s="256">
        <f>CONTINUA!BV48</f>
        <v>0</v>
      </c>
      <c r="M48" s="256">
        <f>CONTINUA!BW48</f>
        <v>0</v>
      </c>
      <c r="N48" s="564"/>
      <c r="O48" s="565" t="s">
        <v>3340</v>
      </c>
      <c r="P48" s="566">
        <v>0</v>
      </c>
      <c r="Q48" s="319">
        <v>0</v>
      </c>
      <c r="R48" s="320"/>
      <c r="S48" s="319">
        <v>0</v>
      </c>
      <c r="T48" s="320"/>
      <c r="U48" s="319">
        <v>0</v>
      </c>
      <c r="V48" s="320">
        <v>0</v>
      </c>
      <c r="W48" s="319">
        <v>0</v>
      </c>
      <c r="X48" s="320"/>
      <c r="Y48" s="319">
        <v>0</v>
      </c>
      <c r="Z48" s="320"/>
      <c r="AA48" s="319">
        <v>0</v>
      </c>
      <c r="AB48" s="320">
        <v>0</v>
      </c>
      <c r="AC48" s="319">
        <v>0</v>
      </c>
      <c r="AD48" s="320"/>
      <c r="AE48" s="319">
        <v>0</v>
      </c>
      <c r="AF48" s="320"/>
      <c r="AG48" s="319">
        <v>0</v>
      </c>
      <c r="AH48" s="320">
        <v>0</v>
      </c>
      <c r="AI48" s="319">
        <v>0</v>
      </c>
      <c r="AJ48" s="320"/>
      <c r="AK48" s="319">
        <v>0</v>
      </c>
      <c r="AL48" s="320"/>
      <c r="AM48" s="319">
        <v>0</v>
      </c>
      <c r="AN48" s="320">
        <v>0</v>
      </c>
      <c r="AO48" s="319">
        <v>0</v>
      </c>
      <c r="AP48" s="320"/>
      <c r="AQ48" s="319">
        <v>0</v>
      </c>
      <c r="AR48" s="320"/>
      <c r="AS48" s="319">
        <v>0</v>
      </c>
      <c r="AT48" s="320">
        <v>0</v>
      </c>
      <c r="AU48" s="319">
        <v>0</v>
      </c>
      <c r="AV48" s="320"/>
      <c r="AW48" s="319">
        <v>0</v>
      </c>
      <c r="AX48" s="320"/>
      <c r="AY48" s="319">
        <v>0</v>
      </c>
      <c r="AZ48" s="320">
        <v>0</v>
      </c>
      <c r="BA48" s="319">
        <v>0</v>
      </c>
      <c r="BB48" s="320"/>
      <c r="BC48" s="319">
        <v>0</v>
      </c>
      <c r="BD48" s="320"/>
      <c r="BE48" s="319">
        <v>0</v>
      </c>
      <c r="BF48" s="320">
        <v>0</v>
      </c>
      <c r="BG48" s="319">
        <v>0</v>
      </c>
      <c r="BH48" s="320"/>
      <c r="BI48" s="319">
        <v>0</v>
      </c>
      <c r="BJ48" s="320"/>
      <c r="BK48" s="319">
        <v>0</v>
      </c>
      <c r="BL48" s="320">
        <v>0</v>
      </c>
      <c r="BM48" s="319">
        <v>0</v>
      </c>
      <c r="BN48" s="320"/>
      <c r="BO48" s="319">
        <v>0</v>
      </c>
      <c r="BP48" s="320"/>
      <c r="BQ48" s="319">
        <v>0</v>
      </c>
      <c r="BR48" s="320">
        <v>0</v>
      </c>
      <c r="BS48" s="319">
        <v>0</v>
      </c>
      <c r="BT48" s="320"/>
      <c r="BU48" s="319">
        <v>0</v>
      </c>
      <c r="BV48" s="320"/>
      <c r="BW48" s="319">
        <v>0</v>
      </c>
      <c r="BX48" s="320">
        <v>0</v>
      </c>
      <c r="BY48" s="319">
        <v>0</v>
      </c>
      <c r="BZ48" s="320"/>
      <c r="CA48" s="319">
        <v>0</v>
      </c>
      <c r="CB48" s="320"/>
      <c r="CC48" s="319">
        <v>0</v>
      </c>
      <c r="CD48" s="320">
        <v>0</v>
      </c>
      <c r="CE48" s="319">
        <v>0</v>
      </c>
      <c r="CF48" s="320"/>
      <c r="CG48" s="319">
        <v>0</v>
      </c>
      <c r="CH48" s="320"/>
      <c r="CI48" s="319">
        <v>0</v>
      </c>
      <c r="CJ48" s="320">
        <v>0</v>
      </c>
      <c r="CK48" s="319">
        <v>0</v>
      </c>
      <c r="CL48" s="320"/>
      <c r="CM48" s="319">
        <v>0</v>
      </c>
      <c r="CN48" s="320"/>
      <c r="CO48" s="319">
        <v>0</v>
      </c>
      <c r="CP48" s="320">
        <v>0</v>
      </c>
      <c r="CQ48" s="319">
        <v>0</v>
      </c>
      <c r="CR48" s="320"/>
      <c r="CS48" s="319">
        <v>0</v>
      </c>
      <c r="CT48" s="320"/>
      <c r="CU48" s="319">
        <v>0</v>
      </c>
      <c r="CV48" s="320">
        <v>0</v>
      </c>
      <c r="CW48" s="319">
        <v>0</v>
      </c>
      <c r="CX48" s="320"/>
      <c r="CY48" s="319">
        <v>0</v>
      </c>
      <c r="CZ48" s="320"/>
      <c r="DA48" s="319">
        <v>0</v>
      </c>
      <c r="DB48" s="320">
        <v>0</v>
      </c>
      <c r="DC48" s="319">
        <v>0</v>
      </c>
      <c r="DD48" s="320"/>
      <c r="DE48" s="319">
        <v>0</v>
      </c>
      <c r="DF48" s="320"/>
      <c r="DG48" s="319">
        <v>0</v>
      </c>
      <c r="DH48" s="320">
        <v>0</v>
      </c>
      <c r="DI48" s="319">
        <v>0</v>
      </c>
      <c r="DJ48" s="320"/>
      <c r="DK48" s="319">
        <v>0</v>
      </c>
      <c r="DL48" s="320"/>
      <c r="DM48" s="319">
        <v>0</v>
      </c>
      <c r="DN48" s="320">
        <v>0</v>
      </c>
      <c r="DO48" s="319">
        <v>0</v>
      </c>
      <c r="DP48" s="320"/>
      <c r="DQ48" s="319">
        <v>0</v>
      </c>
      <c r="DR48" s="320"/>
      <c r="DS48" s="319">
        <v>0</v>
      </c>
      <c r="DT48" s="320">
        <v>0</v>
      </c>
      <c r="DU48" s="319">
        <v>0</v>
      </c>
      <c r="DV48" s="320"/>
      <c r="DW48" s="319">
        <v>0</v>
      </c>
      <c r="DX48" s="320"/>
      <c r="DY48" s="319">
        <v>0</v>
      </c>
      <c r="DZ48" s="320">
        <v>0</v>
      </c>
      <c r="EA48" s="319">
        <v>0</v>
      </c>
      <c r="EB48" s="320"/>
      <c r="EC48" s="319">
        <v>0</v>
      </c>
      <c r="ED48" s="320"/>
      <c r="EE48" s="319">
        <v>0</v>
      </c>
      <c r="EF48" s="320">
        <v>0</v>
      </c>
      <c r="EG48" s="319">
        <v>0</v>
      </c>
      <c r="EH48" s="320"/>
      <c r="EI48" s="319">
        <v>0</v>
      </c>
      <c r="EJ48" s="320"/>
      <c r="EK48" s="319">
        <v>0</v>
      </c>
      <c r="EL48" s="320">
        <v>0</v>
      </c>
      <c r="EM48" s="319">
        <v>0</v>
      </c>
      <c r="EN48" s="320"/>
      <c r="EO48" s="319">
        <v>0</v>
      </c>
      <c r="EP48" s="320"/>
      <c r="EQ48" s="319">
        <v>0</v>
      </c>
      <c r="ER48" s="320">
        <v>0</v>
      </c>
      <c r="ES48" s="319">
        <v>0</v>
      </c>
      <c r="ET48" s="320"/>
      <c r="EU48" s="319">
        <v>0</v>
      </c>
      <c r="EV48" s="320"/>
      <c r="EW48" s="319">
        <v>0</v>
      </c>
      <c r="EX48" s="320">
        <v>0</v>
      </c>
      <c r="EY48" s="319">
        <v>0</v>
      </c>
      <c r="EZ48" s="320"/>
      <c r="FA48" s="319">
        <v>0</v>
      </c>
      <c r="FB48" s="320"/>
      <c r="FC48" s="319">
        <v>0</v>
      </c>
      <c r="FD48" s="320">
        <v>0</v>
      </c>
      <c r="FE48" s="319">
        <v>0</v>
      </c>
      <c r="FF48" s="320"/>
      <c r="FG48" s="319">
        <v>0</v>
      </c>
      <c r="FH48" s="320"/>
      <c r="FI48" s="319">
        <v>0</v>
      </c>
      <c r="FJ48" s="320">
        <v>0</v>
      </c>
      <c r="FK48" s="319">
        <v>0</v>
      </c>
      <c r="FL48" s="320"/>
      <c r="FM48" s="319">
        <v>0</v>
      </c>
      <c r="FN48" s="320"/>
      <c r="FO48" s="319">
        <v>0</v>
      </c>
      <c r="FP48" s="320">
        <v>0</v>
      </c>
      <c r="FQ48" s="319">
        <v>0</v>
      </c>
      <c r="FR48" s="320"/>
      <c r="FS48" s="319">
        <v>0</v>
      </c>
      <c r="FT48" s="320"/>
      <c r="FU48" s="319">
        <v>0</v>
      </c>
      <c r="FV48" s="320">
        <v>0</v>
      </c>
      <c r="FW48" s="319">
        <v>0</v>
      </c>
      <c r="FX48" s="320"/>
      <c r="FY48" s="319">
        <v>0</v>
      </c>
      <c r="FZ48" s="320"/>
      <c r="GA48" s="319">
        <v>0</v>
      </c>
      <c r="GB48" s="320">
        <v>0</v>
      </c>
      <c r="GC48" s="319">
        <v>0</v>
      </c>
      <c r="GD48" s="320"/>
      <c r="GE48" s="319">
        <v>0</v>
      </c>
      <c r="GF48" s="320"/>
      <c r="GG48" s="319">
        <v>0</v>
      </c>
      <c r="GH48" s="320">
        <v>0</v>
      </c>
      <c r="GI48" s="319">
        <v>0</v>
      </c>
      <c r="GJ48" s="320"/>
      <c r="GK48" s="319">
        <v>0</v>
      </c>
      <c r="GL48" s="320"/>
      <c r="GM48" s="319">
        <v>0</v>
      </c>
      <c r="GN48" s="320">
        <v>0</v>
      </c>
      <c r="GO48" s="319">
        <v>0</v>
      </c>
      <c r="GP48" s="320"/>
      <c r="GQ48" s="319">
        <v>0</v>
      </c>
      <c r="GR48" s="320"/>
      <c r="GS48" s="319">
        <v>0</v>
      </c>
      <c r="GT48" s="320">
        <v>0</v>
      </c>
      <c r="GU48" s="319">
        <v>0</v>
      </c>
      <c r="GV48" s="320"/>
      <c r="GW48" s="319">
        <v>0</v>
      </c>
      <c r="GX48" s="320"/>
      <c r="GY48" s="319">
        <v>0</v>
      </c>
      <c r="GZ48" s="320">
        <v>0</v>
      </c>
    </row>
    <row r="49" spans="1:208" s="89" customFormat="1" ht="22.5" customHeight="1" x14ac:dyDescent="0.2">
      <c r="A49" s="287" t="s">
        <v>3209</v>
      </c>
      <c r="B49" s="288" t="s">
        <v>3210</v>
      </c>
      <c r="C49" s="294" t="s">
        <v>3170</v>
      </c>
      <c r="D49" s="290" t="s">
        <v>3211</v>
      </c>
      <c r="E49" s="290" t="s">
        <v>3212</v>
      </c>
      <c r="F49" s="295" t="s">
        <v>3166</v>
      </c>
      <c r="G49" s="295" t="s">
        <v>3167</v>
      </c>
      <c r="H49" s="292" t="s">
        <v>1480</v>
      </c>
      <c r="I49" s="293" t="s">
        <v>1480</v>
      </c>
      <c r="J49" s="340" t="s">
        <v>3168</v>
      </c>
      <c r="K49" s="342" t="s">
        <v>3173</v>
      </c>
      <c r="L49" s="256">
        <f>CONTINUA!BV49</f>
        <v>0</v>
      </c>
      <c r="M49" s="256">
        <f>CONTINUA!BW49</f>
        <v>0</v>
      </c>
      <c r="N49" s="564"/>
      <c r="O49" s="565" t="s">
        <v>3340</v>
      </c>
      <c r="P49" s="566">
        <v>0</v>
      </c>
      <c r="Q49" s="319">
        <v>0</v>
      </c>
      <c r="R49" s="320"/>
      <c r="S49" s="319">
        <v>0</v>
      </c>
      <c r="T49" s="320"/>
      <c r="U49" s="319">
        <v>0</v>
      </c>
      <c r="V49" s="320">
        <v>0</v>
      </c>
      <c r="W49" s="319">
        <v>0</v>
      </c>
      <c r="X49" s="320"/>
      <c r="Y49" s="319">
        <v>0</v>
      </c>
      <c r="Z49" s="320"/>
      <c r="AA49" s="319">
        <v>0</v>
      </c>
      <c r="AB49" s="320">
        <v>0</v>
      </c>
      <c r="AC49" s="319">
        <v>0</v>
      </c>
      <c r="AD49" s="320"/>
      <c r="AE49" s="319">
        <v>0</v>
      </c>
      <c r="AF49" s="320"/>
      <c r="AG49" s="319">
        <v>0</v>
      </c>
      <c r="AH49" s="320">
        <v>0</v>
      </c>
      <c r="AI49" s="319">
        <v>0</v>
      </c>
      <c r="AJ49" s="320"/>
      <c r="AK49" s="319">
        <v>0</v>
      </c>
      <c r="AL49" s="320"/>
      <c r="AM49" s="319">
        <v>0</v>
      </c>
      <c r="AN49" s="320">
        <v>0</v>
      </c>
      <c r="AO49" s="319">
        <v>0</v>
      </c>
      <c r="AP49" s="320"/>
      <c r="AQ49" s="319">
        <v>0</v>
      </c>
      <c r="AR49" s="320"/>
      <c r="AS49" s="319">
        <v>0</v>
      </c>
      <c r="AT49" s="320">
        <v>0</v>
      </c>
      <c r="AU49" s="319">
        <v>0</v>
      </c>
      <c r="AV49" s="320"/>
      <c r="AW49" s="319">
        <v>0</v>
      </c>
      <c r="AX49" s="320"/>
      <c r="AY49" s="319">
        <v>0</v>
      </c>
      <c r="AZ49" s="320">
        <v>0</v>
      </c>
      <c r="BA49" s="319">
        <v>0</v>
      </c>
      <c r="BB49" s="320"/>
      <c r="BC49" s="319">
        <v>0</v>
      </c>
      <c r="BD49" s="320"/>
      <c r="BE49" s="319">
        <v>0</v>
      </c>
      <c r="BF49" s="320">
        <v>0</v>
      </c>
      <c r="BG49" s="319">
        <v>0</v>
      </c>
      <c r="BH49" s="320"/>
      <c r="BI49" s="319">
        <v>0</v>
      </c>
      <c r="BJ49" s="320"/>
      <c r="BK49" s="319">
        <v>0</v>
      </c>
      <c r="BL49" s="320">
        <v>0</v>
      </c>
      <c r="BM49" s="319">
        <v>0</v>
      </c>
      <c r="BN49" s="320"/>
      <c r="BO49" s="319">
        <v>0</v>
      </c>
      <c r="BP49" s="320"/>
      <c r="BQ49" s="319">
        <v>0</v>
      </c>
      <c r="BR49" s="320">
        <v>0</v>
      </c>
      <c r="BS49" s="319">
        <v>0</v>
      </c>
      <c r="BT49" s="320"/>
      <c r="BU49" s="319">
        <v>0</v>
      </c>
      <c r="BV49" s="320"/>
      <c r="BW49" s="319">
        <v>0</v>
      </c>
      <c r="BX49" s="320">
        <v>0</v>
      </c>
      <c r="BY49" s="319">
        <v>0</v>
      </c>
      <c r="BZ49" s="320"/>
      <c r="CA49" s="319">
        <v>0</v>
      </c>
      <c r="CB49" s="320"/>
      <c r="CC49" s="319">
        <v>0</v>
      </c>
      <c r="CD49" s="320">
        <v>0</v>
      </c>
      <c r="CE49" s="319">
        <v>0</v>
      </c>
      <c r="CF49" s="320"/>
      <c r="CG49" s="319">
        <v>0</v>
      </c>
      <c r="CH49" s="320"/>
      <c r="CI49" s="319">
        <v>0</v>
      </c>
      <c r="CJ49" s="320">
        <v>0</v>
      </c>
      <c r="CK49" s="319">
        <v>0</v>
      </c>
      <c r="CL49" s="320"/>
      <c r="CM49" s="319">
        <v>0</v>
      </c>
      <c r="CN49" s="320"/>
      <c r="CO49" s="319">
        <v>0</v>
      </c>
      <c r="CP49" s="320">
        <v>0</v>
      </c>
      <c r="CQ49" s="319">
        <v>0</v>
      </c>
      <c r="CR49" s="320"/>
      <c r="CS49" s="319">
        <v>0</v>
      </c>
      <c r="CT49" s="320"/>
      <c r="CU49" s="319">
        <v>0</v>
      </c>
      <c r="CV49" s="320">
        <v>0</v>
      </c>
      <c r="CW49" s="319">
        <v>0</v>
      </c>
      <c r="CX49" s="320"/>
      <c r="CY49" s="319">
        <v>0</v>
      </c>
      <c r="CZ49" s="320"/>
      <c r="DA49" s="319">
        <v>0</v>
      </c>
      <c r="DB49" s="320">
        <v>0</v>
      </c>
      <c r="DC49" s="319">
        <v>0</v>
      </c>
      <c r="DD49" s="320"/>
      <c r="DE49" s="319">
        <v>0</v>
      </c>
      <c r="DF49" s="320"/>
      <c r="DG49" s="319">
        <v>0</v>
      </c>
      <c r="DH49" s="320">
        <v>0</v>
      </c>
      <c r="DI49" s="319">
        <v>0</v>
      </c>
      <c r="DJ49" s="320"/>
      <c r="DK49" s="319">
        <v>0</v>
      </c>
      <c r="DL49" s="320"/>
      <c r="DM49" s="319">
        <v>0</v>
      </c>
      <c r="DN49" s="320">
        <v>0</v>
      </c>
      <c r="DO49" s="319">
        <v>0</v>
      </c>
      <c r="DP49" s="320"/>
      <c r="DQ49" s="319">
        <v>0</v>
      </c>
      <c r="DR49" s="320"/>
      <c r="DS49" s="319">
        <v>0</v>
      </c>
      <c r="DT49" s="320">
        <v>0</v>
      </c>
      <c r="DU49" s="319">
        <v>0</v>
      </c>
      <c r="DV49" s="320"/>
      <c r="DW49" s="319">
        <v>0</v>
      </c>
      <c r="DX49" s="320"/>
      <c r="DY49" s="319">
        <v>0</v>
      </c>
      <c r="DZ49" s="320">
        <v>0</v>
      </c>
      <c r="EA49" s="319">
        <v>0</v>
      </c>
      <c r="EB49" s="320"/>
      <c r="EC49" s="319">
        <v>0</v>
      </c>
      <c r="ED49" s="320"/>
      <c r="EE49" s="319">
        <v>0</v>
      </c>
      <c r="EF49" s="320">
        <v>0</v>
      </c>
      <c r="EG49" s="319">
        <v>0</v>
      </c>
      <c r="EH49" s="320"/>
      <c r="EI49" s="319">
        <v>0</v>
      </c>
      <c r="EJ49" s="320"/>
      <c r="EK49" s="319">
        <v>0</v>
      </c>
      <c r="EL49" s="320">
        <v>0</v>
      </c>
      <c r="EM49" s="319">
        <v>0</v>
      </c>
      <c r="EN49" s="320"/>
      <c r="EO49" s="319">
        <v>0</v>
      </c>
      <c r="EP49" s="320"/>
      <c r="EQ49" s="319">
        <v>0</v>
      </c>
      <c r="ER49" s="320">
        <v>0</v>
      </c>
      <c r="ES49" s="319">
        <v>0</v>
      </c>
      <c r="ET49" s="320"/>
      <c r="EU49" s="319">
        <v>0</v>
      </c>
      <c r="EV49" s="320"/>
      <c r="EW49" s="319">
        <v>0</v>
      </c>
      <c r="EX49" s="320">
        <v>0</v>
      </c>
      <c r="EY49" s="319">
        <v>0</v>
      </c>
      <c r="EZ49" s="320"/>
      <c r="FA49" s="319">
        <v>0</v>
      </c>
      <c r="FB49" s="320"/>
      <c r="FC49" s="319">
        <v>0</v>
      </c>
      <c r="FD49" s="320">
        <v>0</v>
      </c>
      <c r="FE49" s="319">
        <v>0</v>
      </c>
      <c r="FF49" s="320"/>
      <c r="FG49" s="319">
        <v>0</v>
      </c>
      <c r="FH49" s="320"/>
      <c r="FI49" s="319">
        <v>0</v>
      </c>
      <c r="FJ49" s="320">
        <v>0</v>
      </c>
      <c r="FK49" s="319">
        <v>0</v>
      </c>
      <c r="FL49" s="320"/>
      <c r="FM49" s="319">
        <v>0</v>
      </c>
      <c r="FN49" s="320"/>
      <c r="FO49" s="319">
        <v>0</v>
      </c>
      <c r="FP49" s="320">
        <v>0</v>
      </c>
      <c r="FQ49" s="319">
        <v>0</v>
      </c>
      <c r="FR49" s="320"/>
      <c r="FS49" s="319">
        <v>0</v>
      </c>
      <c r="FT49" s="320"/>
      <c r="FU49" s="319">
        <v>0</v>
      </c>
      <c r="FV49" s="320">
        <v>0</v>
      </c>
      <c r="FW49" s="319">
        <v>0</v>
      </c>
      <c r="FX49" s="320"/>
      <c r="FY49" s="319">
        <v>0</v>
      </c>
      <c r="FZ49" s="320"/>
      <c r="GA49" s="319">
        <v>0</v>
      </c>
      <c r="GB49" s="320">
        <v>0</v>
      </c>
      <c r="GC49" s="319">
        <v>0</v>
      </c>
      <c r="GD49" s="320"/>
      <c r="GE49" s="319">
        <v>0</v>
      </c>
      <c r="GF49" s="320"/>
      <c r="GG49" s="319">
        <v>0</v>
      </c>
      <c r="GH49" s="320">
        <v>0</v>
      </c>
      <c r="GI49" s="319">
        <v>0</v>
      </c>
      <c r="GJ49" s="320"/>
      <c r="GK49" s="319">
        <v>0</v>
      </c>
      <c r="GL49" s="320"/>
      <c r="GM49" s="319">
        <v>0</v>
      </c>
      <c r="GN49" s="320">
        <v>0</v>
      </c>
      <c r="GO49" s="319">
        <v>0</v>
      </c>
      <c r="GP49" s="320"/>
      <c r="GQ49" s="319">
        <v>0</v>
      </c>
      <c r="GR49" s="320"/>
      <c r="GS49" s="319">
        <v>0</v>
      </c>
      <c r="GT49" s="320">
        <v>0</v>
      </c>
      <c r="GU49" s="319">
        <v>0</v>
      </c>
      <c r="GV49" s="320"/>
      <c r="GW49" s="319">
        <v>0</v>
      </c>
      <c r="GX49" s="320"/>
      <c r="GY49" s="319">
        <v>0</v>
      </c>
      <c r="GZ49" s="320">
        <v>0</v>
      </c>
    </row>
    <row r="50" spans="1:208" s="89" customFormat="1" ht="22.5" customHeight="1" thickBot="1" x14ac:dyDescent="0.25">
      <c r="A50" s="296" t="s">
        <v>3209</v>
      </c>
      <c r="B50" s="297" t="s">
        <v>3210</v>
      </c>
      <c r="C50" s="298" t="s">
        <v>3170</v>
      </c>
      <c r="D50" s="299" t="s">
        <v>3211</v>
      </c>
      <c r="E50" s="299" t="s">
        <v>3212</v>
      </c>
      <c r="F50" s="300" t="s">
        <v>3166</v>
      </c>
      <c r="G50" s="300" t="s">
        <v>3167</v>
      </c>
      <c r="H50" s="301" t="s">
        <v>1480</v>
      </c>
      <c r="I50" s="302" t="s">
        <v>1480</v>
      </c>
      <c r="J50" s="340" t="s">
        <v>3168</v>
      </c>
      <c r="K50" s="343" t="s">
        <v>53</v>
      </c>
      <c r="L50" s="256">
        <f>CONTINUA!BV50</f>
        <v>0</v>
      </c>
      <c r="M50" s="256">
        <f>CONTINUA!BW50</f>
        <v>0</v>
      </c>
      <c r="N50" s="564"/>
      <c r="O50" s="565" t="s">
        <v>3340</v>
      </c>
      <c r="P50" s="566">
        <v>0</v>
      </c>
      <c r="Q50" s="319">
        <v>0</v>
      </c>
      <c r="R50" s="320"/>
      <c r="S50" s="319">
        <v>0</v>
      </c>
      <c r="T50" s="320"/>
      <c r="U50" s="321">
        <v>0</v>
      </c>
      <c r="V50" s="322">
        <v>0</v>
      </c>
      <c r="W50" s="319">
        <v>0</v>
      </c>
      <c r="X50" s="320"/>
      <c r="Y50" s="319">
        <v>0</v>
      </c>
      <c r="Z50" s="320"/>
      <c r="AA50" s="321">
        <v>0</v>
      </c>
      <c r="AB50" s="322">
        <v>0</v>
      </c>
      <c r="AC50" s="319">
        <v>0</v>
      </c>
      <c r="AD50" s="320"/>
      <c r="AE50" s="319">
        <v>0</v>
      </c>
      <c r="AF50" s="320"/>
      <c r="AG50" s="321">
        <v>0</v>
      </c>
      <c r="AH50" s="322">
        <v>0</v>
      </c>
      <c r="AI50" s="319">
        <v>0</v>
      </c>
      <c r="AJ50" s="320"/>
      <c r="AK50" s="319">
        <v>0</v>
      </c>
      <c r="AL50" s="320"/>
      <c r="AM50" s="321">
        <v>0</v>
      </c>
      <c r="AN50" s="322">
        <v>0</v>
      </c>
      <c r="AO50" s="319">
        <v>0</v>
      </c>
      <c r="AP50" s="320"/>
      <c r="AQ50" s="319">
        <v>0</v>
      </c>
      <c r="AR50" s="320"/>
      <c r="AS50" s="321">
        <v>0</v>
      </c>
      <c r="AT50" s="322">
        <v>0</v>
      </c>
      <c r="AU50" s="319">
        <v>0</v>
      </c>
      <c r="AV50" s="320"/>
      <c r="AW50" s="319">
        <v>0</v>
      </c>
      <c r="AX50" s="320"/>
      <c r="AY50" s="321">
        <v>0</v>
      </c>
      <c r="AZ50" s="322">
        <v>0</v>
      </c>
      <c r="BA50" s="319">
        <v>0</v>
      </c>
      <c r="BB50" s="320"/>
      <c r="BC50" s="319">
        <v>0</v>
      </c>
      <c r="BD50" s="320"/>
      <c r="BE50" s="321">
        <v>0</v>
      </c>
      <c r="BF50" s="322">
        <v>0</v>
      </c>
      <c r="BG50" s="319">
        <v>0</v>
      </c>
      <c r="BH50" s="320"/>
      <c r="BI50" s="319">
        <v>0</v>
      </c>
      <c r="BJ50" s="320"/>
      <c r="BK50" s="321">
        <v>0</v>
      </c>
      <c r="BL50" s="322">
        <v>0</v>
      </c>
      <c r="BM50" s="319">
        <v>0</v>
      </c>
      <c r="BN50" s="320"/>
      <c r="BO50" s="319">
        <v>0</v>
      </c>
      <c r="BP50" s="320"/>
      <c r="BQ50" s="321">
        <v>0</v>
      </c>
      <c r="BR50" s="322">
        <v>0</v>
      </c>
      <c r="BS50" s="319">
        <v>0</v>
      </c>
      <c r="BT50" s="320"/>
      <c r="BU50" s="319">
        <v>0</v>
      </c>
      <c r="BV50" s="320"/>
      <c r="BW50" s="321">
        <v>0</v>
      </c>
      <c r="BX50" s="322">
        <v>0</v>
      </c>
      <c r="BY50" s="319">
        <v>0</v>
      </c>
      <c r="BZ50" s="320"/>
      <c r="CA50" s="319">
        <v>0</v>
      </c>
      <c r="CB50" s="320"/>
      <c r="CC50" s="321">
        <v>0</v>
      </c>
      <c r="CD50" s="322">
        <v>0</v>
      </c>
      <c r="CE50" s="319">
        <v>0</v>
      </c>
      <c r="CF50" s="320"/>
      <c r="CG50" s="319">
        <v>0</v>
      </c>
      <c r="CH50" s="320"/>
      <c r="CI50" s="321">
        <v>0</v>
      </c>
      <c r="CJ50" s="322">
        <v>0</v>
      </c>
      <c r="CK50" s="319">
        <v>0</v>
      </c>
      <c r="CL50" s="320"/>
      <c r="CM50" s="319">
        <v>0</v>
      </c>
      <c r="CN50" s="320"/>
      <c r="CO50" s="321">
        <v>0</v>
      </c>
      <c r="CP50" s="322">
        <v>0</v>
      </c>
      <c r="CQ50" s="319">
        <v>0</v>
      </c>
      <c r="CR50" s="320"/>
      <c r="CS50" s="319">
        <v>0</v>
      </c>
      <c r="CT50" s="320"/>
      <c r="CU50" s="321">
        <v>0</v>
      </c>
      <c r="CV50" s="322">
        <v>0</v>
      </c>
      <c r="CW50" s="319">
        <v>0</v>
      </c>
      <c r="CX50" s="320"/>
      <c r="CY50" s="319">
        <v>0</v>
      </c>
      <c r="CZ50" s="320"/>
      <c r="DA50" s="321">
        <v>0</v>
      </c>
      <c r="DB50" s="322">
        <v>0</v>
      </c>
      <c r="DC50" s="319">
        <v>0</v>
      </c>
      <c r="DD50" s="320"/>
      <c r="DE50" s="319">
        <v>0</v>
      </c>
      <c r="DF50" s="320"/>
      <c r="DG50" s="321">
        <v>0</v>
      </c>
      <c r="DH50" s="322">
        <v>0</v>
      </c>
      <c r="DI50" s="319">
        <v>0</v>
      </c>
      <c r="DJ50" s="320"/>
      <c r="DK50" s="319">
        <v>0</v>
      </c>
      <c r="DL50" s="320"/>
      <c r="DM50" s="321">
        <v>0</v>
      </c>
      <c r="DN50" s="322">
        <v>0</v>
      </c>
      <c r="DO50" s="319">
        <v>0</v>
      </c>
      <c r="DP50" s="320"/>
      <c r="DQ50" s="319">
        <v>0</v>
      </c>
      <c r="DR50" s="320"/>
      <c r="DS50" s="321">
        <v>0</v>
      </c>
      <c r="DT50" s="322">
        <v>0</v>
      </c>
      <c r="DU50" s="319">
        <v>0</v>
      </c>
      <c r="DV50" s="320"/>
      <c r="DW50" s="319">
        <v>0</v>
      </c>
      <c r="DX50" s="320"/>
      <c r="DY50" s="321">
        <v>0</v>
      </c>
      <c r="DZ50" s="322">
        <v>0</v>
      </c>
      <c r="EA50" s="319">
        <v>0</v>
      </c>
      <c r="EB50" s="320"/>
      <c r="EC50" s="319">
        <v>0</v>
      </c>
      <c r="ED50" s="320"/>
      <c r="EE50" s="321">
        <v>0</v>
      </c>
      <c r="EF50" s="322">
        <v>0</v>
      </c>
      <c r="EG50" s="319">
        <v>0</v>
      </c>
      <c r="EH50" s="320"/>
      <c r="EI50" s="319">
        <v>0</v>
      </c>
      <c r="EJ50" s="320"/>
      <c r="EK50" s="321">
        <v>0</v>
      </c>
      <c r="EL50" s="322">
        <v>0</v>
      </c>
      <c r="EM50" s="319">
        <v>0</v>
      </c>
      <c r="EN50" s="320"/>
      <c r="EO50" s="319">
        <v>0</v>
      </c>
      <c r="EP50" s="320"/>
      <c r="EQ50" s="321">
        <v>0</v>
      </c>
      <c r="ER50" s="322">
        <v>0</v>
      </c>
      <c r="ES50" s="319">
        <v>0</v>
      </c>
      <c r="ET50" s="320"/>
      <c r="EU50" s="319">
        <v>0</v>
      </c>
      <c r="EV50" s="320"/>
      <c r="EW50" s="321">
        <v>0</v>
      </c>
      <c r="EX50" s="322">
        <v>0</v>
      </c>
      <c r="EY50" s="319">
        <v>0</v>
      </c>
      <c r="EZ50" s="320"/>
      <c r="FA50" s="319">
        <v>0</v>
      </c>
      <c r="FB50" s="320"/>
      <c r="FC50" s="321">
        <v>0</v>
      </c>
      <c r="FD50" s="322">
        <v>0</v>
      </c>
      <c r="FE50" s="319">
        <v>0</v>
      </c>
      <c r="FF50" s="320"/>
      <c r="FG50" s="319">
        <v>0</v>
      </c>
      <c r="FH50" s="320"/>
      <c r="FI50" s="321">
        <v>0</v>
      </c>
      <c r="FJ50" s="322">
        <v>0</v>
      </c>
      <c r="FK50" s="319">
        <v>0</v>
      </c>
      <c r="FL50" s="320"/>
      <c r="FM50" s="319">
        <v>0</v>
      </c>
      <c r="FN50" s="320"/>
      <c r="FO50" s="321">
        <v>0</v>
      </c>
      <c r="FP50" s="322">
        <v>0</v>
      </c>
      <c r="FQ50" s="319">
        <v>0</v>
      </c>
      <c r="FR50" s="320"/>
      <c r="FS50" s="319">
        <v>0</v>
      </c>
      <c r="FT50" s="320"/>
      <c r="FU50" s="321">
        <v>0</v>
      </c>
      <c r="FV50" s="322">
        <v>0</v>
      </c>
      <c r="FW50" s="319">
        <v>0</v>
      </c>
      <c r="FX50" s="320"/>
      <c r="FY50" s="319">
        <v>0</v>
      </c>
      <c r="FZ50" s="320"/>
      <c r="GA50" s="321">
        <v>0</v>
      </c>
      <c r="GB50" s="322">
        <v>0</v>
      </c>
      <c r="GC50" s="319">
        <v>0</v>
      </c>
      <c r="GD50" s="320"/>
      <c r="GE50" s="319">
        <v>0</v>
      </c>
      <c r="GF50" s="320"/>
      <c r="GG50" s="321">
        <v>0</v>
      </c>
      <c r="GH50" s="322">
        <v>0</v>
      </c>
      <c r="GI50" s="319">
        <v>0</v>
      </c>
      <c r="GJ50" s="320"/>
      <c r="GK50" s="319">
        <v>0</v>
      </c>
      <c r="GL50" s="320"/>
      <c r="GM50" s="321">
        <v>0</v>
      </c>
      <c r="GN50" s="322">
        <v>0</v>
      </c>
      <c r="GO50" s="319">
        <v>0</v>
      </c>
      <c r="GP50" s="320"/>
      <c r="GQ50" s="319">
        <v>0</v>
      </c>
      <c r="GR50" s="320"/>
      <c r="GS50" s="321">
        <v>0</v>
      </c>
      <c r="GT50" s="322">
        <v>0</v>
      </c>
      <c r="GU50" s="319">
        <v>0</v>
      </c>
      <c r="GV50" s="320"/>
      <c r="GW50" s="319">
        <v>0</v>
      </c>
      <c r="GX50" s="320"/>
      <c r="GY50" s="321">
        <v>0</v>
      </c>
      <c r="GZ50" s="322">
        <v>0</v>
      </c>
    </row>
    <row r="51" spans="1:208" s="89" customFormat="1" ht="22.5" customHeight="1" x14ac:dyDescent="0.2">
      <c r="A51" t="s">
        <v>3213</v>
      </c>
      <c r="B51" s="429" t="s">
        <v>3214</v>
      </c>
      <c r="C51" s="430">
        <v>1</v>
      </c>
      <c r="D51" s="431" t="s">
        <v>3215</v>
      </c>
      <c r="E51" s="431" t="s">
        <v>3216</v>
      </c>
      <c r="F51" s="432" t="s">
        <v>3166</v>
      </c>
      <c r="G51" s="432" t="s">
        <v>3167</v>
      </c>
      <c r="H51" s="270" t="s">
        <v>1481</v>
      </c>
      <c r="I51" s="271" t="s">
        <v>1481</v>
      </c>
      <c r="J51" s="328" t="s">
        <v>3168</v>
      </c>
      <c r="K51" s="329" t="s">
        <v>3169</v>
      </c>
      <c r="L51" s="256">
        <f>CONTINUA!BV51</f>
        <v>0</v>
      </c>
      <c r="M51" s="256">
        <f>CONTINUA!BW51</f>
        <v>0</v>
      </c>
      <c r="N51" s="564"/>
      <c r="O51" s="565" t="s">
        <v>3341</v>
      </c>
      <c r="P51" s="566">
        <v>0</v>
      </c>
      <c r="Q51" s="319">
        <v>45</v>
      </c>
      <c r="R51" s="320"/>
      <c r="S51" s="319">
        <v>0</v>
      </c>
      <c r="T51" s="320"/>
      <c r="U51" s="321">
        <v>0</v>
      </c>
      <c r="V51" s="322">
        <v>0</v>
      </c>
      <c r="W51" s="319">
        <v>45</v>
      </c>
      <c r="X51" s="320"/>
      <c r="Y51" s="319">
        <v>0</v>
      </c>
      <c r="Z51" s="320"/>
      <c r="AA51" s="321">
        <v>0</v>
      </c>
      <c r="AB51" s="322">
        <v>0</v>
      </c>
      <c r="AC51" s="319">
        <v>45</v>
      </c>
      <c r="AD51" s="320"/>
      <c r="AE51" s="319">
        <v>0</v>
      </c>
      <c r="AF51" s="320"/>
      <c r="AG51" s="321">
        <v>0</v>
      </c>
      <c r="AH51" s="322">
        <v>0</v>
      </c>
      <c r="AI51" s="319">
        <v>45</v>
      </c>
      <c r="AJ51" s="320"/>
      <c r="AK51" s="319">
        <v>0</v>
      </c>
      <c r="AL51" s="320"/>
      <c r="AM51" s="321">
        <v>0</v>
      </c>
      <c r="AN51" s="322">
        <v>0</v>
      </c>
      <c r="AO51" s="319">
        <v>45</v>
      </c>
      <c r="AP51" s="320"/>
      <c r="AQ51" s="319">
        <v>0</v>
      </c>
      <c r="AR51" s="320"/>
      <c r="AS51" s="321">
        <v>0</v>
      </c>
      <c r="AT51" s="322">
        <v>0</v>
      </c>
      <c r="AU51" s="319">
        <v>45</v>
      </c>
      <c r="AV51" s="320"/>
      <c r="AW51" s="319">
        <v>0</v>
      </c>
      <c r="AX51" s="320"/>
      <c r="AY51" s="321">
        <v>0</v>
      </c>
      <c r="AZ51" s="322">
        <v>0</v>
      </c>
      <c r="BA51" s="319">
        <v>45</v>
      </c>
      <c r="BB51" s="320"/>
      <c r="BC51" s="319">
        <v>0</v>
      </c>
      <c r="BD51" s="320"/>
      <c r="BE51" s="321">
        <v>0</v>
      </c>
      <c r="BF51" s="322">
        <v>0</v>
      </c>
      <c r="BG51" s="319">
        <v>45</v>
      </c>
      <c r="BH51" s="320"/>
      <c r="BI51" s="319">
        <v>0</v>
      </c>
      <c r="BJ51" s="320"/>
      <c r="BK51" s="321">
        <v>0</v>
      </c>
      <c r="BL51" s="322">
        <v>0</v>
      </c>
      <c r="BM51" s="319">
        <v>45</v>
      </c>
      <c r="BN51" s="320"/>
      <c r="BO51" s="319">
        <v>0</v>
      </c>
      <c r="BP51" s="320"/>
      <c r="BQ51" s="321">
        <v>0</v>
      </c>
      <c r="BR51" s="322">
        <v>0</v>
      </c>
      <c r="BS51" s="319">
        <v>45</v>
      </c>
      <c r="BT51" s="320"/>
      <c r="BU51" s="319">
        <v>0</v>
      </c>
      <c r="BV51" s="320"/>
      <c r="BW51" s="321">
        <v>0</v>
      </c>
      <c r="BX51" s="322">
        <v>0</v>
      </c>
      <c r="BY51" s="319">
        <v>45</v>
      </c>
      <c r="BZ51" s="320"/>
      <c r="CA51" s="319">
        <v>0</v>
      </c>
      <c r="CB51" s="320"/>
      <c r="CC51" s="321">
        <v>0</v>
      </c>
      <c r="CD51" s="322">
        <v>0</v>
      </c>
      <c r="CE51" s="319">
        <v>45</v>
      </c>
      <c r="CF51" s="320"/>
      <c r="CG51" s="319">
        <v>0</v>
      </c>
      <c r="CH51" s="320"/>
      <c r="CI51" s="321">
        <v>0</v>
      </c>
      <c r="CJ51" s="322">
        <v>0</v>
      </c>
      <c r="CK51" s="319">
        <v>45</v>
      </c>
      <c r="CL51" s="320"/>
      <c r="CM51" s="319">
        <v>0</v>
      </c>
      <c r="CN51" s="320"/>
      <c r="CO51" s="321">
        <v>0</v>
      </c>
      <c r="CP51" s="322">
        <v>0</v>
      </c>
      <c r="CQ51" s="319">
        <v>45</v>
      </c>
      <c r="CR51" s="320"/>
      <c r="CS51" s="319">
        <v>0</v>
      </c>
      <c r="CT51" s="320"/>
      <c r="CU51" s="321">
        <v>0</v>
      </c>
      <c r="CV51" s="322">
        <v>0</v>
      </c>
      <c r="CW51" s="319">
        <v>45</v>
      </c>
      <c r="CX51" s="320"/>
      <c r="CY51" s="319">
        <v>0</v>
      </c>
      <c r="CZ51" s="320"/>
      <c r="DA51" s="321">
        <v>0</v>
      </c>
      <c r="DB51" s="322">
        <v>0</v>
      </c>
      <c r="DC51" s="319">
        <v>45</v>
      </c>
      <c r="DD51" s="320"/>
      <c r="DE51" s="319">
        <v>0</v>
      </c>
      <c r="DF51" s="320"/>
      <c r="DG51" s="321">
        <v>0</v>
      </c>
      <c r="DH51" s="322">
        <v>0</v>
      </c>
      <c r="DI51" s="319">
        <v>45</v>
      </c>
      <c r="DJ51" s="320"/>
      <c r="DK51" s="319">
        <v>0</v>
      </c>
      <c r="DL51" s="320"/>
      <c r="DM51" s="321">
        <v>0</v>
      </c>
      <c r="DN51" s="322">
        <v>0</v>
      </c>
      <c r="DO51" s="319">
        <v>45</v>
      </c>
      <c r="DP51" s="320"/>
      <c r="DQ51" s="319">
        <v>0</v>
      </c>
      <c r="DR51" s="320"/>
      <c r="DS51" s="321">
        <v>0</v>
      </c>
      <c r="DT51" s="322">
        <v>0</v>
      </c>
      <c r="DU51" s="319">
        <v>45</v>
      </c>
      <c r="DV51" s="320"/>
      <c r="DW51" s="319">
        <v>0</v>
      </c>
      <c r="DX51" s="320"/>
      <c r="DY51" s="321">
        <v>0</v>
      </c>
      <c r="DZ51" s="322">
        <v>0</v>
      </c>
      <c r="EA51" s="319">
        <v>45</v>
      </c>
      <c r="EB51" s="320"/>
      <c r="EC51" s="319">
        <v>0</v>
      </c>
      <c r="ED51" s="320"/>
      <c r="EE51" s="321">
        <v>0</v>
      </c>
      <c r="EF51" s="322">
        <v>0</v>
      </c>
      <c r="EG51" s="319">
        <v>45</v>
      </c>
      <c r="EH51" s="320"/>
      <c r="EI51" s="319">
        <v>0</v>
      </c>
      <c r="EJ51" s="320"/>
      <c r="EK51" s="321">
        <v>0</v>
      </c>
      <c r="EL51" s="322">
        <v>0</v>
      </c>
      <c r="EM51" s="319">
        <v>45</v>
      </c>
      <c r="EN51" s="320"/>
      <c r="EO51" s="319">
        <v>0</v>
      </c>
      <c r="EP51" s="320"/>
      <c r="EQ51" s="321">
        <v>0</v>
      </c>
      <c r="ER51" s="322">
        <v>0</v>
      </c>
      <c r="ES51" s="319">
        <v>45</v>
      </c>
      <c r="ET51" s="320"/>
      <c r="EU51" s="319">
        <v>0</v>
      </c>
      <c r="EV51" s="320"/>
      <c r="EW51" s="321">
        <v>0</v>
      </c>
      <c r="EX51" s="322">
        <v>0</v>
      </c>
      <c r="EY51" s="319">
        <v>45</v>
      </c>
      <c r="EZ51" s="320"/>
      <c r="FA51" s="319">
        <v>0</v>
      </c>
      <c r="FB51" s="320"/>
      <c r="FC51" s="321">
        <v>0</v>
      </c>
      <c r="FD51" s="322">
        <v>0</v>
      </c>
      <c r="FE51" s="319">
        <v>45</v>
      </c>
      <c r="FF51" s="320"/>
      <c r="FG51" s="319">
        <v>0</v>
      </c>
      <c r="FH51" s="320"/>
      <c r="FI51" s="321">
        <v>0</v>
      </c>
      <c r="FJ51" s="322">
        <v>0</v>
      </c>
      <c r="FK51" s="319">
        <v>45</v>
      </c>
      <c r="FL51" s="320"/>
      <c r="FM51" s="319">
        <v>0</v>
      </c>
      <c r="FN51" s="320"/>
      <c r="FO51" s="321">
        <v>0</v>
      </c>
      <c r="FP51" s="322">
        <v>0</v>
      </c>
      <c r="FQ51" s="319">
        <v>45</v>
      </c>
      <c r="FR51" s="320"/>
      <c r="FS51" s="319">
        <v>0</v>
      </c>
      <c r="FT51" s="320"/>
      <c r="FU51" s="321">
        <v>0</v>
      </c>
      <c r="FV51" s="322">
        <v>0</v>
      </c>
      <c r="FW51" s="319">
        <v>45</v>
      </c>
      <c r="FX51" s="320"/>
      <c r="FY51" s="319">
        <v>0</v>
      </c>
      <c r="FZ51" s="320"/>
      <c r="GA51" s="321">
        <v>0</v>
      </c>
      <c r="GB51" s="322">
        <v>0</v>
      </c>
      <c r="GC51" s="319">
        <v>45</v>
      </c>
      <c r="GD51" s="320"/>
      <c r="GE51" s="319">
        <v>0</v>
      </c>
      <c r="GF51" s="320"/>
      <c r="GG51" s="321">
        <v>0</v>
      </c>
      <c r="GH51" s="322">
        <v>0</v>
      </c>
      <c r="GI51" s="319">
        <v>45</v>
      </c>
      <c r="GJ51" s="320"/>
      <c r="GK51" s="319">
        <v>0</v>
      </c>
      <c r="GL51" s="320"/>
      <c r="GM51" s="321">
        <v>0</v>
      </c>
      <c r="GN51" s="322">
        <v>0</v>
      </c>
      <c r="GO51" s="319">
        <v>45</v>
      </c>
      <c r="GP51" s="320"/>
      <c r="GQ51" s="319">
        <v>0</v>
      </c>
      <c r="GR51" s="320"/>
      <c r="GS51" s="321">
        <v>0</v>
      </c>
      <c r="GT51" s="322">
        <v>0</v>
      </c>
      <c r="GU51" s="319">
        <v>45</v>
      </c>
      <c r="GV51" s="320"/>
      <c r="GW51" s="319">
        <v>0</v>
      </c>
      <c r="GX51" s="320"/>
      <c r="GY51" s="321">
        <v>0</v>
      </c>
      <c r="GZ51" s="322">
        <v>0</v>
      </c>
    </row>
    <row r="52" spans="1:208" s="89" customFormat="1" ht="22.5" customHeight="1" x14ac:dyDescent="0.2">
      <c r="A52" s="287" t="s">
        <v>3213</v>
      </c>
      <c r="B52" s="288" t="s">
        <v>3214</v>
      </c>
      <c r="C52" s="289" t="s">
        <v>3170</v>
      </c>
      <c r="D52" s="290" t="s">
        <v>3215</v>
      </c>
      <c r="E52" s="290" t="s">
        <v>3216</v>
      </c>
      <c r="F52" s="291" t="s">
        <v>3166</v>
      </c>
      <c r="G52" s="291" t="s">
        <v>3167</v>
      </c>
      <c r="H52" s="292" t="s">
        <v>1481</v>
      </c>
      <c r="I52" s="293" t="s">
        <v>1481</v>
      </c>
      <c r="J52" s="340" t="s">
        <v>3168</v>
      </c>
      <c r="K52" s="340" t="s">
        <v>3171</v>
      </c>
      <c r="L52" s="256">
        <f>CONTINUA!BV52</f>
        <v>0</v>
      </c>
      <c r="M52" s="256">
        <f>CONTINUA!BW52</f>
        <v>0</v>
      </c>
      <c r="N52" s="564"/>
      <c r="O52" s="565" t="s">
        <v>3341</v>
      </c>
      <c r="P52" s="566">
        <v>0</v>
      </c>
      <c r="Q52" s="319">
        <v>0</v>
      </c>
      <c r="R52" s="320"/>
      <c r="S52" s="319">
        <v>0</v>
      </c>
      <c r="T52" s="320"/>
      <c r="U52" s="319">
        <v>0</v>
      </c>
      <c r="V52" s="320">
        <v>0</v>
      </c>
      <c r="W52" s="319">
        <v>0</v>
      </c>
      <c r="X52" s="320"/>
      <c r="Y52" s="319">
        <v>0</v>
      </c>
      <c r="Z52" s="320"/>
      <c r="AA52" s="319">
        <v>0</v>
      </c>
      <c r="AB52" s="320">
        <v>0</v>
      </c>
      <c r="AC52" s="319">
        <v>0</v>
      </c>
      <c r="AD52" s="320"/>
      <c r="AE52" s="319">
        <v>0</v>
      </c>
      <c r="AF52" s="320"/>
      <c r="AG52" s="319">
        <v>0</v>
      </c>
      <c r="AH52" s="320">
        <v>0</v>
      </c>
      <c r="AI52" s="319">
        <v>0</v>
      </c>
      <c r="AJ52" s="320"/>
      <c r="AK52" s="319">
        <v>0</v>
      </c>
      <c r="AL52" s="320"/>
      <c r="AM52" s="319">
        <v>0</v>
      </c>
      <c r="AN52" s="320">
        <v>0</v>
      </c>
      <c r="AO52" s="319">
        <v>0</v>
      </c>
      <c r="AP52" s="320"/>
      <c r="AQ52" s="319">
        <v>0</v>
      </c>
      <c r="AR52" s="320"/>
      <c r="AS52" s="319">
        <v>0</v>
      </c>
      <c r="AT52" s="320">
        <v>0</v>
      </c>
      <c r="AU52" s="319">
        <v>0</v>
      </c>
      <c r="AV52" s="320"/>
      <c r="AW52" s="319">
        <v>0</v>
      </c>
      <c r="AX52" s="320"/>
      <c r="AY52" s="319">
        <v>0</v>
      </c>
      <c r="AZ52" s="320">
        <v>0</v>
      </c>
      <c r="BA52" s="319">
        <v>0</v>
      </c>
      <c r="BB52" s="320"/>
      <c r="BC52" s="319">
        <v>0</v>
      </c>
      <c r="BD52" s="320"/>
      <c r="BE52" s="319">
        <v>0</v>
      </c>
      <c r="BF52" s="320">
        <v>0</v>
      </c>
      <c r="BG52" s="319">
        <v>0</v>
      </c>
      <c r="BH52" s="320"/>
      <c r="BI52" s="319">
        <v>0</v>
      </c>
      <c r="BJ52" s="320"/>
      <c r="BK52" s="319">
        <v>0</v>
      </c>
      <c r="BL52" s="320">
        <v>0</v>
      </c>
      <c r="BM52" s="319">
        <v>0</v>
      </c>
      <c r="BN52" s="320"/>
      <c r="BO52" s="319">
        <v>0</v>
      </c>
      <c r="BP52" s="320"/>
      <c r="BQ52" s="319">
        <v>0</v>
      </c>
      <c r="BR52" s="320">
        <v>0</v>
      </c>
      <c r="BS52" s="319">
        <v>0</v>
      </c>
      <c r="BT52" s="320"/>
      <c r="BU52" s="319">
        <v>0</v>
      </c>
      <c r="BV52" s="320"/>
      <c r="BW52" s="319">
        <v>0</v>
      </c>
      <c r="BX52" s="320">
        <v>0</v>
      </c>
      <c r="BY52" s="319">
        <v>0</v>
      </c>
      <c r="BZ52" s="320"/>
      <c r="CA52" s="319">
        <v>0</v>
      </c>
      <c r="CB52" s="320"/>
      <c r="CC52" s="319">
        <v>0</v>
      </c>
      <c r="CD52" s="320">
        <v>0</v>
      </c>
      <c r="CE52" s="319">
        <v>0</v>
      </c>
      <c r="CF52" s="320"/>
      <c r="CG52" s="319">
        <v>0</v>
      </c>
      <c r="CH52" s="320"/>
      <c r="CI52" s="319">
        <v>0</v>
      </c>
      <c r="CJ52" s="320">
        <v>0</v>
      </c>
      <c r="CK52" s="319">
        <v>0</v>
      </c>
      <c r="CL52" s="320"/>
      <c r="CM52" s="319">
        <v>0</v>
      </c>
      <c r="CN52" s="320"/>
      <c r="CO52" s="319">
        <v>0</v>
      </c>
      <c r="CP52" s="320">
        <v>0</v>
      </c>
      <c r="CQ52" s="319">
        <v>0</v>
      </c>
      <c r="CR52" s="320"/>
      <c r="CS52" s="319">
        <v>0</v>
      </c>
      <c r="CT52" s="320"/>
      <c r="CU52" s="319">
        <v>0</v>
      </c>
      <c r="CV52" s="320">
        <v>0</v>
      </c>
      <c r="CW52" s="319">
        <v>0</v>
      </c>
      <c r="CX52" s="320"/>
      <c r="CY52" s="319">
        <v>0</v>
      </c>
      <c r="CZ52" s="320"/>
      <c r="DA52" s="319">
        <v>0</v>
      </c>
      <c r="DB52" s="320">
        <v>0</v>
      </c>
      <c r="DC52" s="319">
        <v>0</v>
      </c>
      <c r="DD52" s="320"/>
      <c r="DE52" s="319">
        <v>0</v>
      </c>
      <c r="DF52" s="320"/>
      <c r="DG52" s="319">
        <v>0</v>
      </c>
      <c r="DH52" s="320">
        <v>0</v>
      </c>
      <c r="DI52" s="319">
        <v>0</v>
      </c>
      <c r="DJ52" s="320"/>
      <c r="DK52" s="319">
        <v>0</v>
      </c>
      <c r="DL52" s="320"/>
      <c r="DM52" s="319">
        <v>0</v>
      </c>
      <c r="DN52" s="320">
        <v>0</v>
      </c>
      <c r="DO52" s="319">
        <v>0</v>
      </c>
      <c r="DP52" s="320"/>
      <c r="DQ52" s="319">
        <v>0</v>
      </c>
      <c r="DR52" s="320"/>
      <c r="DS52" s="319">
        <v>0</v>
      </c>
      <c r="DT52" s="320">
        <v>0</v>
      </c>
      <c r="DU52" s="319">
        <v>0</v>
      </c>
      <c r="DV52" s="320"/>
      <c r="DW52" s="319">
        <v>0</v>
      </c>
      <c r="DX52" s="320"/>
      <c r="DY52" s="319">
        <v>0</v>
      </c>
      <c r="DZ52" s="320">
        <v>0</v>
      </c>
      <c r="EA52" s="319">
        <v>0</v>
      </c>
      <c r="EB52" s="320"/>
      <c r="EC52" s="319">
        <v>0</v>
      </c>
      <c r="ED52" s="320"/>
      <c r="EE52" s="319">
        <v>0</v>
      </c>
      <c r="EF52" s="320">
        <v>0</v>
      </c>
      <c r="EG52" s="319">
        <v>0</v>
      </c>
      <c r="EH52" s="320"/>
      <c r="EI52" s="319">
        <v>0</v>
      </c>
      <c r="EJ52" s="320"/>
      <c r="EK52" s="319">
        <v>0</v>
      </c>
      <c r="EL52" s="320">
        <v>0</v>
      </c>
      <c r="EM52" s="319">
        <v>0</v>
      </c>
      <c r="EN52" s="320"/>
      <c r="EO52" s="319">
        <v>0</v>
      </c>
      <c r="EP52" s="320"/>
      <c r="EQ52" s="319">
        <v>0</v>
      </c>
      <c r="ER52" s="320">
        <v>0</v>
      </c>
      <c r="ES52" s="319">
        <v>0</v>
      </c>
      <c r="ET52" s="320"/>
      <c r="EU52" s="319">
        <v>0</v>
      </c>
      <c r="EV52" s="320"/>
      <c r="EW52" s="319">
        <v>0</v>
      </c>
      <c r="EX52" s="320">
        <v>0</v>
      </c>
      <c r="EY52" s="319">
        <v>0</v>
      </c>
      <c r="EZ52" s="320"/>
      <c r="FA52" s="319">
        <v>0</v>
      </c>
      <c r="FB52" s="320"/>
      <c r="FC52" s="319">
        <v>0</v>
      </c>
      <c r="FD52" s="320">
        <v>0</v>
      </c>
      <c r="FE52" s="319">
        <v>0</v>
      </c>
      <c r="FF52" s="320"/>
      <c r="FG52" s="319">
        <v>0</v>
      </c>
      <c r="FH52" s="320"/>
      <c r="FI52" s="319">
        <v>0</v>
      </c>
      <c r="FJ52" s="320">
        <v>0</v>
      </c>
      <c r="FK52" s="319">
        <v>0</v>
      </c>
      <c r="FL52" s="320"/>
      <c r="FM52" s="319">
        <v>0</v>
      </c>
      <c r="FN52" s="320"/>
      <c r="FO52" s="319">
        <v>0</v>
      </c>
      <c r="FP52" s="320">
        <v>0</v>
      </c>
      <c r="FQ52" s="319">
        <v>0</v>
      </c>
      <c r="FR52" s="320"/>
      <c r="FS52" s="319">
        <v>0</v>
      </c>
      <c r="FT52" s="320"/>
      <c r="FU52" s="319">
        <v>0</v>
      </c>
      <c r="FV52" s="320">
        <v>0</v>
      </c>
      <c r="FW52" s="319">
        <v>0</v>
      </c>
      <c r="FX52" s="320"/>
      <c r="FY52" s="319">
        <v>0</v>
      </c>
      <c r="FZ52" s="320"/>
      <c r="GA52" s="319">
        <v>0</v>
      </c>
      <c r="GB52" s="320">
        <v>0</v>
      </c>
      <c r="GC52" s="319">
        <v>0</v>
      </c>
      <c r="GD52" s="320"/>
      <c r="GE52" s="319">
        <v>0</v>
      </c>
      <c r="GF52" s="320"/>
      <c r="GG52" s="319">
        <v>0</v>
      </c>
      <c r="GH52" s="320">
        <v>0</v>
      </c>
      <c r="GI52" s="319">
        <v>0</v>
      </c>
      <c r="GJ52" s="320"/>
      <c r="GK52" s="319">
        <v>0</v>
      </c>
      <c r="GL52" s="320"/>
      <c r="GM52" s="319">
        <v>0</v>
      </c>
      <c r="GN52" s="320">
        <v>0</v>
      </c>
      <c r="GO52" s="319">
        <v>0</v>
      </c>
      <c r="GP52" s="320"/>
      <c r="GQ52" s="319">
        <v>0</v>
      </c>
      <c r="GR52" s="320"/>
      <c r="GS52" s="319">
        <v>0</v>
      </c>
      <c r="GT52" s="320">
        <v>0</v>
      </c>
      <c r="GU52" s="319">
        <v>0</v>
      </c>
      <c r="GV52" s="320"/>
      <c r="GW52" s="319">
        <v>0</v>
      </c>
      <c r="GX52" s="320"/>
      <c r="GY52" s="319">
        <v>0</v>
      </c>
      <c r="GZ52" s="320">
        <v>0</v>
      </c>
    </row>
    <row r="53" spans="1:208" s="89" customFormat="1" ht="22.5" customHeight="1" x14ac:dyDescent="0.2">
      <c r="A53" s="287" t="s">
        <v>3213</v>
      </c>
      <c r="B53" s="288" t="s">
        <v>3214</v>
      </c>
      <c r="C53" s="294" t="s">
        <v>3170</v>
      </c>
      <c r="D53" s="290" t="s">
        <v>3215</v>
      </c>
      <c r="E53" s="290" t="s">
        <v>3216</v>
      </c>
      <c r="F53" s="295" t="s">
        <v>3166</v>
      </c>
      <c r="G53" s="295" t="s">
        <v>3167</v>
      </c>
      <c r="H53" s="292" t="s">
        <v>1481</v>
      </c>
      <c r="I53" s="293" t="s">
        <v>1481</v>
      </c>
      <c r="J53" s="340" t="s">
        <v>3168</v>
      </c>
      <c r="K53" s="341" t="s">
        <v>3172</v>
      </c>
      <c r="L53" s="256">
        <f>CONTINUA!BV53</f>
        <v>0</v>
      </c>
      <c r="M53" s="256">
        <f>CONTINUA!BW53</f>
        <v>0</v>
      </c>
      <c r="N53" s="564"/>
      <c r="O53" s="565" t="s">
        <v>3341</v>
      </c>
      <c r="P53" s="566">
        <v>0</v>
      </c>
      <c r="Q53" s="319">
        <v>0</v>
      </c>
      <c r="R53" s="320"/>
      <c r="S53" s="319">
        <v>0</v>
      </c>
      <c r="T53" s="320"/>
      <c r="U53" s="319">
        <v>0</v>
      </c>
      <c r="V53" s="320">
        <v>0</v>
      </c>
      <c r="W53" s="319">
        <v>0</v>
      </c>
      <c r="X53" s="320"/>
      <c r="Y53" s="319">
        <v>0</v>
      </c>
      <c r="Z53" s="320"/>
      <c r="AA53" s="319">
        <v>0</v>
      </c>
      <c r="AB53" s="320">
        <v>0</v>
      </c>
      <c r="AC53" s="319">
        <v>0</v>
      </c>
      <c r="AD53" s="320"/>
      <c r="AE53" s="319">
        <v>0</v>
      </c>
      <c r="AF53" s="320"/>
      <c r="AG53" s="319">
        <v>0</v>
      </c>
      <c r="AH53" s="320">
        <v>0</v>
      </c>
      <c r="AI53" s="319">
        <v>0</v>
      </c>
      <c r="AJ53" s="320"/>
      <c r="AK53" s="319">
        <v>0</v>
      </c>
      <c r="AL53" s="320"/>
      <c r="AM53" s="319">
        <v>0</v>
      </c>
      <c r="AN53" s="320">
        <v>0</v>
      </c>
      <c r="AO53" s="319">
        <v>0</v>
      </c>
      <c r="AP53" s="320"/>
      <c r="AQ53" s="319">
        <v>0</v>
      </c>
      <c r="AR53" s="320"/>
      <c r="AS53" s="319">
        <v>0</v>
      </c>
      <c r="AT53" s="320">
        <v>0</v>
      </c>
      <c r="AU53" s="319">
        <v>0</v>
      </c>
      <c r="AV53" s="320"/>
      <c r="AW53" s="319">
        <v>0</v>
      </c>
      <c r="AX53" s="320"/>
      <c r="AY53" s="319">
        <v>0</v>
      </c>
      <c r="AZ53" s="320">
        <v>0</v>
      </c>
      <c r="BA53" s="319">
        <v>0</v>
      </c>
      <c r="BB53" s="320"/>
      <c r="BC53" s="319">
        <v>0</v>
      </c>
      <c r="BD53" s="320"/>
      <c r="BE53" s="319">
        <v>0</v>
      </c>
      <c r="BF53" s="320">
        <v>0</v>
      </c>
      <c r="BG53" s="319">
        <v>0</v>
      </c>
      <c r="BH53" s="320"/>
      <c r="BI53" s="319">
        <v>0</v>
      </c>
      <c r="BJ53" s="320"/>
      <c r="BK53" s="319">
        <v>0</v>
      </c>
      <c r="BL53" s="320">
        <v>0</v>
      </c>
      <c r="BM53" s="319">
        <v>0</v>
      </c>
      <c r="BN53" s="320"/>
      <c r="BO53" s="319">
        <v>0</v>
      </c>
      <c r="BP53" s="320"/>
      <c r="BQ53" s="319">
        <v>0</v>
      </c>
      <c r="BR53" s="320">
        <v>0</v>
      </c>
      <c r="BS53" s="319">
        <v>0</v>
      </c>
      <c r="BT53" s="320"/>
      <c r="BU53" s="319">
        <v>0</v>
      </c>
      <c r="BV53" s="320"/>
      <c r="BW53" s="319">
        <v>0</v>
      </c>
      <c r="BX53" s="320">
        <v>0</v>
      </c>
      <c r="BY53" s="319">
        <v>0</v>
      </c>
      <c r="BZ53" s="320"/>
      <c r="CA53" s="319">
        <v>0</v>
      </c>
      <c r="CB53" s="320"/>
      <c r="CC53" s="319">
        <v>0</v>
      </c>
      <c r="CD53" s="320">
        <v>0</v>
      </c>
      <c r="CE53" s="319">
        <v>0</v>
      </c>
      <c r="CF53" s="320"/>
      <c r="CG53" s="319">
        <v>0</v>
      </c>
      <c r="CH53" s="320"/>
      <c r="CI53" s="319">
        <v>0</v>
      </c>
      <c r="CJ53" s="320">
        <v>0</v>
      </c>
      <c r="CK53" s="319">
        <v>0</v>
      </c>
      <c r="CL53" s="320"/>
      <c r="CM53" s="319">
        <v>0</v>
      </c>
      <c r="CN53" s="320"/>
      <c r="CO53" s="319">
        <v>0</v>
      </c>
      <c r="CP53" s="320">
        <v>0</v>
      </c>
      <c r="CQ53" s="319">
        <v>0</v>
      </c>
      <c r="CR53" s="320"/>
      <c r="CS53" s="319">
        <v>0</v>
      </c>
      <c r="CT53" s="320"/>
      <c r="CU53" s="319">
        <v>0</v>
      </c>
      <c r="CV53" s="320">
        <v>0</v>
      </c>
      <c r="CW53" s="319">
        <v>0</v>
      </c>
      <c r="CX53" s="320"/>
      <c r="CY53" s="319">
        <v>0</v>
      </c>
      <c r="CZ53" s="320"/>
      <c r="DA53" s="319">
        <v>0</v>
      </c>
      <c r="DB53" s="320">
        <v>0</v>
      </c>
      <c r="DC53" s="319">
        <v>0</v>
      </c>
      <c r="DD53" s="320"/>
      <c r="DE53" s="319">
        <v>0</v>
      </c>
      <c r="DF53" s="320"/>
      <c r="DG53" s="319">
        <v>0</v>
      </c>
      <c r="DH53" s="320">
        <v>0</v>
      </c>
      <c r="DI53" s="319">
        <v>0</v>
      </c>
      <c r="DJ53" s="320"/>
      <c r="DK53" s="319">
        <v>0</v>
      </c>
      <c r="DL53" s="320"/>
      <c r="DM53" s="319">
        <v>0</v>
      </c>
      <c r="DN53" s="320">
        <v>0</v>
      </c>
      <c r="DO53" s="319">
        <v>0</v>
      </c>
      <c r="DP53" s="320"/>
      <c r="DQ53" s="319">
        <v>0</v>
      </c>
      <c r="DR53" s="320"/>
      <c r="DS53" s="319">
        <v>0</v>
      </c>
      <c r="DT53" s="320">
        <v>0</v>
      </c>
      <c r="DU53" s="319">
        <v>0</v>
      </c>
      <c r="DV53" s="320"/>
      <c r="DW53" s="319">
        <v>0</v>
      </c>
      <c r="DX53" s="320"/>
      <c r="DY53" s="319">
        <v>0</v>
      </c>
      <c r="DZ53" s="320">
        <v>0</v>
      </c>
      <c r="EA53" s="319">
        <v>0</v>
      </c>
      <c r="EB53" s="320"/>
      <c r="EC53" s="319">
        <v>0</v>
      </c>
      <c r="ED53" s="320"/>
      <c r="EE53" s="319">
        <v>0</v>
      </c>
      <c r="EF53" s="320">
        <v>0</v>
      </c>
      <c r="EG53" s="319">
        <v>0</v>
      </c>
      <c r="EH53" s="320"/>
      <c r="EI53" s="319">
        <v>0</v>
      </c>
      <c r="EJ53" s="320"/>
      <c r="EK53" s="319">
        <v>0</v>
      </c>
      <c r="EL53" s="320">
        <v>0</v>
      </c>
      <c r="EM53" s="319">
        <v>0</v>
      </c>
      <c r="EN53" s="320"/>
      <c r="EO53" s="319">
        <v>0</v>
      </c>
      <c r="EP53" s="320"/>
      <c r="EQ53" s="319">
        <v>0</v>
      </c>
      <c r="ER53" s="320">
        <v>0</v>
      </c>
      <c r="ES53" s="319">
        <v>0</v>
      </c>
      <c r="ET53" s="320"/>
      <c r="EU53" s="319">
        <v>0</v>
      </c>
      <c r="EV53" s="320"/>
      <c r="EW53" s="319">
        <v>0</v>
      </c>
      <c r="EX53" s="320">
        <v>0</v>
      </c>
      <c r="EY53" s="319">
        <v>0</v>
      </c>
      <c r="EZ53" s="320"/>
      <c r="FA53" s="319">
        <v>0</v>
      </c>
      <c r="FB53" s="320"/>
      <c r="FC53" s="319">
        <v>0</v>
      </c>
      <c r="FD53" s="320">
        <v>0</v>
      </c>
      <c r="FE53" s="319">
        <v>0</v>
      </c>
      <c r="FF53" s="320"/>
      <c r="FG53" s="319">
        <v>0</v>
      </c>
      <c r="FH53" s="320"/>
      <c r="FI53" s="319">
        <v>0</v>
      </c>
      <c r="FJ53" s="320">
        <v>0</v>
      </c>
      <c r="FK53" s="319">
        <v>0</v>
      </c>
      <c r="FL53" s="320"/>
      <c r="FM53" s="319">
        <v>0</v>
      </c>
      <c r="FN53" s="320"/>
      <c r="FO53" s="319">
        <v>0</v>
      </c>
      <c r="FP53" s="320">
        <v>0</v>
      </c>
      <c r="FQ53" s="319">
        <v>0</v>
      </c>
      <c r="FR53" s="320"/>
      <c r="FS53" s="319">
        <v>0</v>
      </c>
      <c r="FT53" s="320"/>
      <c r="FU53" s="319">
        <v>0</v>
      </c>
      <c r="FV53" s="320">
        <v>0</v>
      </c>
      <c r="FW53" s="319">
        <v>0</v>
      </c>
      <c r="FX53" s="320"/>
      <c r="FY53" s="319">
        <v>0</v>
      </c>
      <c r="FZ53" s="320"/>
      <c r="GA53" s="319">
        <v>0</v>
      </c>
      <c r="GB53" s="320">
        <v>0</v>
      </c>
      <c r="GC53" s="319">
        <v>0</v>
      </c>
      <c r="GD53" s="320"/>
      <c r="GE53" s="319">
        <v>0</v>
      </c>
      <c r="GF53" s="320"/>
      <c r="GG53" s="319">
        <v>0</v>
      </c>
      <c r="GH53" s="320">
        <v>0</v>
      </c>
      <c r="GI53" s="319">
        <v>0</v>
      </c>
      <c r="GJ53" s="320"/>
      <c r="GK53" s="319">
        <v>0</v>
      </c>
      <c r="GL53" s="320"/>
      <c r="GM53" s="319">
        <v>0</v>
      </c>
      <c r="GN53" s="320">
        <v>0</v>
      </c>
      <c r="GO53" s="319">
        <v>0</v>
      </c>
      <c r="GP53" s="320"/>
      <c r="GQ53" s="319">
        <v>0</v>
      </c>
      <c r="GR53" s="320"/>
      <c r="GS53" s="319">
        <v>0</v>
      </c>
      <c r="GT53" s="320">
        <v>0</v>
      </c>
      <c r="GU53" s="319">
        <v>0</v>
      </c>
      <c r="GV53" s="320"/>
      <c r="GW53" s="319">
        <v>0</v>
      </c>
      <c r="GX53" s="320"/>
      <c r="GY53" s="319">
        <v>0</v>
      </c>
      <c r="GZ53" s="320">
        <v>0</v>
      </c>
    </row>
    <row r="54" spans="1:208" s="89" customFormat="1" ht="22.5" customHeight="1" x14ac:dyDescent="0.2">
      <c r="A54" s="287" t="s">
        <v>3213</v>
      </c>
      <c r="B54" s="288" t="s">
        <v>3214</v>
      </c>
      <c r="C54" s="294" t="s">
        <v>3170</v>
      </c>
      <c r="D54" s="290" t="s">
        <v>3215</v>
      </c>
      <c r="E54" s="290" t="s">
        <v>3216</v>
      </c>
      <c r="F54" s="295" t="s">
        <v>3166</v>
      </c>
      <c r="G54" s="295" t="s">
        <v>3167</v>
      </c>
      <c r="H54" s="292" t="s">
        <v>1481</v>
      </c>
      <c r="I54" s="293" t="s">
        <v>1481</v>
      </c>
      <c r="J54" s="340" t="s">
        <v>3168</v>
      </c>
      <c r="K54" s="342" t="s">
        <v>3173</v>
      </c>
      <c r="L54" s="256">
        <f>CONTINUA!BV54</f>
        <v>0</v>
      </c>
      <c r="M54" s="256">
        <f>CONTINUA!BW54</f>
        <v>0</v>
      </c>
      <c r="N54" s="564"/>
      <c r="O54" s="565" t="s">
        <v>3341</v>
      </c>
      <c r="P54" s="566">
        <v>0</v>
      </c>
      <c r="Q54" s="319">
        <v>0</v>
      </c>
      <c r="R54" s="320"/>
      <c r="S54" s="319">
        <v>0</v>
      </c>
      <c r="T54" s="320"/>
      <c r="U54" s="319">
        <v>0</v>
      </c>
      <c r="V54" s="320">
        <v>0</v>
      </c>
      <c r="W54" s="319">
        <v>0</v>
      </c>
      <c r="X54" s="320"/>
      <c r="Y54" s="319">
        <v>0</v>
      </c>
      <c r="Z54" s="320"/>
      <c r="AA54" s="319">
        <v>0</v>
      </c>
      <c r="AB54" s="320">
        <v>0</v>
      </c>
      <c r="AC54" s="319">
        <v>0</v>
      </c>
      <c r="AD54" s="320"/>
      <c r="AE54" s="319">
        <v>0</v>
      </c>
      <c r="AF54" s="320"/>
      <c r="AG54" s="319">
        <v>0</v>
      </c>
      <c r="AH54" s="320">
        <v>0</v>
      </c>
      <c r="AI54" s="319">
        <v>0</v>
      </c>
      <c r="AJ54" s="320"/>
      <c r="AK54" s="319">
        <v>0</v>
      </c>
      <c r="AL54" s="320"/>
      <c r="AM54" s="319">
        <v>0</v>
      </c>
      <c r="AN54" s="320">
        <v>0</v>
      </c>
      <c r="AO54" s="319">
        <v>0</v>
      </c>
      <c r="AP54" s="320"/>
      <c r="AQ54" s="319">
        <v>0</v>
      </c>
      <c r="AR54" s="320"/>
      <c r="AS54" s="319">
        <v>0</v>
      </c>
      <c r="AT54" s="320">
        <v>0</v>
      </c>
      <c r="AU54" s="319">
        <v>0</v>
      </c>
      <c r="AV54" s="320"/>
      <c r="AW54" s="319">
        <v>0</v>
      </c>
      <c r="AX54" s="320"/>
      <c r="AY54" s="319">
        <v>0</v>
      </c>
      <c r="AZ54" s="320">
        <v>0</v>
      </c>
      <c r="BA54" s="319">
        <v>0</v>
      </c>
      <c r="BB54" s="320"/>
      <c r="BC54" s="319">
        <v>0</v>
      </c>
      <c r="BD54" s="320"/>
      <c r="BE54" s="319">
        <v>0</v>
      </c>
      <c r="BF54" s="320">
        <v>0</v>
      </c>
      <c r="BG54" s="319">
        <v>0</v>
      </c>
      <c r="BH54" s="320"/>
      <c r="BI54" s="319">
        <v>0</v>
      </c>
      <c r="BJ54" s="320"/>
      <c r="BK54" s="319">
        <v>0</v>
      </c>
      <c r="BL54" s="320">
        <v>0</v>
      </c>
      <c r="BM54" s="319">
        <v>0</v>
      </c>
      <c r="BN54" s="320"/>
      <c r="BO54" s="319">
        <v>0</v>
      </c>
      <c r="BP54" s="320"/>
      <c r="BQ54" s="319">
        <v>0</v>
      </c>
      <c r="BR54" s="320">
        <v>0</v>
      </c>
      <c r="BS54" s="319">
        <v>0</v>
      </c>
      <c r="BT54" s="320"/>
      <c r="BU54" s="319">
        <v>0</v>
      </c>
      <c r="BV54" s="320"/>
      <c r="BW54" s="319">
        <v>0</v>
      </c>
      <c r="BX54" s="320">
        <v>0</v>
      </c>
      <c r="BY54" s="319">
        <v>0</v>
      </c>
      <c r="BZ54" s="320"/>
      <c r="CA54" s="319">
        <v>0</v>
      </c>
      <c r="CB54" s="320"/>
      <c r="CC54" s="319">
        <v>0</v>
      </c>
      <c r="CD54" s="320">
        <v>0</v>
      </c>
      <c r="CE54" s="319">
        <v>0</v>
      </c>
      <c r="CF54" s="320"/>
      <c r="CG54" s="319">
        <v>0</v>
      </c>
      <c r="CH54" s="320"/>
      <c r="CI54" s="319">
        <v>0</v>
      </c>
      <c r="CJ54" s="320">
        <v>0</v>
      </c>
      <c r="CK54" s="319">
        <v>0</v>
      </c>
      <c r="CL54" s="320"/>
      <c r="CM54" s="319">
        <v>0</v>
      </c>
      <c r="CN54" s="320"/>
      <c r="CO54" s="319">
        <v>0</v>
      </c>
      <c r="CP54" s="320">
        <v>0</v>
      </c>
      <c r="CQ54" s="319">
        <v>0</v>
      </c>
      <c r="CR54" s="320"/>
      <c r="CS54" s="319">
        <v>0</v>
      </c>
      <c r="CT54" s="320"/>
      <c r="CU54" s="319">
        <v>0</v>
      </c>
      <c r="CV54" s="320">
        <v>0</v>
      </c>
      <c r="CW54" s="319">
        <v>0</v>
      </c>
      <c r="CX54" s="320"/>
      <c r="CY54" s="319">
        <v>0</v>
      </c>
      <c r="CZ54" s="320"/>
      <c r="DA54" s="319">
        <v>0</v>
      </c>
      <c r="DB54" s="320">
        <v>0</v>
      </c>
      <c r="DC54" s="319">
        <v>0</v>
      </c>
      <c r="DD54" s="320"/>
      <c r="DE54" s="319">
        <v>0</v>
      </c>
      <c r="DF54" s="320"/>
      <c r="DG54" s="319">
        <v>0</v>
      </c>
      <c r="DH54" s="320">
        <v>0</v>
      </c>
      <c r="DI54" s="319">
        <v>0</v>
      </c>
      <c r="DJ54" s="320"/>
      <c r="DK54" s="319">
        <v>0</v>
      </c>
      <c r="DL54" s="320"/>
      <c r="DM54" s="319">
        <v>0</v>
      </c>
      <c r="DN54" s="320">
        <v>0</v>
      </c>
      <c r="DO54" s="319">
        <v>0</v>
      </c>
      <c r="DP54" s="320"/>
      <c r="DQ54" s="319">
        <v>0</v>
      </c>
      <c r="DR54" s="320"/>
      <c r="DS54" s="319">
        <v>0</v>
      </c>
      <c r="DT54" s="320">
        <v>0</v>
      </c>
      <c r="DU54" s="319">
        <v>0</v>
      </c>
      <c r="DV54" s="320"/>
      <c r="DW54" s="319">
        <v>0</v>
      </c>
      <c r="DX54" s="320"/>
      <c r="DY54" s="319">
        <v>0</v>
      </c>
      <c r="DZ54" s="320">
        <v>0</v>
      </c>
      <c r="EA54" s="319">
        <v>0</v>
      </c>
      <c r="EB54" s="320"/>
      <c r="EC54" s="319">
        <v>0</v>
      </c>
      <c r="ED54" s="320"/>
      <c r="EE54" s="319">
        <v>0</v>
      </c>
      <c r="EF54" s="320">
        <v>0</v>
      </c>
      <c r="EG54" s="319">
        <v>0</v>
      </c>
      <c r="EH54" s="320"/>
      <c r="EI54" s="319">
        <v>0</v>
      </c>
      <c r="EJ54" s="320"/>
      <c r="EK54" s="319">
        <v>0</v>
      </c>
      <c r="EL54" s="320">
        <v>0</v>
      </c>
      <c r="EM54" s="319">
        <v>0</v>
      </c>
      <c r="EN54" s="320"/>
      <c r="EO54" s="319">
        <v>0</v>
      </c>
      <c r="EP54" s="320"/>
      <c r="EQ54" s="319">
        <v>0</v>
      </c>
      <c r="ER54" s="320">
        <v>0</v>
      </c>
      <c r="ES54" s="319">
        <v>0</v>
      </c>
      <c r="ET54" s="320"/>
      <c r="EU54" s="319">
        <v>0</v>
      </c>
      <c r="EV54" s="320"/>
      <c r="EW54" s="319">
        <v>0</v>
      </c>
      <c r="EX54" s="320">
        <v>0</v>
      </c>
      <c r="EY54" s="319">
        <v>0</v>
      </c>
      <c r="EZ54" s="320"/>
      <c r="FA54" s="319">
        <v>0</v>
      </c>
      <c r="FB54" s="320"/>
      <c r="FC54" s="319">
        <v>0</v>
      </c>
      <c r="FD54" s="320">
        <v>0</v>
      </c>
      <c r="FE54" s="319">
        <v>0</v>
      </c>
      <c r="FF54" s="320"/>
      <c r="FG54" s="319">
        <v>0</v>
      </c>
      <c r="FH54" s="320"/>
      <c r="FI54" s="319">
        <v>0</v>
      </c>
      <c r="FJ54" s="320">
        <v>0</v>
      </c>
      <c r="FK54" s="319">
        <v>0</v>
      </c>
      <c r="FL54" s="320"/>
      <c r="FM54" s="319">
        <v>0</v>
      </c>
      <c r="FN54" s="320"/>
      <c r="FO54" s="319">
        <v>0</v>
      </c>
      <c r="FP54" s="320">
        <v>0</v>
      </c>
      <c r="FQ54" s="319">
        <v>0</v>
      </c>
      <c r="FR54" s="320"/>
      <c r="FS54" s="319">
        <v>0</v>
      </c>
      <c r="FT54" s="320"/>
      <c r="FU54" s="319">
        <v>0</v>
      </c>
      <c r="FV54" s="320">
        <v>0</v>
      </c>
      <c r="FW54" s="319">
        <v>0</v>
      </c>
      <c r="FX54" s="320"/>
      <c r="FY54" s="319">
        <v>0</v>
      </c>
      <c r="FZ54" s="320"/>
      <c r="GA54" s="319">
        <v>0</v>
      </c>
      <c r="GB54" s="320">
        <v>0</v>
      </c>
      <c r="GC54" s="319">
        <v>0</v>
      </c>
      <c r="GD54" s="320"/>
      <c r="GE54" s="319">
        <v>0</v>
      </c>
      <c r="GF54" s="320"/>
      <c r="GG54" s="319">
        <v>0</v>
      </c>
      <c r="GH54" s="320">
        <v>0</v>
      </c>
      <c r="GI54" s="319">
        <v>0</v>
      </c>
      <c r="GJ54" s="320"/>
      <c r="GK54" s="319">
        <v>0</v>
      </c>
      <c r="GL54" s="320"/>
      <c r="GM54" s="319">
        <v>0</v>
      </c>
      <c r="GN54" s="320">
        <v>0</v>
      </c>
      <c r="GO54" s="319">
        <v>0</v>
      </c>
      <c r="GP54" s="320"/>
      <c r="GQ54" s="319">
        <v>0</v>
      </c>
      <c r="GR54" s="320"/>
      <c r="GS54" s="319">
        <v>0</v>
      </c>
      <c r="GT54" s="320">
        <v>0</v>
      </c>
      <c r="GU54" s="319">
        <v>0</v>
      </c>
      <c r="GV54" s="320"/>
      <c r="GW54" s="319">
        <v>0</v>
      </c>
      <c r="GX54" s="320"/>
      <c r="GY54" s="319">
        <v>0</v>
      </c>
      <c r="GZ54" s="320">
        <v>0</v>
      </c>
    </row>
    <row r="55" spans="1:208" s="89" customFormat="1" ht="22.5" customHeight="1" thickBot="1" x14ac:dyDescent="0.25">
      <c r="A55" s="296" t="s">
        <v>3213</v>
      </c>
      <c r="B55" s="297" t="s">
        <v>3214</v>
      </c>
      <c r="C55" s="298" t="s">
        <v>3170</v>
      </c>
      <c r="D55" s="299" t="s">
        <v>3215</v>
      </c>
      <c r="E55" s="299" t="s">
        <v>3216</v>
      </c>
      <c r="F55" s="300" t="s">
        <v>3166</v>
      </c>
      <c r="G55" s="300" t="s">
        <v>3167</v>
      </c>
      <c r="H55" s="301" t="s">
        <v>1481</v>
      </c>
      <c r="I55" s="302" t="s">
        <v>1481</v>
      </c>
      <c r="J55" s="340" t="s">
        <v>3168</v>
      </c>
      <c r="K55" s="343" t="s">
        <v>53</v>
      </c>
      <c r="L55" s="256">
        <f>CONTINUA!BV55</f>
        <v>0</v>
      </c>
      <c r="M55" s="256">
        <f>CONTINUA!BW55</f>
        <v>0</v>
      </c>
      <c r="N55" s="564"/>
      <c r="O55" s="565" t="s">
        <v>3341</v>
      </c>
      <c r="P55" s="566">
        <v>0</v>
      </c>
      <c r="Q55" s="319">
        <v>0</v>
      </c>
      <c r="R55" s="320"/>
      <c r="S55" s="319">
        <v>0</v>
      </c>
      <c r="T55" s="320"/>
      <c r="U55" s="321">
        <v>0</v>
      </c>
      <c r="V55" s="322">
        <v>0</v>
      </c>
      <c r="W55" s="319">
        <v>0</v>
      </c>
      <c r="X55" s="320"/>
      <c r="Y55" s="319">
        <v>0</v>
      </c>
      <c r="Z55" s="320"/>
      <c r="AA55" s="321">
        <v>0</v>
      </c>
      <c r="AB55" s="322">
        <v>0</v>
      </c>
      <c r="AC55" s="319">
        <v>0</v>
      </c>
      <c r="AD55" s="320"/>
      <c r="AE55" s="319">
        <v>0</v>
      </c>
      <c r="AF55" s="320"/>
      <c r="AG55" s="321">
        <v>0</v>
      </c>
      <c r="AH55" s="322">
        <v>0</v>
      </c>
      <c r="AI55" s="319">
        <v>0</v>
      </c>
      <c r="AJ55" s="320"/>
      <c r="AK55" s="319">
        <v>0</v>
      </c>
      <c r="AL55" s="320"/>
      <c r="AM55" s="321">
        <v>0</v>
      </c>
      <c r="AN55" s="322">
        <v>0</v>
      </c>
      <c r="AO55" s="319">
        <v>0</v>
      </c>
      <c r="AP55" s="320"/>
      <c r="AQ55" s="319">
        <v>0</v>
      </c>
      <c r="AR55" s="320"/>
      <c r="AS55" s="321">
        <v>0</v>
      </c>
      <c r="AT55" s="322">
        <v>0</v>
      </c>
      <c r="AU55" s="319">
        <v>0</v>
      </c>
      <c r="AV55" s="320"/>
      <c r="AW55" s="319">
        <v>0</v>
      </c>
      <c r="AX55" s="320"/>
      <c r="AY55" s="321">
        <v>0</v>
      </c>
      <c r="AZ55" s="322">
        <v>0</v>
      </c>
      <c r="BA55" s="319">
        <v>0</v>
      </c>
      <c r="BB55" s="320"/>
      <c r="BC55" s="319">
        <v>0</v>
      </c>
      <c r="BD55" s="320"/>
      <c r="BE55" s="321">
        <v>0</v>
      </c>
      <c r="BF55" s="322">
        <v>0</v>
      </c>
      <c r="BG55" s="319">
        <v>0</v>
      </c>
      <c r="BH55" s="320"/>
      <c r="BI55" s="319">
        <v>0</v>
      </c>
      <c r="BJ55" s="320"/>
      <c r="BK55" s="321">
        <v>0</v>
      </c>
      <c r="BL55" s="322">
        <v>0</v>
      </c>
      <c r="BM55" s="319">
        <v>0</v>
      </c>
      <c r="BN55" s="320"/>
      <c r="BO55" s="319">
        <v>0</v>
      </c>
      <c r="BP55" s="320"/>
      <c r="BQ55" s="321">
        <v>0</v>
      </c>
      <c r="BR55" s="322">
        <v>0</v>
      </c>
      <c r="BS55" s="319">
        <v>0</v>
      </c>
      <c r="BT55" s="320"/>
      <c r="BU55" s="319">
        <v>0</v>
      </c>
      <c r="BV55" s="320"/>
      <c r="BW55" s="321">
        <v>0</v>
      </c>
      <c r="BX55" s="322">
        <v>0</v>
      </c>
      <c r="BY55" s="319">
        <v>0</v>
      </c>
      <c r="BZ55" s="320"/>
      <c r="CA55" s="319">
        <v>0</v>
      </c>
      <c r="CB55" s="320"/>
      <c r="CC55" s="321">
        <v>0</v>
      </c>
      <c r="CD55" s="322">
        <v>0</v>
      </c>
      <c r="CE55" s="319">
        <v>0</v>
      </c>
      <c r="CF55" s="320"/>
      <c r="CG55" s="319">
        <v>0</v>
      </c>
      <c r="CH55" s="320"/>
      <c r="CI55" s="321">
        <v>0</v>
      </c>
      <c r="CJ55" s="322">
        <v>0</v>
      </c>
      <c r="CK55" s="319">
        <v>0</v>
      </c>
      <c r="CL55" s="320"/>
      <c r="CM55" s="319">
        <v>0</v>
      </c>
      <c r="CN55" s="320"/>
      <c r="CO55" s="321">
        <v>0</v>
      </c>
      <c r="CP55" s="322">
        <v>0</v>
      </c>
      <c r="CQ55" s="319">
        <v>0</v>
      </c>
      <c r="CR55" s="320"/>
      <c r="CS55" s="319">
        <v>0</v>
      </c>
      <c r="CT55" s="320"/>
      <c r="CU55" s="321">
        <v>0</v>
      </c>
      <c r="CV55" s="322">
        <v>0</v>
      </c>
      <c r="CW55" s="319">
        <v>0</v>
      </c>
      <c r="CX55" s="320"/>
      <c r="CY55" s="319">
        <v>0</v>
      </c>
      <c r="CZ55" s="320"/>
      <c r="DA55" s="321">
        <v>0</v>
      </c>
      <c r="DB55" s="322">
        <v>0</v>
      </c>
      <c r="DC55" s="319">
        <v>0</v>
      </c>
      <c r="DD55" s="320"/>
      <c r="DE55" s="319">
        <v>0</v>
      </c>
      <c r="DF55" s="320"/>
      <c r="DG55" s="321">
        <v>0</v>
      </c>
      <c r="DH55" s="322">
        <v>0</v>
      </c>
      <c r="DI55" s="319">
        <v>0</v>
      </c>
      <c r="DJ55" s="320"/>
      <c r="DK55" s="319">
        <v>0</v>
      </c>
      <c r="DL55" s="320"/>
      <c r="DM55" s="321">
        <v>0</v>
      </c>
      <c r="DN55" s="322">
        <v>0</v>
      </c>
      <c r="DO55" s="319">
        <v>0</v>
      </c>
      <c r="DP55" s="320"/>
      <c r="DQ55" s="319">
        <v>0</v>
      </c>
      <c r="DR55" s="320"/>
      <c r="DS55" s="321">
        <v>0</v>
      </c>
      <c r="DT55" s="322">
        <v>0</v>
      </c>
      <c r="DU55" s="319">
        <v>0</v>
      </c>
      <c r="DV55" s="320"/>
      <c r="DW55" s="319">
        <v>0</v>
      </c>
      <c r="DX55" s="320"/>
      <c r="DY55" s="321">
        <v>0</v>
      </c>
      <c r="DZ55" s="322">
        <v>0</v>
      </c>
      <c r="EA55" s="319">
        <v>0</v>
      </c>
      <c r="EB55" s="320"/>
      <c r="EC55" s="319">
        <v>0</v>
      </c>
      <c r="ED55" s="320"/>
      <c r="EE55" s="321">
        <v>0</v>
      </c>
      <c r="EF55" s="322">
        <v>0</v>
      </c>
      <c r="EG55" s="319">
        <v>0</v>
      </c>
      <c r="EH55" s="320"/>
      <c r="EI55" s="319">
        <v>0</v>
      </c>
      <c r="EJ55" s="320"/>
      <c r="EK55" s="321">
        <v>0</v>
      </c>
      <c r="EL55" s="322">
        <v>0</v>
      </c>
      <c r="EM55" s="319">
        <v>0</v>
      </c>
      <c r="EN55" s="320"/>
      <c r="EO55" s="319">
        <v>0</v>
      </c>
      <c r="EP55" s="320"/>
      <c r="EQ55" s="321">
        <v>0</v>
      </c>
      <c r="ER55" s="322">
        <v>0</v>
      </c>
      <c r="ES55" s="319">
        <v>0</v>
      </c>
      <c r="ET55" s="320"/>
      <c r="EU55" s="319">
        <v>0</v>
      </c>
      <c r="EV55" s="320"/>
      <c r="EW55" s="321">
        <v>0</v>
      </c>
      <c r="EX55" s="322">
        <v>0</v>
      </c>
      <c r="EY55" s="319">
        <v>0</v>
      </c>
      <c r="EZ55" s="320"/>
      <c r="FA55" s="319">
        <v>0</v>
      </c>
      <c r="FB55" s="320"/>
      <c r="FC55" s="321">
        <v>0</v>
      </c>
      <c r="FD55" s="322">
        <v>0</v>
      </c>
      <c r="FE55" s="319">
        <v>0</v>
      </c>
      <c r="FF55" s="320"/>
      <c r="FG55" s="319">
        <v>0</v>
      </c>
      <c r="FH55" s="320"/>
      <c r="FI55" s="321">
        <v>0</v>
      </c>
      <c r="FJ55" s="322">
        <v>0</v>
      </c>
      <c r="FK55" s="319">
        <v>0</v>
      </c>
      <c r="FL55" s="320"/>
      <c r="FM55" s="319">
        <v>0</v>
      </c>
      <c r="FN55" s="320"/>
      <c r="FO55" s="321">
        <v>0</v>
      </c>
      <c r="FP55" s="322">
        <v>0</v>
      </c>
      <c r="FQ55" s="319">
        <v>0</v>
      </c>
      <c r="FR55" s="320"/>
      <c r="FS55" s="319">
        <v>0</v>
      </c>
      <c r="FT55" s="320"/>
      <c r="FU55" s="321">
        <v>0</v>
      </c>
      <c r="FV55" s="322">
        <v>0</v>
      </c>
      <c r="FW55" s="319">
        <v>0</v>
      </c>
      <c r="FX55" s="320"/>
      <c r="FY55" s="319">
        <v>0</v>
      </c>
      <c r="FZ55" s="320"/>
      <c r="GA55" s="321">
        <v>0</v>
      </c>
      <c r="GB55" s="322">
        <v>0</v>
      </c>
      <c r="GC55" s="319">
        <v>0</v>
      </c>
      <c r="GD55" s="320"/>
      <c r="GE55" s="319">
        <v>0</v>
      </c>
      <c r="GF55" s="320"/>
      <c r="GG55" s="321">
        <v>0</v>
      </c>
      <c r="GH55" s="322">
        <v>0</v>
      </c>
      <c r="GI55" s="319">
        <v>0</v>
      </c>
      <c r="GJ55" s="320"/>
      <c r="GK55" s="319">
        <v>0</v>
      </c>
      <c r="GL55" s="320"/>
      <c r="GM55" s="321">
        <v>0</v>
      </c>
      <c r="GN55" s="322">
        <v>0</v>
      </c>
      <c r="GO55" s="319">
        <v>0</v>
      </c>
      <c r="GP55" s="320"/>
      <c r="GQ55" s="319">
        <v>0</v>
      </c>
      <c r="GR55" s="320"/>
      <c r="GS55" s="321">
        <v>0</v>
      </c>
      <c r="GT55" s="322">
        <v>0</v>
      </c>
      <c r="GU55" s="319">
        <v>0</v>
      </c>
      <c r="GV55" s="320"/>
      <c r="GW55" s="319">
        <v>0</v>
      </c>
      <c r="GX55" s="320"/>
      <c r="GY55" s="321">
        <v>0</v>
      </c>
      <c r="GZ55" s="322">
        <v>0</v>
      </c>
    </row>
    <row r="56" spans="1:208" s="89" customFormat="1" ht="22.5" customHeight="1" x14ac:dyDescent="0.2">
      <c r="A56" t="s">
        <v>3217</v>
      </c>
      <c r="B56" s="429" t="s">
        <v>3218</v>
      </c>
      <c r="C56" s="430">
        <v>1</v>
      </c>
      <c r="D56" s="431" t="s">
        <v>3219</v>
      </c>
      <c r="E56" s="431" t="s">
        <v>3220</v>
      </c>
      <c r="F56" s="432" t="s">
        <v>3166</v>
      </c>
      <c r="G56" s="432" t="s">
        <v>3167</v>
      </c>
      <c r="H56" s="270" t="s">
        <v>1484</v>
      </c>
      <c r="I56" s="271" t="s">
        <v>1484</v>
      </c>
      <c r="J56" s="328" t="s">
        <v>3168</v>
      </c>
      <c r="K56" s="329" t="s">
        <v>3169</v>
      </c>
      <c r="L56" s="256">
        <f>CONTINUA!BV56</f>
        <v>0</v>
      </c>
      <c r="M56" s="256">
        <f>CONTINUA!BW56</f>
        <v>0</v>
      </c>
      <c r="N56" s="564"/>
      <c r="O56" s="565" t="s">
        <v>3342</v>
      </c>
      <c r="P56" s="566">
        <v>0</v>
      </c>
      <c r="Q56" s="319">
        <v>0</v>
      </c>
      <c r="R56" s="320"/>
      <c r="S56" s="319">
        <v>0</v>
      </c>
      <c r="T56" s="320"/>
      <c r="U56" s="321">
        <v>0</v>
      </c>
      <c r="V56" s="322">
        <v>0</v>
      </c>
      <c r="W56" s="319">
        <v>0</v>
      </c>
      <c r="X56" s="320"/>
      <c r="Y56" s="319">
        <v>0</v>
      </c>
      <c r="Z56" s="320"/>
      <c r="AA56" s="321">
        <v>0</v>
      </c>
      <c r="AB56" s="322">
        <v>0</v>
      </c>
      <c r="AC56" s="319">
        <v>0</v>
      </c>
      <c r="AD56" s="320"/>
      <c r="AE56" s="319">
        <v>0</v>
      </c>
      <c r="AF56" s="320"/>
      <c r="AG56" s="321">
        <v>0</v>
      </c>
      <c r="AH56" s="322">
        <v>0</v>
      </c>
      <c r="AI56" s="319">
        <v>0</v>
      </c>
      <c r="AJ56" s="320"/>
      <c r="AK56" s="319">
        <v>0</v>
      </c>
      <c r="AL56" s="320"/>
      <c r="AM56" s="321">
        <v>0</v>
      </c>
      <c r="AN56" s="322">
        <v>0</v>
      </c>
      <c r="AO56" s="319">
        <v>0</v>
      </c>
      <c r="AP56" s="320"/>
      <c r="AQ56" s="319">
        <v>0</v>
      </c>
      <c r="AR56" s="320"/>
      <c r="AS56" s="321">
        <v>0</v>
      </c>
      <c r="AT56" s="322">
        <v>0</v>
      </c>
      <c r="AU56" s="319">
        <v>0</v>
      </c>
      <c r="AV56" s="320"/>
      <c r="AW56" s="319">
        <v>0</v>
      </c>
      <c r="AX56" s="320"/>
      <c r="AY56" s="321">
        <v>0</v>
      </c>
      <c r="AZ56" s="322">
        <v>0</v>
      </c>
      <c r="BA56" s="319">
        <v>0</v>
      </c>
      <c r="BB56" s="320"/>
      <c r="BC56" s="319">
        <v>0</v>
      </c>
      <c r="BD56" s="320"/>
      <c r="BE56" s="321">
        <v>0</v>
      </c>
      <c r="BF56" s="322">
        <v>0</v>
      </c>
      <c r="BG56" s="319">
        <v>0</v>
      </c>
      <c r="BH56" s="320"/>
      <c r="BI56" s="319">
        <v>0</v>
      </c>
      <c r="BJ56" s="320"/>
      <c r="BK56" s="321">
        <v>0</v>
      </c>
      <c r="BL56" s="322">
        <v>0</v>
      </c>
      <c r="BM56" s="319">
        <v>0</v>
      </c>
      <c r="BN56" s="320"/>
      <c r="BO56" s="319">
        <v>0</v>
      </c>
      <c r="BP56" s="320"/>
      <c r="BQ56" s="321">
        <v>0</v>
      </c>
      <c r="BR56" s="322">
        <v>0</v>
      </c>
      <c r="BS56" s="319">
        <v>0</v>
      </c>
      <c r="BT56" s="320"/>
      <c r="BU56" s="319">
        <v>0</v>
      </c>
      <c r="BV56" s="320"/>
      <c r="BW56" s="321">
        <v>0</v>
      </c>
      <c r="BX56" s="322">
        <v>0</v>
      </c>
      <c r="BY56" s="319">
        <v>0</v>
      </c>
      <c r="BZ56" s="320"/>
      <c r="CA56" s="319">
        <v>0</v>
      </c>
      <c r="CB56" s="320"/>
      <c r="CC56" s="321">
        <v>0</v>
      </c>
      <c r="CD56" s="322">
        <v>0</v>
      </c>
      <c r="CE56" s="319">
        <v>0</v>
      </c>
      <c r="CF56" s="320"/>
      <c r="CG56" s="319">
        <v>0</v>
      </c>
      <c r="CH56" s="320"/>
      <c r="CI56" s="321">
        <v>0</v>
      </c>
      <c r="CJ56" s="322">
        <v>0</v>
      </c>
      <c r="CK56" s="319">
        <v>0</v>
      </c>
      <c r="CL56" s="320"/>
      <c r="CM56" s="319">
        <v>0</v>
      </c>
      <c r="CN56" s="320"/>
      <c r="CO56" s="321">
        <v>0</v>
      </c>
      <c r="CP56" s="322">
        <v>0</v>
      </c>
      <c r="CQ56" s="319">
        <v>0</v>
      </c>
      <c r="CR56" s="320"/>
      <c r="CS56" s="319">
        <v>0</v>
      </c>
      <c r="CT56" s="320"/>
      <c r="CU56" s="321">
        <v>0</v>
      </c>
      <c r="CV56" s="322">
        <v>0</v>
      </c>
      <c r="CW56" s="319">
        <v>0</v>
      </c>
      <c r="CX56" s="320"/>
      <c r="CY56" s="319">
        <v>0</v>
      </c>
      <c r="CZ56" s="320"/>
      <c r="DA56" s="321">
        <v>0</v>
      </c>
      <c r="DB56" s="322">
        <v>0</v>
      </c>
      <c r="DC56" s="319">
        <v>0</v>
      </c>
      <c r="DD56" s="320"/>
      <c r="DE56" s="319">
        <v>0</v>
      </c>
      <c r="DF56" s="320"/>
      <c r="DG56" s="321">
        <v>0</v>
      </c>
      <c r="DH56" s="322">
        <v>0</v>
      </c>
      <c r="DI56" s="319">
        <v>0</v>
      </c>
      <c r="DJ56" s="320"/>
      <c r="DK56" s="319">
        <v>0</v>
      </c>
      <c r="DL56" s="320"/>
      <c r="DM56" s="321">
        <v>0</v>
      </c>
      <c r="DN56" s="322">
        <v>0</v>
      </c>
      <c r="DO56" s="319">
        <v>0</v>
      </c>
      <c r="DP56" s="320"/>
      <c r="DQ56" s="319">
        <v>0</v>
      </c>
      <c r="DR56" s="320"/>
      <c r="DS56" s="321">
        <v>0</v>
      </c>
      <c r="DT56" s="322">
        <v>0</v>
      </c>
      <c r="DU56" s="319">
        <v>0</v>
      </c>
      <c r="DV56" s="320"/>
      <c r="DW56" s="319">
        <v>0</v>
      </c>
      <c r="DX56" s="320"/>
      <c r="DY56" s="321">
        <v>0</v>
      </c>
      <c r="DZ56" s="322">
        <v>0</v>
      </c>
      <c r="EA56" s="319">
        <v>0</v>
      </c>
      <c r="EB56" s="320"/>
      <c r="EC56" s="319">
        <v>0</v>
      </c>
      <c r="ED56" s="320"/>
      <c r="EE56" s="321">
        <v>0</v>
      </c>
      <c r="EF56" s="322">
        <v>0</v>
      </c>
      <c r="EG56" s="319">
        <v>0</v>
      </c>
      <c r="EH56" s="320"/>
      <c r="EI56" s="319">
        <v>0</v>
      </c>
      <c r="EJ56" s="320"/>
      <c r="EK56" s="321">
        <v>0</v>
      </c>
      <c r="EL56" s="322">
        <v>0</v>
      </c>
      <c r="EM56" s="319">
        <v>0</v>
      </c>
      <c r="EN56" s="320"/>
      <c r="EO56" s="319">
        <v>0</v>
      </c>
      <c r="EP56" s="320"/>
      <c r="EQ56" s="321">
        <v>0</v>
      </c>
      <c r="ER56" s="322">
        <v>0</v>
      </c>
      <c r="ES56" s="319">
        <v>0</v>
      </c>
      <c r="ET56" s="320"/>
      <c r="EU56" s="319">
        <v>0</v>
      </c>
      <c r="EV56" s="320"/>
      <c r="EW56" s="321">
        <v>0</v>
      </c>
      <c r="EX56" s="322">
        <v>0</v>
      </c>
      <c r="EY56" s="319">
        <v>0</v>
      </c>
      <c r="EZ56" s="320"/>
      <c r="FA56" s="319">
        <v>0</v>
      </c>
      <c r="FB56" s="320"/>
      <c r="FC56" s="321">
        <v>0</v>
      </c>
      <c r="FD56" s="322">
        <v>0</v>
      </c>
      <c r="FE56" s="319">
        <v>0</v>
      </c>
      <c r="FF56" s="320"/>
      <c r="FG56" s="319">
        <v>0</v>
      </c>
      <c r="FH56" s="320"/>
      <c r="FI56" s="321">
        <v>0</v>
      </c>
      <c r="FJ56" s="322">
        <v>0</v>
      </c>
      <c r="FK56" s="319">
        <v>0</v>
      </c>
      <c r="FL56" s="320"/>
      <c r="FM56" s="319">
        <v>0</v>
      </c>
      <c r="FN56" s="320"/>
      <c r="FO56" s="321">
        <v>0</v>
      </c>
      <c r="FP56" s="322">
        <v>0</v>
      </c>
      <c r="FQ56" s="319">
        <v>0</v>
      </c>
      <c r="FR56" s="320"/>
      <c r="FS56" s="319">
        <v>0</v>
      </c>
      <c r="FT56" s="320"/>
      <c r="FU56" s="321">
        <v>0</v>
      </c>
      <c r="FV56" s="322">
        <v>0</v>
      </c>
      <c r="FW56" s="319">
        <v>0</v>
      </c>
      <c r="FX56" s="320"/>
      <c r="FY56" s="319">
        <v>0</v>
      </c>
      <c r="FZ56" s="320"/>
      <c r="GA56" s="321">
        <v>0</v>
      </c>
      <c r="GB56" s="322">
        <v>0</v>
      </c>
      <c r="GC56" s="319">
        <v>0</v>
      </c>
      <c r="GD56" s="320"/>
      <c r="GE56" s="319">
        <v>0</v>
      </c>
      <c r="GF56" s="320"/>
      <c r="GG56" s="321">
        <v>0</v>
      </c>
      <c r="GH56" s="322">
        <v>0</v>
      </c>
      <c r="GI56" s="319">
        <v>0</v>
      </c>
      <c r="GJ56" s="320"/>
      <c r="GK56" s="319">
        <v>0</v>
      </c>
      <c r="GL56" s="320"/>
      <c r="GM56" s="321">
        <v>0</v>
      </c>
      <c r="GN56" s="322">
        <v>0</v>
      </c>
      <c r="GO56" s="319">
        <v>0</v>
      </c>
      <c r="GP56" s="320"/>
      <c r="GQ56" s="319">
        <v>0</v>
      </c>
      <c r="GR56" s="320"/>
      <c r="GS56" s="321">
        <v>0</v>
      </c>
      <c r="GT56" s="322">
        <v>0</v>
      </c>
      <c r="GU56" s="319">
        <v>0</v>
      </c>
      <c r="GV56" s="320"/>
      <c r="GW56" s="319">
        <v>0</v>
      </c>
      <c r="GX56" s="320"/>
      <c r="GY56" s="321">
        <v>0</v>
      </c>
      <c r="GZ56" s="322">
        <v>0</v>
      </c>
    </row>
    <row r="57" spans="1:208" s="89" customFormat="1" ht="22.5" customHeight="1" x14ac:dyDescent="0.2">
      <c r="A57" s="287" t="s">
        <v>3217</v>
      </c>
      <c r="B57" s="288" t="s">
        <v>3218</v>
      </c>
      <c r="C57" s="289" t="s">
        <v>3170</v>
      </c>
      <c r="D57" s="290" t="s">
        <v>3219</v>
      </c>
      <c r="E57" s="290" t="s">
        <v>3220</v>
      </c>
      <c r="F57" s="291" t="s">
        <v>3166</v>
      </c>
      <c r="G57" s="291" t="s">
        <v>3167</v>
      </c>
      <c r="H57" s="292" t="s">
        <v>1484</v>
      </c>
      <c r="I57" s="293" t="s">
        <v>1484</v>
      </c>
      <c r="J57" s="340" t="s">
        <v>3168</v>
      </c>
      <c r="K57" s="340" t="s">
        <v>3171</v>
      </c>
      <c r="L57" s="256">
        <f>CONTINUA!BV57</f>
        <v>44</v>
      </c>
      <c r="M57" s="256">
        <f>CONTINUA!BW57</f>
        <v>0</v>
      </c>
      <c r="N57" s="564"/>
      <c r="O57" s="565" t="s">
        <v>3342</v>
      </c>
      <c r="P57" s="566">
        <v>0</v>
      </c>
      <c r="Q57" s="319">
        <v>36</v>
      </c>
      <c r="R57" s="320"/>
      <c r="S57" s="319">
        <v>13</v>
      </c>
      <c r="T57" s="320"/>
      <c r="U57" s="319">
        <v>0</v>
      </c>
      <c r="V57" s="320">
        <v>0</v>
      </c>
      <c r="W57" s="319">
        <v>36</v>
      </c>
      <c r="X57" s="320"/>
      <c r="Y57" s="319">
        <v>13</v>
      </c>
      <c r="Z57" s="320"/>
      <c r="AA57" s="319">
        <v>0</v>
      </c>
      <c r="AB57" s="320">
        <v>0</v>
      </c>
      <c r="AC57" s="319">
        <v>36</v>
      </c>
      <c r="AD57" s="320"/>
      <c r="AE57" s="319">
        <v>13</v>
      </c>
      <c r="AF57" s="320"/>
      <c r="AG57" s="319">
        <v>0</v>
      </c>
      <c r="AH57" s="320">
        <v>0</v>
      </c>
      <c r="AI57" s="319">
        <v>36</v>
      </c>
      <c r="AJ57" s="320"/>
      <c r="AK57" s="319">
        <v>13</v>
      </c>
      <c r="AL57" s="320"/>
      <c r="AM57" s="319">
        <v>0</v>
      </c>
      <c r="AN57" s="320">
        <v>0</v>
      </c>
      <c r="AO57" s="319">
        <v>36</v>
      </c>
      <c r="AP57" s="320"/>
      <c r="AQ57" s="319">
        <v>13</v>
      </c>
      <c r="AR57" s="320"/>
      <c r="AS57" s="319">
        <v>0</v>
      </c>
      <c r="AT57" s="320">
        <v>0</v>
      </c>
      <c r="AU57" s="319">
        <v>36</v>
      </c>
      <c r="AV57" s="320"/>
      <c r="AW57" s="319">
        <v>13</v>
      </c>
      <c r="AX57" s="320"/>
      <c r="AY57" s="319">
        <v>0</v>
      </c>
      <c r="AZ57" s="320">
        <v>0</v>
      </c>
      <c r="BA57" s="319">
        <v>36</v>
      </c>
      <c r="BB57" s="320"/>
      <c r="BC57" s="319">
        <v>13</v>
      </c>
      <c r="BD57" s="320"/>
      <c r="BE57" s="319">
        <v>0</v>
      </c>
      <c r="BF57" s="320">
        <v>0</v>
      </c>
      <c r="BG57" s="319">
        <v>36</v>
      </c>
      <c r="BH57" s="320"/>
      <c r="BI57" s="319">
        <v>13</v>
      </c>
      <c r="BJ57" s="320"/>
      <c r="BK57" s="319">
        <v>0</v>
      </c>
      <c r="BL57" s="320">
        <v>0</v>
      </c>
      <c r="BM57" s="319">
        <v>36</v>
      </c>
      <c r="BN57" s="320"/>
      <c r="BO57" s="319">
        <v>13</v>
      </c>
      <c r="BP57" s="320"/>
      <c r="BQ57" s="319">
        <v>0</v>
      </c>
      <c r="BR57" s="320">
        <v>0</v>
      </c>
      <c r="BS57" s="319">
        <v>36</v>
      </c>
      <c r="BT57" s="320"/>
      <c r="BU57" s="319">
        <v>13</v>
      </c>
      <c r="BV57" s="320"/>
      <c r="BW57" s="319">
        <v>0</v>
      </c>
      <c r="BX57" s="320">
        <v>0</v>
      </c>
      <c r="BY57" s="319">
        <v>36</v>
      </c>
      <c r="BZ57" s="320"/>
      <c r="CA57" s="319">
        <v>13</v>
      </c>
      <c r="CB57" s="320"/>
      <c r="CC57" s="319">
        <v>0</v>
      </c>
      <c r="CD57" s="320">
        <v>0</v>
      </c>
      <c r="CE57" s="319">
        <v>36</v>
      </c>
      <c r="CF57" s="320"/>
      <c r="CG57" s="319">
        <v>13</v>
      </c>
      <c r="CH57" s="320"/>
      <c r="CI57" s="319">
        <v>0</v>
      </c>
      <c r="CJ57" s="320">
        <v>0</v>
      </c>
      <c r="CK57" s="319">
        <v>36</v>
      </c>
      <c r="CL57" s="320"/>
      <c r="CM57" s="319">
        <v>13</v>
      </c>
      <c r="CN57" s="320"/>
      <c r="CO57" s="319">
        <v>0</v>
      </c>
      <c r="CP57" s="320">
        <v>0</v>
      </c>
      <c r="CQ57" s="319">
        <v>36</v>
      </c>
      <c r="CR57" s="320"/>
      <c r="CS57" s="319">
        <v>13</v>
      </c>
      <c r="CT57" s="320"/>
      <c r="CU57" s="319">
        <v>0</v>
      </c>
      <c r="CV57" s="320">
        <v>0</v>
      </c>
      <c r="CW57" s="319">
        <v>36</v>
      </c>
      <c r="CX57" s="320"/>
      <c r="CY57" s="319">
        <v>13</v>
      </c>
      <c r="CZ57" s="320"/>
      <c r="DA57" s="319">
        <v>0</v>
      </c>
      <c r="DB57" s="320">
        <v>0</v>
      </c>
      <c r="DC57" s="319">
        <v>36</v>
      </c>
      <c r="DD57" s="320"/>
      <c r="DE57" s="319">
        <v>13</v>
      </c>
      <c r="DF57" s="320"/>
      <c r="DG57" s="319">
        <v>0</v>
      </c>
      <c r="DH57" s="320">
        <v>0</v>
      </c>
      <c r="DI57" s="319">
        <v>36</v>
      </c>
      <c r="DJ57" s="320"/>
      <c r="DK57" s="319">
        <v>13</v>
      </c>
      <c r="DL57" s="320"/>
      <c r="DM57" s="319">
        <v>0</v>
      </c>
      <c r="DN57" s="320">
        <v>0</v>
      </c>
      <c r="DO57" s="319">
        <v>36</v>
      </c>
      <c r="DP57" s="320"/>
      <c r="DQ57" s="319">
        <v>13</v>
      </c>
      <c r="DR57" s="320"/>
      <c r="DS57" s="319">
        <v>0</v>
      </c>
      <c r="DT57" s="320">
        <v>0</v>
      </c>
      <c r="DU57" s="319">
        <v>36</v>
      </c>
      <c r="DV57" s="320"/>
      <c r="DW57" s="319">
        <v>13</v>
      </c>
      <c r="DX57" s="320"/>
      <c r="DY57" s="319">
        <v>0</v>
      </c>
      <c r="DZ57" s="320">
        <v>0</v>
      </c>
      <c r="EA57" s="319">
        <v>36</v>
      </c>
      <c r="EB57" s="320"/>
      <c r="EC57" s="319">
        <v>13</v>
      </c>
      <c r="ED57" s="320"/>
      <c r="EE57" s="319">
        <v>0</v>
      </c>
      <c r="EF57" s="320">
        <v>0</v>
      </c>
      <c r="EG57" s="319">
        <v>36</v>
      </c>
      <c r="EH57" s="320"/>
      <c r="EI57" s="319">
        <v>13</v>
      </c>
      <c r="EJ57" s="320"/>
      <c r="EK57" s="319">
        <v>0</v>
      </c>
      <c r="EL57" s="320">
        <v>0</v>
      </c>
      <c r="EM57" s="319">
        <v>36</v>
      </c>
      <c r="EN57" s="320"/>
      <c r="EO57" s="319">
        <v>13</v>
      </c>
      <c r="EP57" s="320"/>
      <c r="EQ57" s="319">
        <v>0</v>
      </c>
      <c r="ER57" s="320">
        <v>0</v>
      </c>
      <c r="ES57" s="319">
        <v>36</v>
      </c>
      <c r="ET57" s="320"/>
      <c r="EU57" s="319">
        <v>13</v>
      </c>
      <c r="EV57" s="320"/>
      <c r="EW57" s="319">
        <v>0</v>
      </c>
      <c r="EX57" s="320">
        <v>0</v>
      </c>
      <c r="EY57" s="319">
        <v>36</v>
      </c>
      <c r="EZ57" s="320"/>
      <c r="FA57" s="319">
        <v>13</v>
      </c>
      <c r="FB57" s="320"/>
      <c r="FC57" s="319">
        <v>0</v>
      </c>
      <c r="FD57" s="320">
        <v>0</v>
      </c>
      <c r="FE57" s="319">
        <v>36</v>
      </c>
      <c r="FF57" s="320"/>
      <c r="FG57" s="319">
        <v>13</v>
      </c>
      <c r="FH57" s="320"/>
      <c r="FI57" s="319">
        <v>0</v>
      </c>
      <c r="FJ57" s="320">
        <v>0</v>
      </c>
      <c r="FK57" s="319">
        <v>36</v>
      </c>
      <c r="FL57" s="320"/>
      <c r="FM57" s="319">
        <v>13</v>
      </c>
      <c r="FN57" s="320"/>
      <c r="FO57" s="319">
        <v>0</v>
      </c>
      <c r="FP57" s="320">
        <v>0</v>
      </c>
      <c r="FQ57" s="319">
        <v>36</v>
      </c>
      <c r="FR57" s="320"/>
      <c r="FS57" s="319">
        <v>13</v>
      </c>
      <c r="FT57" s="320"/>
      <c r="FU57" s="319">
        <v>0</v>
      </c>
      <c r="FV57" s="320">
        <v>0</v>
      </c>
      <c r="FW57" s="319">
        <v>36</v>
      </c>
      <c r="FX57" s="320"/>
      <c r="FY57" s="319">
        <v>13</v>
      </c>
      <c r="FZ57" s="320"/>
      <c r="GA57" s="319">
        <v>0</v>
      </c>
      <c r="GB57" s="320">
        <v>0</v>
      </c>
      <c r="GC57" s="319">
        <v>36</v>
      </c>
      <c r="GD57" s="320"/>
      <c r="GE57" s="319">
        <v>13</v>
      </c>
      <c r="GF57" s="320"/>
      <c r="GG57" s="319">
        <v>0</v>
      </c>
      <c r="GH57" s="320">
        <v>0</v>
      </c>
      <c r="GI57" s="319">
        <v>36</v>
      </c>
      <c r="GJ57" s="320"/>
      <c r="GK57" s="319">
        <v>13</v>
      </c>
      <c r="GL57" s="320"/>
      <c r="GM57" s="319">
        <v>0</v>
      </c>
      <c r="GN57" s="320">
        <v>0</v>
      </c>
      <c r="GO57" s="319">
        <v>36</v>
      </c>
      <c r="GP57" s="320"/>
      <c r="GQ57" s="319">
        <v>13</v>
      </c>
      <c r="GR57" s="320"/>
      <c r="GS57" s="319">
        <v>0</v>
      </c>
      <c r="GT57" s="320">
        <v>0</v>
      </c>
      <c r="GU57" s="319">
        <v>36</v>
      </c>
      <c r="GV57" s="320"/>
      <c r="GW57" s="319">
        <v>13</v>
      </c>
      <c r="GX57" s="320"/>
      <c r="GY57" s="319">
        <v>0</v>
      </c>
      <c r="GZ57" s="320">
        <v>0</v>
      </c>
    </row>
    <row r="58" spans="1:208" s="89" customFormat="1" ht="22.5" customHeight="1" x14ac:dyDescent="0.2">
      <c r="A58" s="287" t="s">
        <v>3217</v>
      </c>
      <c r="B58" s="288" t="s">
        <v>3218</v>
      </c>
      <c r="C58" s="294" t="s">
        <v>3170</v>
      </c>
      <c r="D58" s="290" t="s">
        <v>3219</v>
      </c>
      <c r="E58" s="290" t="s">
        <v>3220</v>
      </c>
      <c r="F58" s="295" t="s">
        <v>3166</v>
      </c>
      <c r="G58" s="295" t="s">
        <v>3167</v>
      </c>
      <c r="H58" s="292" t="s">
        <v>1484</v>
      </c>
      <c r="I58" s="293" t="s">
        <v>1484</v>
      </c>
      <c r="J58" s="340" t="s">
        <v>3168</v>
      </c>
      <c r="K58" s="341" t="s">
        <v>3172</v>
      </c>
      <c r="L58" s="256">
        <f>CONTINUA!BV58</f>
        <v>0</v>
      </c>
      <c r="M58" s="256">
        <f>CONTINUA!BW58</f>
        <v>0</v>
      </c>
      <c r="N58" s="564"/>
      <c r="O58" s="565" t="s">
        <v>3342</v>
      </c>
      <c r="P58" s="566">
        <v>0</v>
      </c>
      <c r="Q58" s="319">
        <v>0</v>
      </c>
      <c r="R58" s="320"/>
      <c r="S58" s="319">
        <v>0</v>
      </c>
      <c r="T58" s="320"/>
      <c r="U58" s="319">
        <v>0</v>
      </c>
      <c r="V58" s="320">
        <v>0</v>
      </c>
      <c r="W58" s="319">
        <v>0</v>
      </c>
      <c r="X58" s="320"/>
      <c r="Y58" s="319">
        <v>0</v>
      </c>
      <c r="Z58" s="320"/>
      <c r="AA58" s="319">
        <v>0</v>
      </c>
      <c r="AB58" s="320">
        <v>0</v>
      </c>
      <c r="AC58" s="319">
        <v>0</v>
      </c>
      <c r="AD58" s="320"/>
      <c r="AE58" s="319">
        <v>0</v>
      </c>
      <c r="AF58" s="320"/>
      <c r="AG58" s="319">
        <v>0</v>
      </c>
      <c r="AH58" s="320">
        <v>0</v>
      </c>
      <c r="AI58" s="319">
        <v>0</v>
      </c>
      <c r="AJ58" s="320"/>
      <c r="AK58" s="319">
        <v>0</v>
      </c>
      <c r="AL58" s="320"/>
      <c r="AM58" s="319">
        <v>0</v>
      </c>
      <c r="AN58" s="320">
        <v>0</v>
      </c>
      <c r="AO58" s="319">
        <v>0</v>
      </c>
      <c r="AP58" s="320"/>
      <c r="AQ58" s="319">
        <v>0</v>
      </c>
      <c r="AR58" s="320"/>
      <c r="AS58" s="319">
        <v>0</v>
      </c>
      <c r="AT58" s="320">
        <v>0</v>
      </c>
      <c r="AU58" s="319">
        <v>0</v>
      </c>
      <c r="AV58" s="320"/>
      <c r="AW58" s="319">
        <v>0</v>
      </c>
      <c r="AX58" s="320"/>
      <c r="AY58" s="319">
        <v>0</v>
      </c>
      <c r="AZ58" s="320">
        <v>0</v>
      </c>
      <c r="BA58" s="319">
        <v>0</v>
      </c>
      <c r="BB58" s="320"/>
      <c r="BC58" s="319">
        <v>0</v>
      </c>
      <c r="BD58" s="320"/>
      <c r="BE58" s="319">
        <v>0</v>
      </c>
      <c r="BF58" s="320">
        <v>0</v>
      </c>
      <c r="BG58" s="319">
        <v>0</v>
      </c>
      <c r="BH58" s="320"/>
      <c r="BI58" s="319">
        <v>0</v>
      </c>
      <c r="BJ58" s="320"/>
      <c r="BK58" s="319">
        <v>0</v>
      </c>
      <c r="BL58" s="320">
        <v>0</v>
      </c>
      <c r="BM58" s="319">
        <v>0</v>
      </c>
      <c r="BN58" s="320"/>
      <c r="BO58" s="319">
        <v>0</v>
      </c>
      <c r="BP58" s="320"/>
      <c r="BQ58" s="319">
        <v>0</v>
      </c>
      <c r="BR58" s="320">
        <v>0</v>
      </c>
      <c r="BS58" s="319">
        <v>0</v>
      </c>
      <c r="BT58" s="320"/>
      <c r="BU58" s="319">
        <v>0</v>
      </c>
      <c r="BV58" s="320"/>
      <c r="BW58" s="319">
        <v>0</v>
      </c>
      <c r="BX58" s="320">
        <v>0</v>
      </c>
      <c r="BY58" s="319">
        <v>0</v>
      </c>
      <c r="BZ58" s="320"/>
      <c r="CA58" s="319">
        <v>0</v>
      </c>
      <c r="CB58" s="320"/>
      <c r="CC58" s="319">
        <v>0</v>
      </c>
      <c r="CD58" s="320">
        <v>0</v>
      </c>
      <c r="CE58" s="319">
        <v>0</v>
      </c>
      <c r="CF58" s="320"/>
      <c r="CG58" s="319">
        <v>0</v>
      </c>
      <c r="CH58" s="320"/>
      <c r="CI58" s="319">
        <v>0</v>
      </c>
      <c r="CJ58" s="320">
        <v>0</v>
      </c>
      <c r="CK58" s="319">
        <v>0</v>
      </c>
      <c r="CL58" s="320"/>
      <c r="CM58" s="319">
        <v>0</v>
      </c>
      <c r="CN58" s="320"/>
      <c r="CO58" s="319">
        <v>0</v>
      </c>
      <c r="CP58" s="320">
        <v>0</v>
      </c>
      <c r="CQ58" s="319">
        <v>0</v>
      </c>
      <c r="CR58" s="320"/>
      <c r="CS58" s="319">
        <v>0</v>
      </c>
      <c r="CT58" s="320"/>
      <c r="CU58" s="319">
        <v>0</v>
      </c>
      <c r="CV58" s="320">
        <v>0</v>
      </c>
      <c r="CW58" s="319">
        <v>0</v>
      </c>
      <c r="CX58" s="320"/>
      <c r="CY58" s="319">
        <v>0</v>
      </c>
      <c r="CZ58" s="320"/>
      <c r="DA58" s="319">
        <v>0</v>
      </c>
      <c r="DB58" s="320">
        <v>0</v>
      </c>
      <c r="DC58" s="319">
        <v>0</v>
      </c>
      <c r="DD58" s="320"/>
      <c r="DE58" s="319">
        <v>0</v>
      </c>
      <c r="DF58" s="320"/>
      <c r="DG58" s="319">
        <v>0</v>
      </c>
      <c r="DH58" s="320">
        <v>0</v>
      </c>
      <c r="DI58" s="319">
        <v>0</v>
      </c>
      <c r="DJ58" s="320"/>
      <c r="DK58" s="319">
        <v>0</v>
      </c>
      <c r="DL58" s="320"/>
      <c r="DM58" s="319">
        <v>0</v>
      </c>
      <c r="DN58" s="320">
        <v>0</v>
      </c>
      <c r="DO58" s="319">
        <v>0</v>
      </c>
      <c r="DP58" s="320"/>
      <c r="DQ58" s="319">
        <v>0</v>
      </c>
      <c r="DR58" s="320"/>
      <c r="DS58" s="319">
        <v>0</v>
      </c>
      <c r="DT58" s="320">
        <v>0</v>
      </c>
      <c r="DU58" s="319">
        <v>0</v>
      </c>
      <c r="DV58" s="320"/>
      <c r="DW58" s="319">
        <v>0</v>
      </c>
      <c r="DX58" s="320"/>
      <c r="DY58" s="319">
        <v>0</v>
      </c>
      <c r="DZ58" s="320">
        <v>0</v>
      </c>
      <c r="EA58" s="319">
        <v>0</v>
      </c>
      <c r="EB58" s="320"/>
      <c r="EC58" s="319">
        <v>0</v>
      </c>
      <c r="ED58" s="320"/>
      <c r="EE58" s="319">
        <v>0</v>
      </c>
      <c r="EF58" s="320">
        <v>0</v>
      </c>
      <c r="EG58" s="319">
        <v>0</v>
      </c>
      <c r="EH58" s="320"/>
      <c r="EI58" s="319">
        <v>0</v>
      </c>
      <c r="EJ58" s="320"/>
      <c r="EK58" s="319">
        <v>0</v>
      </c>
      <c r="EL58" s="320">
        <v>0</v>
      </c>
      <c r="EM58" s="319">
        <v>0</v>
      </c>
      <c r="EN58" s="320"/>
      <c r="EO58" s="319">
        <v>0</v>
      </c>
      <c r="EP58" s="320"/>
      <c r="EQ58" s="319">
        <v>0</v>
      </c>
      <c r="ER58" s="320">
        <v>0</v>
      </c>
      <c r="ES58" s="319">
        <v>0</v>
      </c>
      <c r="ET58" s="320"/>
      <c r="EU58" s="319">
        <v>0</v>
      </c>
      <c r="EV58" s="320"/>
      <c r="EW58" s="319">
        <v>0</v>
      </c>
      <c r="EX58" s="320">
        <v>0</v>
      </c>
      <c r="EY58" s="319">
        <v>0</v>
      </c>
      <c r="EZ58" s="320"/>
      <c r="FA58" s="319">
        <v>0</v>
      </c>
      <c r="FB58" s="320"/>
      <c r="FC58" s="319">
        <v>0</v>
      </c>
      <c r="FD58" s="320">
        <v>0</v>
      </c>
      <c r="FE58" s="319">
        <v>0</v>
      </c>
      <c r="FF58" s="320"/>
      <c r="FG58" s="319">
        <v>0</v>
      </c>
      <c r="FH58" s="320"/>
      <c r="FI58" s="319">
        <v>0</v>
      </c>
      <c r="FJ58" s="320">
        <v>0</v>
      </c>
      <c r="FK58" s="319">
        <v>0</v>
      </c>
      <c r="FL58" s="320"/>
      <c r="FM58" s="319">
        <v>0</v>
      </c>
      <c r="FN58" s="320"/>
      <c r="FO58" s="319">
        <v>0</v>
      </c>
      <c r="FP58" s="320">
        <v>0</v>
      </c>
      <c r="FQ58" s="319">
        <v>0</v>
      </c>
      <c r="FR58" s="320"/>
      <c r="FS58" s="319">
        <v>0</v>
      </c>
      <c r="FT58" s="320"/>
      <c r="FU58" s="319">
        <v>0</v>
      </c>
      <c r="FV58" s="320">
        <v>0</v>
      </c>
      <c r="FW58" s="319">
        <v>0</v>
      </c>
      <c r="FX58" s="320"/>
      <c r="FY58" s="319">
        <v>0</v>
      </c>
      <c r="FZ58" s="320"/>
      <c r="GA58" s="319">
        <v>0</v>
      </c>
      <c r="GB58" s="320">
        <v>0</v>
      </c>
      <c r="GC58" s="319">
        <v>0</v>
      </c>
      <c r="GD58" s="320"/>
      <c r="GE58" s="319">
        <v>0</v>
      </c>
      <c r="GF58" s="320"/>
      <c r="GG58" s="319">
        <v>0</v>
      </c>
      <c r="GH58" s="320">
        <v>0</v>
      </c>
      <c r="GI58" s="319">
        <v>0</v>
      </c>
      <c r="GJ58" s="320"/>
      <c r="GK58" s="319">
        <v>0</v>
      </c>
      <c r="GL58" s="320"/>
      <c r="GM58" s="319">
        <v>0</v>
      </c>
      <c r="GN58" s="320">
        <v>0</v>
      </c>
      <c r="GO58" s="319">
        <v>0</v>
      </c>
      <c r="GP58" s="320"/>
      <c r="GQ58" s="319">
        <v>0</v>
      </c>
      <c r="GR58" s="320"/>
      <c r="GS58" s="319">
        <v>0</v>
      </c>
      <c r="GT58" s="320">
        <v>0</v>
      </c>
      <c r="GU58" s="319">
        <v>0</v>
      </c>
      <c r="GV58" s="320"/>
      <c r="GW58" s="319">
        <v>0</v>
      </c>
      <c r="GX58" s="320"/>
      <c r="GY58" s="319">
        <v>0</v>
      </c>
      <c r="GZ58" s="320">
        <v>0</v>
      </c>
    </row>
    <row r="59" spans="1:208" s="89" customFormat="1" ht="22.5" customHeight="1" x14ac:dyDescent="0.2">
      <c r="A59" s="287" t="s">
        <v>3217</v>
      </c>
      <c r="B59" s="288" t="s">
        <v>3218</v>
      </c>
      <c r="C59" s="294" t="s">
        <v>3170</v>
      </c>
      <c r="D59" s="290" t="s">
        <v>3219</v>
      </c>
      <c r="E59" s="290" t="s">
        <v>3220</v>
      </c>
      <c r="F59" s="295" t="s">
        <v>3166</v>
      </c>
      <c r="G59" s="295" t="s">
        <v>3167</v>
      </c>
      <c r="H59" s="292" t="s">
        <v>1484</v>
      </c>
      <c r="I59" s="293" t="s">
        <v>1484</v>
      </c>
      <c r="J59" s="340" t="s">
        <v>3168</v>
      </c>
      <c r="K59" s="342" t="s">
        <v>3173</v>
      </c>
      <c r="L59" s="256">
        <f>CONTINUA!BV59</f>
        <v>0</v>
      </c>
      <c r="M59" s="256">
        <f>CONTINUA!BW59</f>
        <v>0</v>
      </c>
      <c r="N59" s="564"/>
      <c r="O59" s="565" t="s">
        <v>3342</v>
      </c>
      <c r="P59" s="566">
        <v>0</v>
      </c>
      <c r="Q59" s="319">
        <v>0</v>
      </c>
      <c r="R59" s="320"/>
      <c r="S59" s="319">
        <v>0</v>
      </c>
      <c r="T59" s="320"/>
      <c r="U59" s="319">
        <v>0</v>
      </c>
      <c r="V59" s="320">
        <v>0</v>
      </c>
      <c r="W59" s="319">
        <v>0</v>
      </c>
      <c r="X59" s="320"/>
      <c r="Y59" s="319">
        <v>0</v>
      </c>
      <c r="Z59" s="320"/>
      <c r="AA59" s="319">
        <v>0</v>
      </c>
      <c r="AB59" s="320">
        <v>0</v>
      </c>
      <c r="AC59" s="319">
        <v>0</v>
      </c>
      <c r="AD59" s="320"/>
      <c r="AE59" s="319">
        <v>0</v>
      </c>
      <c r="AF59" s="320"/>
      <c r="AG59" s="319">
        <v>0</v>
      </c>
      <c r="AH59" s="320">
        <v>0</v>
      </c>
      <c r="AI59" s="319">
        <v>0</v>
      </c>
      <c r="AJ59" s="320"/>
      <c r="AK59" s="319">
        <v>0</v>
      </c>
      <c r="AL59" s="320"/>
      <c r="AM59" s="319">
        <v>0</v>
      </c>
      <c r="AN59" s="320">
        <v>0</v>
      </c>
      <c r="AO59" s="319">
        <v>0</v>
      </c>
      <c r="AP59" s="320"/>
      <c r="AQ59" s="319">
        <v>0</v>
      </c>
      <c r="AR59" s="320"/>
      <c r="AS59" s="319">
        <v>0</v>
      </c>
      <c r="AT59" s="320">
        <v>0</v>
      </c>
      <c r="AU59" s="319">
        <v>0</v>
      </c>
      <c r="AV59" s="320"/>
      <c r="AW59" s="319">
        <v>0</v>
      </c>
      <c r="AX59" s="320"/>
      <c r="AY59" s="319">
        <v>0</v>
      </c>
      <c r="AZ59" s="320">
        <v>0</v>
      </c>
      <c r="BA59" s="319">
        <v>0</v>
      </c>
      <c r="BB59" s="320"/>
      <c r="BC59" s="319">
        <v>0</v>
      </c>
      <c r="BD59" s="320"/>
      <c r="BE59" s="319">
        <v>0</v>
      </c>
      <c r="BF59" s="320">
        <v>0</v>
      </c>
      <c r="BG59" s="319">
        <v>0</v>
      </c>
      <c r="BH59" s="320"/>
      <c r="BI59" s="319">
        <v>0</v>
      </c>
      <c r="BJ59" s="320"/>
      <c r="BK59" s="319">
        <v>0</v>
      </c>
      <c r="BL59" s="320">
        <v>0</v>
      </c>
      <c r="BM59" s="319">
        <v>0</v>
      </c>
      <c r="BN59" s="320"/>
      <c r="BO59" s="319">
        <v>0</v>
      </c>
      <c r="BP59" s="320"/>
      <c r="BQ59" s="319">
        <v>0</v>
      </c>
      <c r="BR59" s="320">
        <v>0</v>
      </c>
      <c r="BS59" s="319">
        <v>0</v>
      </c>
      <c r="BT59" s="320"/>
      <c r="BU59" s="319">
        <v>0</v>
      </c>
      <c r="BV59" s="320"/>
      <c r="BW59" s="319">
        <v>0</v>
      </c>
      <c r="BX59" s="320">
        <v>0</v>
      </c>
      <c r="BY59" s="319">
        <v>0</v>
      </c>
      <c r="BZ59" s="320"/>
      <c r="CA59" s="319">
        <v>0</v>
      </c>
      <c r="CB59" s="320"/>
      <c r="CC59" s="319">
        <v>0</v>
      </c>
      <c r="CD59" s="320">
        <v>0</v>
      </c>
      <c r="CE59" s="319">
        <v>0</v>
      </c>
      <c r="CF59" s="320"/>
      <c r="CG59" s="319">
        <v>0</v>
      </c>
      <c r="CH59" s="320"/>
      <c r="CI59" s="319">
        <v>0</v>
      </c>
      <c r="CJ59" s="320">
        <v>0</v>
      </c>
      <c r="CK59" s="319">
        <v>0</v>
      </c>
      <c r="CL59" s="320"/>
      <c r="CM59" s="319">
        <v>0</v>
      </c>
      <c r="CN59" s="320"/>
      <c r="CO59" s="319">
        <v>0</v>
      </c>
      <c r="CP59" s="320">
        <v>0</v>
      </c>
      <c r="CQ59" s="319">
        <v>0</v>
      </c>
      <c r="CR59" s="320"/>
      <c r="CS59" s="319">
        <v>0</v>
      </c>
      <c r="CT59" s="320"/>
      <c r="CU59" s="319">
        <v>0</v>
      </c>
      <c r="CV59" s="320">
        <v>0</v>
      </c>
      <c r="CW59" s="319">
        <v>0</v>
      </c>
      <c r="CX59" s="320"/>
      <c r="CY59" s="319">
        <v>0</v>
      </c>
      <c r="CZ59" s="320"/>
      <c r="DA59" s="319">
        <v>0</v>
      </c>
      <c r="DB59" s="320">
        <v>0</v>
      </c>
      <c r="DC59" s="319">
        <v>0</v>
      </c>
      <c r="DD59" s="320"/>
      <c r="DE59" s="319">
        <v>0</v>
      </c>
      <c r="DF59" s="320"/>
      <c r="DG59" s="319">
        <v>0</v>
      </c>
      <c r="DH59" s="320">
        <v>0</v>
      </c>
      <c r="DI59" s="319">
        <v>0</v>
      </c>
      <c r="DJ59" s="320"/>
      <c r="DK59" s="319">
        <v>0</v>
      </c>
      <c r="DL59" s="320"/>
      <c r="DM59" s="319">
        <v>0</v>
      </c>
      <c r="DN59" s="320">
        <v>0</v>
      </c>
      <c r="DO59" s="319">
        <v>0</v>
      </c>
      <c r="DP59" s="320"/>
      <c r="DQ59" s="319">
        <v>0</v>
      </c>
      <c r="DR59" s="320"/>
      <c r="DS59" s="319">
        <v>0</v>
      </c>
      <c r="DT59" s="320">
        <v>0</v>
      </c>
      <c r="DU59" s="319">
        <v>0</v>
      </c>
      <c r="DV59" s="320"/>
      <c r="DW59" s="319">
        <v>0</v>
      </c>
      <c r="DX59" s="320"/>
      <c r="DY59" s="319">
        <v>0</v>
      </c>
      <c r="DZ59" s="320">
        <v>0</v>
      </c>
      <c r="EA59" s="319">
        <v>0</v>
      </c>
      <c r="EB59" s="320"/>
      <c r="EC59" s="319">
        <v>0</v>
      </c>
      <c r="ED59" s="320"/>
      <c r="EE59" s="319">
        <v>0</v>
      </c>
      <c r="EF59" s="320">
        <v>0</v>
      </c>
      <c r="EG59" s="319">
        <v>0</v>
      </c>
      <c r="EH59" s="320"/>
      <c r="EI59" s="319">
        <v>0</v>
      </c>
      <c r="EJ59" s="320"/>
      <c r="EK59" s="319">
        <v>0</v>
      </c>
      <c r="EL59" s="320">
        <v>0</v>
      </c>
      <c r="EM59" s="319">
        <v>0</v>
      </c>
      <c r="EN59" s="320"/>
      <c r="EO59" s="319">
        <v>0</v>
      </c>
      <c r="EP59" s="320"/>
      <c r="EQ59" s="319">
        <v>0</v>
      </c>
      <c r="ER59" s="320">
        <v>0</v>
      </c>
      <c r="ES59" s="319">
        <v>0</v>
      </c>
      <c r="ET59" s="320"/>
      <c r="EU59" s="319">
        <v>0</v>
      </c>
      <c r="EV59" s="320"/>
      <c r="EW59" s="319">
        <v>0</v>
      </c>
      <c r="EX59" s="320">
        <v>0</v>
      </c>
      <c r="EY59" s="319">
        <v>0</v>
      </c>
      <c r="EZ59" s="320"/>
      <c r="FA59" s="319">
        <v>0</v>
      </c>
      <c r="FB59" s="320"/>
      <c r="FC59" s="319">
        <v>0</v>
      </c>
      <c r="FD59" s="320">
        <v>0</v>
      </c>
      <c r="FE59" s="319">
        <v>0</v>
      </c>
      <c r="FF59" s="320"/>
      <c r="FG59" s="319">
        <v>0</v>
      </c>
      <c r="FH59" s="320"/>
      <c r="FI59" s="319">
        <v>0</v>
      </c>
      <c r="FJ59" s="320">
        <v>0</v>
      </c>
      <c r="FK59" s="319">
        <v>0</v>
      </c>
      <c r="FL59" s="320"/>
      <c r="FM59" s="319">
        <v>0</v>
      </c>
      <c r="FN59" s="320"/>
      <c r="FO59" s="319">
        <v>0</v>
      </c>
      <c r="FP59" s="320">
        <v>0</v>
      </c>
      <c r="FQ59" s="319">
        <v>0</v>
      </c>
      <c r="FR59" s="320"/>
      <c r="FS59" s="319">
        <v>0</v>
      </c>
      <c r="FT59" s="320"/>
      <c r="FU59" s="319">
        <v>0</v>
      </c>
      <c r="FV59" s="320">
        <v>0</v>
      </c>
      <c r="FW59" s="319">
        <v>0</v>
      </c>
      <c r="FX59" s="320"/>
      <c r="FY59" s="319">
        <v>0</v>
      </c>
      <c r="FZ59" s="320"/>
      <c r="GA59" s="319">
        <v>0</v>
      </c>
      <c r="GB59" s="320">
        <v>0</v>
      </c>
      <c r="GC59" s="319">
        <v>0</v>
      </c>
      <c r="GD59" s="320"/>
      <c r="GE59" s="319">
        <v>0</v>
      </c>
      <c r="GF59" s="320"/>
      <c r="GG59" s="319">
        <v>0</v>
      </c>
      <c r="GH59" s="320">
        <v>0</v>
      </c>
      <c r="GI59" s="319">
        <v>0</v>
      </c>
      <c r="GJ59" s="320"/>
      <c r="GK59" s="319">
        <v>0</v>
      </c>
      <c r="GL59" s="320"/>
      <c r="GM59" s="319">
        <v>0</v>
      </c>
      <c r="GN59" s="320">
        <v>0</v>
      </c>
      <c r="GO59" s="319">
        <v>0</v>
      </c>
      <c r="GP59" s="320"/>
      <c r="GQ59" s="319">
        <v>0</v>
      </c>
      <c r="GR59" s="320"/>
      <c r="GS59" s="319">
        <v>0</v>
      </c>
      <c r="GT59" s="320">
        <v>0</v>
      </c>
      <c r="GU59" s="319">
        <v>0</v>
      </c>
      <c r="GV59" s="320"/>
      <c r="GW59" s="319">
        <v>0</v>
      </c>
      <c r="GX59" s="320"/>
      <c r="GY59" s="319">
        <v>0</v>
      </c>
      <c r="GZ59" s="320">
        <v>0</v>
      </c>
    </row>
    <row r="60" spans="1:208" s="89" customFormat="1" ht="22.5" customHeight="1" thickBot="1" x14ac:dyDescent="0.25">
      <c r="A60" s="296" t="s">
        <v>3217</v>
      </c>
      <c r="B60" s="297" t="s">
        <v>3218</v>
      </c>
      <c r="C60" s="298" t="s">
        <v>3170</v>
      </c>
      <c r="D60" s="299" t="s">
        <v>3219</v>
      </c>
      <c r="E60" s="299" t="s">
        <v>3220</v>
      </c>
      <c r="F60" s="300" t="s">
        <v>3166</v>
      </c>
      <c r="G60" s="300" t="s">
        <v>3167</v>
      </c>
      <c r="H60" s="301" t="s">
        <v>1484</v>
      </c>
      <c r="I60" s="302" t="s">
        <v>1484</v>
      </c>
      <c r="J60" s="340" t="s">
        <v>3168</v>
      </c>
      <c r="K60" s="343" t="s">
        <v>53</v>
      </c>
      <c r="L60" s="256">
        <f>CONTINUA!BV60</f>
        <v>0</v>
      </c>
      <c r="M60" s="256">
        <f>CONTINUA!BW60</f>
        <v>0</v>
      </c>
      <c r="N60" s="564"/>
      <c r="O60" s="565" t="s">
        <v>3342</v>
      </c>
      <c r="P60" s="566">
        <v>0</v>
      </c>
      <c r="Q60" s="319">
        <v>0</v>
      </c>
      <c r="R60" s="320"/>
      <c r="S60" s="319">
        <v>0</v>
      </c>
      <c r="T60" s="320"/>
      <c r="U60" s="321">
        <v>0</v>
      </c>
      <c r="V60" s="322">
        <v>0</v>
      </c>
      <c r="W60" s="319">
        <v>0</v>
      </c>
      <c r="X60" s="320"/>
      <c r="Y60" s="319">
        <v>0</v>
      </c>
      <c r="Z60" s="320"/>
      <c r="AA60" s="321">
        <v>0</v>
      </c>
      <c r="AB60" s="322">
        <v>0</v>
      </c>
      <c r="AC60" s="319">
        <v>0</v>
      </c>
      <c r="AD60" s="320"/>
      <c r="AE60" s="319">
        <v>0</v>
      </c>
      <c r="AF60" s="320"/>
      <c r="AG60" s="321">
        <v>0</v>
      </c>
      <c r="AH60" s="322">
        <v>0</v>
      </c>
      <c r="AI60" s="319">
        <v>0</v>
      </c>
      <c r="AJ60" s="320"/>
      <c r="AK60" s="319">
        <v>0</v>
      </c>
      <c r="AL60" s="320"/>
      <c r="AM60" s="321">
        <v>0</v>
      </c>
      <c r="AN60" s="322">
        <v>0</v>
      </c>
      <c r="AO60" s="319">
        <v>0</v>
      </c>
      <c r="AP60" s="320"/>
      <c r="AQ60" s="319">
        <v>0</v>
      </c>
      <c r="AR60" s="320"/>
      <c r="AS60" s="321">
        <v>0</v>
      </c>
      <c r="AT60" s="322">
        <v>0</v>
      </c>
      <c r="AU60" s="319">
        <v>0</v>
      </c>
      <c r="AV60" s="320"/>
      <c r="AW60" s="319">
        <v>0</v>
      </c>
      <c r="AX60" s="320"/>
      <c r="AY60" s="321">
        <v>0</v>
      </c>
      <c r="AZ60" s="322">
        <v>0</v>
      </c>
      <c r="BA60" s="319">
        <v>0</v>
      </c>
      <c r="BB60" s="320"/>
      <c r="BC60" s="319">
        <v>0</v>
      </c>
      <c r="BD60" s="320"/>
      <c r="BE60" s="321">
        <v>0</v>
      </c>
      <c r="BF60" s="322">
        <v>0</v>
      </c>
      <c r="BG60" s="319">
        <v>0</v>
      </c>
      <c r="BH60" s="320"/>
      <c r="BI60" s="319">
        <v>0</v>
      </c>
      <c r="BJ60" s="320"/>
      <c r="BK60" s="321">
        <v>0</v>
      </c>
      <c r="BL60" s="322">
        <v>0</v>
      </c>
      <c r="BM60" s="319">
        <v>0</v>
      </c>
      <c r="BN60" s="320"/>
      <c r="BO60" s="319">
        <v>0</v>
      </c>
      <c r="BP60" s="320"/>
      <c r="BQ60" s="321">
        <v>0</v>
      </c>
      <c r="BR60" s="322">
        <v>0</v>
      </c>
      <c r="BS60" s="319">
        <v>0</v>
      </c>
      <c r="BT60" s="320"/>
      <c r="BU60" s="319">
        <v>0</v>
      </c>
      <c r="BV60" s="320"/>
      <c r="BW60" s="321">
        <v>0</v>
      </c>
      <c r="BX60" s="322">
        <v>0</v>
      </c>
      <c r="BY60" s="319">
        <v>0</v>
      </c>
      <c r="BZ60" s="320"/>
      <c r="CA60" s="319">
        <v>0</v>
      </c>
      <c r="CB60" s="320"/>
      <c r="CC60" s="321">
        <v>0</v>
      </c>
      <c r="CD60" s="322">
        <v>0</v>
      </c>
      <c r="CE60" s="319">
        <v>0</v>
      </c>
      <c r="CF60" s="320"/>
      <c r="CG60" s="319">
        <v>0</v>
      </c>
      <c r="CH60" s="320"/>
      <c r="CI60" s="321">
        <v>0</v>
      </c>
      <c r="CJ60" s="322">
        <v>0</v>
      </c>
      <c r="CK60" s="319">
        <v>0</v>
      </c>
      <c r="CL60" s="320"/>
      <c r="CM60" s="319">
        <v>0</v>
      </c>
      <c r="CN60" s="320"/>
      <c r="CO60" s="321">
        <v>0</v>
      </c>
      <c r="CP60" s="322">
        <v>0</v>
      </c>
      <c r="CQ60" s="319">
        <v>0</v>
      </c>
      <c r="CR60" s="320"/>
      <c r="CS60" s="319">
        <v>0</v>
      </c>
      <c r="CT60" s="320"/>
      <c r="CU60" s="321">
        <v>0</v>
      </c>
      <c r="CV60" s="322">
        <v>0</v>
      </c>
      <c r="CW60" s="319">
        <v>0</v>
      </c>
      <c r="CX60" s="320"/>
      <c r="CY60" s="319">
        <v>0</v>
      </c>
      <c r="CZ60" s="320"/>
      <c r="DA60" s="321">
        <v>0</v>
      </c>
      <c r="DB60" s="322">
        <v>0</v>
      </c>
      <c r="DC60" s="319">
        <v>0</v>
      </c>
      <c r="DD60" s="320"/>
      <c r="DE60" s="319">
        <v>0</v>
      </c>
      <c r="DF60" s="320"/>
      <c r="DG60" s="321">
        <v>0</v>
      </c>
      <c r="DH60" s="322">
        <v>0</v>
      </c>
      <c r="DI60" s="319">
        <v>0</v>
      </c>
      <c r="DJ60" s="320"/>
      <c r="DK60" s="319">
        <v>0</v>
      </c>
      <c r="DL60" s="320"/>
      <c r="DM60" s="321">
        <v>0</v>
      </c>
      <c r="DN60" s="322">
        <v>0</v>
      </c>
      <c r="DO60" s="319">
        <v>0</v>
      </c>
      <c r="DP60" s="320"/>
      <c r="DQ60" s="319">
        <v>0</v>
      </c>
      <c r="DR60" s="320"/>
      <c r="DS60" s="321">
        <v>0</v>
      </c>
      <c r="DT60" s="322">
        <v>0</v>
      </c>
      <c r="DU60" s="319">
        <v>0</v>
      </c>
      <c r="DV60" s="320"/>
      <c r="DW60" s="319">
        <v>0</v>
      </c>
      <c r="DX60" s="320"/>
      <c r="DY60" s="321">
        <v>0</v>
      </c>
      <c r="DZ60" s="322">
        <v>0</v>
      </c>
      <c r="EA60" s="319">
        <v>0</v>
      </c>
      <c r="EB60" s="320"/>
      <c r="EC60" s="319">
        <v>0</v>
      </c>
      <c r="ED60" s="320"/>
      <c r="EE60" s="321">
        <v>0</v>
      </c>
      <c r="EF60" s="322">
        <v>0</v>
      </c>
      <c r="EG60" s="319">
        <v>0</v>
      </c>
      <c r="EH60" s="320"/>
      <c r="EI60" s="319">
        <v>0</v>
      </c>
      <c r="EJ60" s="320"/>
      <c r="EK60" s="321">
        <v>0</v>
      </c>
      <c r="EL60" s="322">
        <v>0</v>
      </c>
      <c r="EM60" s="319">
        <v>0</v>
      </c>
      <c r="EN60" s="320"/>
      <c r="EO60" s="319">
        <v>0</v>
      </c>
      <c r="EP60" s="320"/>
      <c r="EQ60" s="321">
        <v>0</v>
      </c>
      <c r="ER60" s="322">
        <v>0</v>
      </c>
      <c r="ES60" s="319">
        <v>0</v>
      </c>
      <c r="ET60" s="320"/>
      <c r="EU60" s="319">
        <v>0</v>
      </c>
      <c r="EV60" s="320"/>
      <c r="EW60" s="321">
        <v>0</v>
      </c>
      <c r="EX60" s="322">
        <v>0</v>
      </c>
      <c r="EY60" s="319">
        <v>0</v>
      </c>
      <c r="EZ60" s="320"/>
      <c r="FA60" s="319">
        <v>0</v>
      </c>
      <c r="FB60" s="320"/>
      <c r="FC60" s="321">
        <v>0</v>
      </c>
      <c r="FD60" s="322">
        <v>0</v>
      </c>
      <c r="FE60" s="319">
        <v>0</v>
      </c>
      <c r="FF60" s="320"/>
      <c r="FG60" s="319">
        <v>0</v>
      </c>
      <c r="FH60" s="320"/>
      <c r="FI60" s="321">
        <v>0</v>
      </c>
      <c r="FJ60" s="322">
        <v>0</v>
      </c>
      <c r="FK60" s="319">
        <v>0</v>
      </c>
      <c r="FL60" s="320"/>
      <c r="FM60" s="319">
        <v>0</v>
      </c>
      <c r="FN60" s="320"/>
      <c r="FO60" s="321">
        <v>0</v>
      </c>
      <c r="FP60" s="322">
        <v>0</v>
      </c>
      <c r="FQ60" s="319">
        <v>0</v>
      </c>
      <c r="FR60" s="320"/>
      <c r="FS60" s="319">
        <v>0</v>
      </c>
      <c r="FT60" s="320"/>
      <c r="FU60" s="321">
        <v>0</v>
      </c>
      <c r="FV60" s="322">
        <v>0</v>
      </c>
      <c r="FW60" s="319">
        <v>0</v>
      </c>
      <c r="FX60" s="320"/>
      <c r="FY60" s="319">
        <v>0</v>
      </c>
      <c r="FZ60" s="320"/>
      <c r="GA60" s="321">
        <v>0</v>
      </c>
      <c r="GB60" s="322">
        <v>0</v>
      </c>
      <c r="GC60" s="319">
        <v>0</v>
      </c>
      <c r="GD60" s="320"/>
      <c r="GE60" s="319">
        <v>0</v>
      </c>
      <c r="GF60" s="320"/>
      <c r="GG60" s="321">
        <v>0</v>
      </c>
      <c r="GH60" s="322">
        <v>0</v>
      </c>
      <c r="GI60" s="319">
        <v>0</v>
      </c>
      <c r="GJ60" s="320"/>
      <c r="GK60" s="319">
        <v>0</v>
      </c>
      <c r="GL60" s="320"/>
      <c r="GM60" s="321">
        <v>0</v>
      </c>
      <c r="GN60" s="322">
        <v>0</v>
      </c>
      <c r="GO60" s="319">
        <v>0</v>
      </c>
      <c r="GP60" s="320"/>
      <c r="GQ60" s="319">
        <v>0</v>
      </c>
      <c r="GR60" s="320"/>
      <c r="GS60" s="321">
        <v>0</v>
      </c>
      <c r="GT60" s="322">
        <v>0</v>
      </c>
      <c r="GU60" s="319">
        <v>0</v>
      </c>
      <c r="GV60" s="320"/>
      <c r="GW60" s="319">
        <v>0</v>
      </c>
      <c r="GX60" s="320"/>
      <c r="GY60" s="321">
        <v>0</v>
      </c>
      <c r="GZ60" s="322">
        <v>0</v>
      </c>
    </row>
    <row r="61" spans="1:208" s="89" customFormat="1" ht="22.5" customHeight="1" x14ac:dyDescent="0.2">
      <c r="A61" t="s">
        <v>3221</v>
      </c>
      <c r="B61" s="429" t="s">
        <v>3222</v>
      </c>
      <c r="C61" s="430">
        <v>1</v>
      </c>
      <c r="D61" s="431" t="s">
        <v>3223</v>
      </c>
      <c r="E61" s="431" t="s">
        <v>3224</v>
      </c>
      <c r="F61" s="432" t="s">
        <v>3166</v>
      </c>
      <c r="G61" s="432" t="s">
        <v>3167</v>
      </c>
      <c r="H61" s="270" t="s">
        <v>1485</v>
      </c>
      <c r="I61" s="271" t="s">
        <v>1485</v>
      </c>
      <c r="J61" s="328" t="s">
        <v>3168</v>
      </c>
      <c r="K61" s="329" t="s">
        <v>3169</v>
      </c>
      <c r="L61" s="256">
        <f>CONTINUA!BV61</f>
        <v>0</v>
      </c>
      <c r="M61" s="256">
        <f>CONTINUA!BW61</f>
        <v>0</v>
      </c>
      <c r="N61" s="564"/>
      <c r="O61" s="565" t="s">
        <v>3343</v>
      </c>
      <c r="P61" s="566">
        <v>0</v>
      </c>
      <c r="Q61" s="319">
        <v>7</v>
      </c>
      <c r="R61" s="320"/>
      <c r="S61" s="319">
        <v>0</v>
      </c>
      <c r="T61" s="320"/>
      <c r="U61" s="321">
        <v>0</v>
      </c>
      <c r="V61" s="322">
        <v>0</v>
      </c>
      <c r="W61" s="319">
        <v>7</v>
      </c>
      <c r="X61" s="320"/>
      <c r="Y61" s="319">
        <v>0</v>
      </c>
      <c r="Z61" s="320"/>
      <c r="AA61" s="321">
        <v>0</v>
      </c>
      <c r="AB61" s="322">
        <v>0</v>
      </c>
      <c r="AC61" s="319">
        <v>7</v>
      </c>
      <c r="AD61" s="320"/>
      <c r="AE61" s="319">
        <v>0</v>
      </c>
      <c r="AF61" s="320"/>
      <c r="AG61" s="321">
        <v>0</v>
      </c>
      <c r="AH61" s="322">
        <v>0</v>
      </c>
      <c r="AI61" s="319">
        <v>7</v>
      </c>
      <c r="AJ61" s="320"/>
      <c r="AK61" s="319">
        <v>0</v>
      </c>
      <c r="AL61" s="320"/>
      <c r="AM61" s="321">
        <v>0</v>
      </c>
      <c r="AN61" s="322">
        <v>0</v>
      </c>
      <c r="AO61" s="319">
        <v>7</v>
      </c>
      <c r="AP61" s="320"/>
      <c r="AQ61" s="319">
        <v>0</v>
      </c>
      <c r="AR61" s="320"/>
      <c r="AS61" s="321">
        <v>0</v>
      </c>
      <c r="AT61" s="322">
        <v>0</v>
      </c>
      <c r="AU61" s="319">
        <v>7</v>
      </c>
      <c r="AV61" s="320"/>
      <c r="AW61" s="319">
        <v>0</v>
      </c>
      <c r="AX61" s="320"/>
      <c r="AY61" s="321">
        <v>0</v>
      </c>
      <c r="AZ61" s="322">
        <v>0</v>
      </c>
      <c r="BA61" s="319">
        <v>7</v>
      </c>
      <c r="BB61" s="320"/>
      <c r="BC61" s="319">
        <v>0</v>
      </c>
      <c r="BD61" s="320"/>
      <c r="BE61" s="321">
        <v>0</v>
      </c>
      <c r="BF61" s="322">
        <v>0</v>
      </c>
      <c r="BG61" s="319">
        <v>7</v>
      </c>
      <c r="BH61" s="320"/>
      <c r="BI61" s="319">
        <v>0</v>
      </c>
      <c r="BJ61" s="320"/>
      <c r="BK61" s="321">
        <v>0</v>
      </c>
      <c r="BL61" s="322">
        <v>0</v>
      </c>
      <c r="BM61" s="319">
        <v>7</v>
      </c>
      <c r="BN61" s="320"/>
      <c r="BO61" s="319">
        <v>0</v>
      </c>
      <c r="BP61" s="320"/>
      <c r="BQ61" s="321">
        <v>0</v>
      </c>
      <c r="BR61" s="322">
        <v>0</v>
      </c>
      <c r="BS61" s="319">
        <v>7</v>
      </c>
      <c r="BT61" s="320"/>
      <c r="BU61" s="319">
        <v>0</v>
      </c>
      <c r="BV61" s="320"/>
      <c r="BW61" s="321">
        <v>0</v>
      </c>
      <c r="BX61" s="322">
        <v>0</v>
      </c>
      <c r="BY61" s="319">
        <v>7</v>
      </c>
      <c r="BZ61" s="320"/>
      <c r="CA61" s="319">
        <v>0</v>
      </c>
      <c r="CB61" s="320"/>
      <c r="CC61" s="321">
        <v>0</v>
      </c>
      <c r="CD61" s="322">
        <v>0</v>
      </c>
      <c r="CE61" s="319">
        <v>7</v>
      </c>
      <c r="CF61" s="320"/>
      <c r="CG61" s="319">
        <v>0</v>
      </c>
      <c r="CH61" s="320"/>
      <c r="CI61" s="321">
        <v>0</v>
      </c>
      <c r="CJ61" s="322">
        <v>0</v>
      </c>
      <c r="CK61" s="319">
        <v>7</v>
      </c>
      <c r="CL61" s="320"/>
      <c r="CM61" s="319">
        <v>0</v>
      </c>
      <c r="CN61" s="320"/>
      <c r="CO61" s="321">
        <v>0</v>
      </c>
      <c r="CP61" s="322">
        <v>0</v>
      </c>
      <c r="CQ61" s="319">
        <v>7</v>
      </c>
      <c r="CR61" s="320"/>
      <c r="CS61" s="319">
        <v>0</v>
      </c>
      <c r="CT61" s="320"/>
      <c r="CU61" s="321">
        <v>0</v>
      </c>
      <c r="CV61" s="322">
        <v>0</v>
      </c>
      <c r="CW61" s="319">
        <v>7</v>
      </c>
      <c r="CX61" s="320"/>
      <c r="CY61" s="319">
        <v>0</v>
      </c>
      <c r="CZ61" s="320"/>
      <c r="DA61" s="321">
        <v>0</v>
      </c>
      <c r="DB61" s="322">
        <v>0</v>
      </c>
      <c r="DC61" s="319">
        <v>7</v>
      </c>
      <c r="DD61" s="320"/>
      <c r="DE61" s="319">
        <v>0</v>
      </c>
      <c r="DF61" s="320"/>
      <c r="DG61" s="321">
        <v>0</v>
      </c>
      <c r="DH61" s="322">
        <v>0</v>
      </c>
      <c r="DI61" s="319">
        <v>7</v>
      </c>
      <c r="DJ61" s="320"/>
      <c r="DK61" s="319">
        <v>0</v>
      </c>
      <c r="DL61" s="320"/>
      <c r="DM61" s="321">
        <v>0</v>
      </c>
      <c r="DN61" s="322">
        <v>0</v>
      </c>
      <c r="DO61" s="319">
        <v>7</v>
      </c>
      <c r="DP61" s="320"/>
      <c r="DQ61" s="319">
        <v>0</v>
      </c>
      <c r="DR61" s="320"/>
      <c r="DS61" s="321">
        <v>0</v>
      </c>
      <c r="DT61" s="322">
        <v>0</v>
      </c>
      <c r="DU61" s="319">
        <v>7</v>
      </c>
      <c r="DV61" s="320"/>
      <c r="DW61" s="319">
        <v>0</v>
      </c>
      <c r="DX61" s="320"/>
      <c r="DY61" s="321">
        <v>0</v>
      </c>
      <c r="DZ61" s="322">
        <v>0</v>
      </c>
      <c r="EA61" s="319">
        <v>7</v>
      </c>
      <c r="EB61" s="320"/>
      <c r="EC61" s="319">
        <v>0</v>
      </c>
      <c r="ED61" s="320"/>
      <c r="EE61" s="321">
        <v>0</v>
      </c>
      <c r="EF61" s="322">
        <v>0</v>
      </c>
      <c r="EG61" s="319">
        <v>7</v>
      </c>
      <c r="EH61" s="320"/>
      <c r="EI61" s="319">
        <v>0</v>
      </c>
      <c r="EJ61" s="320"/>
      <c r="EK61" s="321">
        <v>0</v>
      </c>
      <c r="EL61" s="322">
        <v>0</v>
      </c>
      <c r="EM61" s="319">
        <v>7</v>
      </c>
      <c r="EN61" s="320"/>
      <c r="EO61" s="319">
        <v>0</v>
      </c>
      <c r="EP61" s="320"/>
      <c r="EQ61" s="321">
        <v>0</v>
      </c>
      <c r="ER61" s="322">
        <v>0</v>
      </c>
      <c r="ES61" s="319">
        <v>7</v>
      </c>
      <c r="ET61" s="320"/>
      <c r="EU61" s="319">
        <v>0</v>
      </c>
      <c r="EV61" s="320"/>
      <c r="EW61" s="321">
        <v>0</v>
      </c>
      <c r="EX61" s="322">
        <v>0</v>
      </c>
      <c r="EY61" s="319">
        <v>7</v>
      </c>
      <c r="EZ61" s="320"/>
      <c r="FA61" s="319">
        <v>0</v>
      </c>
      <c r="FB61" s="320"/>
      <c r="FC61" s="321">
        <v>0</v>
      </c>
      <c r="FD61" s="322">
        <v>0</v>
      </c>
      <c r="FE61" s="319">
        <v>7</v>
      </c>
      <c r="FF61" s="320"/>
      <c r="FG61" s="319">
        <v>0</v>
      </c>
      <c r="FH61" s="320"/>
      <c r="FI61" s="321">
        <v>0</v>
      </c>
      <c r="FJ61" s="322">
        <v>0</v>
      </c>
      <c r="FK61" s="319">
        <v>7</v>
      </c>
      <c r="FL61" s="320"/>
      <c r="FM61" s="319">
        <v>0</v>
      </c>
      <c r="FN61" s="320"/>
      <c r="FO61" s="321">
        <v>0</v>
      </c>
      <c r="FP61" s="322">
        <v>0</v>
      </c>
      <c r="FQ61" s="319">
        <v>7</v>
      </c>
      <c r="FR61" s="320"/>
      <c r="FS61" s="319">
        <v>0</v>
      </c>
      <c r="FT61" s="320"/>
      <c r="FU61" s="321">
        <v>0</v>
      </c>
      <c r="FV61" s="322">
        <v>0</v>
      </c>
      <c r="FW61" s="319">
        <v>7</v>
      </c>
      <c r="FX61" s="320"/>
      <c r="FY61" s="319">
        <v>0</v>
      </c>
      <c r="FZ61" s="320"/>
      <c r="GA61" s="321">
        <v>0</v>
      </c>
      <c r="GB61" s="322">
        <v>0</v>
      </c>
      <c r="GC61" s="319">
        <v>7</v>
      </c>
      <c r="GD61" s="320"/>
      <c r="GE61" s="319">
        <v>0</v>
      </c>
      <c r="GF61" s="320"/>
      <c r="GG61" s="321">
        <v>0</v>
      </c>
      <c r="GH61" s="322">
        <v>0</v>
      </c>
      <c r="GI61" s="319">
        <v>7</v>
      </c>
      <c r="GJ61" s="320"/>
      <c r="GK61" s="319">
        <v>0</v>
      </c>
      <c r="GL61" s="320"/>
      <c r="GM61" s="321">
        <v>0</v>
      </c>
      <c r="GN61" s="322">
        <v>0</v>
      </c>
      <c r="GO61" s="319">
        <v>7</v>
      </c>
      <c r="GP61" s="320"/>
      <c r="GQ61" s="319">
        <v>0</v>
      </c>
      <c r="GR61" s="320"/>
      <c r="GS61" s="321">
        <v>0</v>
      </c>
      <c r="GT61" s="322">
        <v>0</v>
      </c>
      <c r="GU61" s="319">
        <v>7</v>
      </c>
      <c r="GV61" s="320"/>
      <c r="GW61" s="319">
        <v>0</v>
      </c>
      <c r="GX61" s="320"/>
      <c r="GY61" s="321">
        <v>0</v>
      </c>
      <c r="GZ61" s="322">
        <v>0</v>
      </c>
    </row>
    <row r="62" spans="1:208" s="89" customFormat="1" ht="22.5" customHeight="1" x14ac:dyDescent="0.2">
      <c r="A62" s="287" t="s">
        <v>3221</v>
      </c>
      <c r="B62" s="288" t="s">
        <v>3222</v>
      </c>
      <c r="C62" s="289" t="s">
        <v>3170</v>
      </c>
      <c r="D62" s="290" t="s">
        <v>3223</v>
      </c>
      <c r="E62" s="290" t="s">
        <v>3224</v>
      </c>
      <c r="F62" s="291" t="s">
        <v>3166</v>
      </c>
      <c r="G62" s="291" t="s">
        <v>3167</v>
      </c>
      <c r="H62" s="292" t="s">
        <v>1485</v>
      </c>
      <c r="I62" s="293" t="s">
        <v>1485</v>
      </c>
      <c r="J62" s="340" t="s">
        <v>3168</v>
      </c>
      <c r="K62" s="340" t="s">
        <v>3171</v>
      </c>
      <c r="L62" s="256">
        <f>CONTINUA!BV62</f>
        <v>0</v>
      </c>
      <c r="M62" s="256">
        <f>CONTINUA!BW62</f>
        <v>0</v>
      </c>
      <c r="N62" s="564"/>
      <c r="O62" s="565" t="s">
        <v>3343</v>
      </c>
      <c r="P62" s="566">
        <v>0</v>
      </c>
      <c r="Q62" s="319">
        <v>32</v>
      </c>
      <c r="R62" s="320"/>
      <c r="S62" s="319">
        <v>2</v>
      </c>
      <c r="T62" s="320"/>
      <c r="U62" s="319">
        <v>0</v>
      </c>
      <c r="V62" s="320">
        <v>0</v>
      </c>
      <c r="W62" s="319">
        <v>32</v>
      </c>
      <c r="X62" s="320"/>
      <c r="Y62" s="319">
        <v>2</v>
      </c>
      <c r="Z62" s="320"/>
      <c r="AA62" s="319">
        <v>0</v>
      </c>
      <c r="AB62" s="320">
        <v>0</v>
      </c>
      <c r="AC62" s="319">
        <v>32</v>
      </c>
      <c r="AD62" s="320"/>
      <c r="AE62" s="319">
        <v>2</v>
      </c>
      <c r="AF62" s="320"/>
      <c r="AG62" s="319">
        <v>0</v>
      </c>
      <c r="AH62" s="320">
        <v>0</v>
      </c>
      <c r="AI62" s="319">
        <v>32</v>
      </c>
      <c r="AJ62" s="320"/>
      <c r="AK62" s="319">
        <v>2</v>
      </c>
      <c r="AL62" s="320"/>
      <c r="AM62" s="319">
        <v>0</v>
      </c>
      <c r="AN62" s="320">
        <v>0</v>
      </c>
      <c r="AO62" s="319">
        <v>32</v>
      </c>
      <c r="AP62" s="320"/>
      <c r="AQ62" s="319">
        <v>2</v>
      </c>
      <c r="AR62" s="320"/>
      <c r="AS62" s="319">
        <v>0</v>
      </c>
      <c r="AT62" s="320">
        <v>0</v>
      </c>
      <c r="AU62" s="319">
        <v>32</v>
      </c>
      <c r="AV62" s="320"/>
      <c r="AW62" s="319">
        <v>2</v>
      </c>
      <c r="AX62" s="320"/>
      <c r="AY62" s="319">
        <v>0</v>
      </c>
      <c r="AZ62" s="320">
        <v>0</v>
      </c>
      <c r="BA62" s="319">
        <v>32</v>
      </c>
      <c r="BB62" s="320"/>
      <c r="BC62" s="319">
        <v>2</v>
      </c>
      <c r="BD62" s="320"/>
      <c r="BE62" s="319">
        <v>0</v>
      </c>
      <c r="BF62" s="320">
        <v>0</v>
      </c>
      <c r="BG62" s="319">
        <v>32</v>
      </c>
      <c r="BH62" s="320"/>
      <c r="BI62" s="319">
        <v>2</v>
      </c>
      <c r="BJ62" s="320"/>
      <c r="BK62" s="319">
        <v>0</v>
      </c>
      <c r="BL62" s="320">
        <v>0</v>
      </c>
      <c r="BM62" s="319">
        <v>32</v>
      </c>
      <c r="BN62" s="320"/>
      <c r="BO62" s="319">
        <v>2</v>
      </c>
      <c r="BP62" s="320"/>
      <c r="BQ62" s="319">
        <v>0</v>
      </c>
      <c r="BR62" s="320">
        <v>0</v>
      </c>
      <c r="BS62" s="319">
        <v>32</v>
      </c>
      <c r="BT62" s="320"/>
      <c r="BU62" s="319">
        <v>2</v>
      </c>
      <c r="BV62" s="320"/>
      <c r="BW62" s="319">
        <v>0</v>
      </c>
      <c r="BX62" s="320">
        <v>0</v>
      </c>
      <c r="BY62" s="319">
        <v>32</v>
      </c>
      <c r="BZ62" s="320"/>
      <c r="CA62" s="319">
        <v>2</v>
      </c>
      <c r="CB62" s="320"/>
      <c r="CC62" s="319">
        <v>0</v>
      </c>
      <c r="CD62" s="320">
        <v>0</v>
      </c>
      <c r="CE62" s="319">
        <v>32</v>
      </c>
      <c r="CF62" s="320"/>
      <c r="CG62" s="319">
        <v>2</v>
      </c>
      <c r="CH62" s="320"/>
      <c r="CI62" s="319">
        <v>0</v>
      </c>
      <c r="CJ62" s="320">
        <v>0</v>
      </c>
      <c r="CK62" s="319">
        <v>32</v>
      </c>
      <c r="CL62" s="320"/>
      <c r="CM62" s="319">
        <v>2</v>
      </c>
      <c r="CN62" s="320"/>
      <c r="CO62" s="319">
        <v>0</v>
      </c>
      <c r="CP62" s="320">
        <v>0</v>
      </c>
      <c r="CQ62" s="319">
        <v>32</v>
      </c>
      <c r="CR62" s="320"/>
      <c r="CS62" s="319">
        <v>2</v>
      </c>
      <c r="CT62" s="320"/>
      <c r="CU62" s="319">
        <v>0</v>
      </c>
      <c r="CV62" s="320">
        <v>0</v>
      </c>
      <c r="CW62" s="319">
        <v>32</v>
      </c>
      <c r="CX62" s="320"/>
      <c r="CY62" s="319">
        <v>2</v>
      </c>
      <c r="CZ62" s="320"/>
      <c r="DA62" s="319">
        <v>0</v>
      </c>
      <c r="DB62" s="320">
        <v>0</v>
      </c>
      <c r="DC62" s="319">
        <v>32</v>
      </c>
      <c r="DD62" s="320"/>
      <c r="DE62" s="319">
        <v>2</v>
      </c>
      <c r="DF62" s="320"/>
      <c r="DG62" s="319">
        <v>0</v>
      </c>
      <c r="DH62" s="320">
        <v>0</v>
      </c>
      <c r="DI62" s="319">
        <v>32</v>
      </c>
      <c r="DJ62" s="320"/>
      <c r="DK62" s="319">
        <v>2</v>
      </c>
      <c r="DL62" s="320"/>
      <c r="DM62" s="319">
        <v>0</v>
      </c>
      <c r="DN62" s="320">
        <v>0</v>
      </c>
      <c r="DO62" s="319">
        <v>32</v>
      </c>
      <c r="DP62" s="320"/>
      <c r="DQ62" s="319">
        <v>2</v>
      </c>
      <c r="DR62" s="320"/>
      <c r="DS62" s="319">
        <v>0</v>
      </c>
      <c r="DT62" s="320">
        <v>0</v>
      </c>
      <c r="DU62" s="319">
        <v>32</v>
      </c>
      <c r="DV62" s="320"/>
      <c r="DW62" s="319">
        <v>2</v>
      </c>
      <c r="DX62" s="320"/>
      <c r="DY62" s="319">
        <v>0</v>
      </c>
      <c r="DZ62" s="320">
        <v>0</v>
      </c>
      <c r="EA62" s="319">
        <v>32</v>
      </c>
      <c r="EB62" s="320"/>
      <c r="EC62" s="319">
        <v>2</v>
      </c>
      <c r="ED62" s="320"/>
      <c r="EE62" s="319">
        <v>0</v>
      </c>
      <c r="EF62" s="320">
        <v>0</v>
      </c>
      <c r="EG62" s="319">
        <v>32</v>
      </c>
      <c r="EH62" s="320"/>
      <c r="EI62" s="319">
        <v>2</v>
      </c>
      <c r="EJ62" s="320"/>
      <c r="EK62" s="319">
        <v>0</v>
      </c>
      <c r="EL62" s="320">
        <v>0</v>
      </c>
      <c r="EM62" s="319">
        <v>32</v>
      </c>
      <c r="EN62" s="320"/>
      <c r="EO62" s="319">
        <v>2</v>
      </c>
      <c r="EP62" s="320"/>
      <c r="EQ62" s="319">
        <v>0</v>
      </c>
      <c r="ER62" s="320">
        <v>0</v>
      </c>
      <c r="ES62" s="319">
        <v>32</v>
      </c>
      <c r="ET62" s="320"/>
      <c r="EU62" s="319">
        <v>2</v>
      </c>
      <c r="EV62" s="320"/>
      <c r="EW62" s="319">
        <v>0</v>
      </c>
      <c r="EX62" s="320">
        <v>0</v>
      </c>
      <c r="EY62" s="319">
        <v>32</v>
      </c>
      <c r="EZ62" s="320"/>
      <c r="FA62" s="319">
        <v>2</v>
      </c>
      <c r="FB62" s="320"/>
      <c r="FC62" s="319">
        <v>0</v>
      </c>
      <c r="FD62" s="320">
        <v>0</v>
      </c>
      <c r="FE62" s="319">
        <v>32</v>
      </c>
      <c r="FF62" s="320"/>
      <c r="FG62" s="319">
        <v>2</v>
      </c>
      <c r="FH62" s="320"/>
      <c r="FI62" s="319">
        <v>0</v>
      </c>
      <c r="FJ62" s="320">
        <v>0</v>
      </c>
      <c r="FK62" s="319">
        <v>32</v>
      </c>
      <c r="FL62" s="320"/>
      <c r="FM62" s="319">
        <v>2</v>
      </c>
      <c r="FN62" s="320"/>
      <c r="FO62" s="319">
        <v>0</v>
      </c>
      <c r="FP62" s="320">
        <v>0</v>
      </c>
      <c r="FQ62" s="319">
        <v>32</v>
      </c>
      <c r="FR62" s="320"/>
      <c r="FS62" s="319">
        <v>2</v>
      </c>
      <c r="FT62" s="320"/>
      <c r="FU62" s="319">
        <v>0</v>
      </c>
      <c r="FV62" s="320">
        <v>0</v>
      </c>
      <c r="FW62" s="319">
        <v>32</v>
      </c>
      <c r="FX62" s="320"/>
      <c r="FY62" s="319">
        <v>2</v>
      </c>
      <c r="FZ62" s="320"/>
      <c r="GA62" s="319">
        <v>0</v>
      </c>
      <c r="GB62" s="320">
        <v>0</v>
      </c>
      <c r="GC62" s="319">
        <v>32</v>
      </c>
      <c r="GD62" s="320"/>
      <c r="GE62" s="319">
        <v>2</v>
      </c>
      <c r="GF62" s="320"/>
      <c r="GG62" s="319">
        <v>0</v>
      </c>
      <c r="GH62" s="320">
        <v>0</v>
      </c>
      <c r="GI62" s="319">
        <v>32</v>
      </c>
      <c r="GJ62" s="320"/>
      <c r="GK62" s="319">
        <v>2</v>
      </c>
      <c r="GL62" s="320"/>
      <c r="GM62" s="319">
        <v>0</v>
      </c>
      <c r="GN62" s="320">
        <v>0</v>
      </c>
      <c r="GO62" s="319">
        <v>32</v>
      </c>
      <c r="GP62" s="320"/>
      <c r="GQ62" s="319">
        <v>2</v>
      </c>
      <c r="GR62" s="320"/>
      <c r="GS62" s="319">
        <v>0</v>
      </c>
      <c r="GT62" s="320">
        <v>0</v>
      </c>
      <c r="GU62" s="319">
        <v>32</v>
      </c>
      <c r="GV62" s="320"/>
      <c r="GW62" s="319">
        <v>2</v>
      </c>
      <c r="GX62" s="320"/>
      <c r="GY62" s="319">
        <v>0</v>
      </c>
      <c r="GZ62" s="320">
        <v>0</v>
      </c>
    </row>
    <row r="63" spans="1:208" s="89" customFormat="1" ht="22.5" customHeight="1" x14ac:dyDescent="0.2">
      <c r="A63" s="287" t="s">
        <v>3221</v>
      </c>
      <c r="B63" s="288" t="s">
        <v>3222</v>
      </c>
      <c r="C63" s="294" t="s">
        <v>3170</v>
      </c>
      <c r="D63" s="290" t="s">
        <v>3223</v>
      </c>
      <c r="E63" s="290" t="s">
        <v>3224</v>
      </c>
      <c r="F63" s="295" t="s">
        <v>3166</v>
      </c>
      <c r="G63" s="295" t="s">
        <v>3167</v>
      </c>
      <c r="H63" s="292" t="s">
        <v>1485</v>
      </c>
      <c r="I63" s="293" t="s">
        <v>1485</v>
      </c>
      <c r="J63" s="340" t="s">
        <v>3168</v>
      </c>
      <c r="K63" s="341" t="s">
        <v>3172</v>
      </c>
      <c r="L63" s="256">
        <f>CONTINUA!BV63</f>
        <v>0</v>
      </c>
      <c r="M63" s="256">
        <f>CONTINUA!BW63</f>
        <v>0</v>
      </c>
      <c r="N63" s="564"/>
      <c r="O63" s="565" t="s">
        <v>3343</v>
      </c>
      <c r="P63" s="566">
        <v>0</v>
      </c>
      <c r="Q63" s="319">
        <v>0</v>
      </c>
      <c r="R63" s="320"/>
      <c r="S63" s="319">
        <v>0</v>
      </c>
      <c r="T63" s="320"/>
      <c r="U63" s="319">
        <v>0</v>
      </c>
      <c r="V63" s="320">
        <v>0</v>
      </c>
      <c r="W63" s="319">
        <v>0</v>
      </c>
      <c r="X63" s="320"/>
      <c r="Y63" s="319">
        <v>0</v>
      </c>
      <c r="Z63" s="320"/>
      <c r="AA63" s="319">
        <v>0</v>
      </c>
      <c r="AB63" s="320">
        <v>0</v>
      </c>
      <c r="AC63" s="319">
        <v>0</v>
      </c>
      <c r="AD63" s="320"/>
      <c r="AE63" s="319">
        <v>0</v>
      </c>
      <c r="AF63" s="320"/>
      <c r="AG63" s="319">
        <v>0</v>
      </c>
      <c r="AH63" s="320">
        <v>0</v>
      </c>
      <c r="AI63" s="319">
        <v>0</v>
      </c>
      <c r="AJ63" s="320"/>
      <c r="AK63" s="319">
        <v>0</v>
      </c>
      <c r="AL63" s="320"/>
      <c r="AM63" s="319">
        <v>0</v>
      </c>
      <c r="AN63" s="320">
        <v>0</v>
      </c>
      <c r="AO63" s="319">
        <v>0</v>
      </c>
      <c r="AP63" s="320"/>
      <c r="AQ63" s="319">
        <v>0</v>
      </c>
      <c r="AR63" s="320"/>
      <c r="AS63" s="319">
        <v>0</v>
      </c>
      <c r="AT63" s="320">
        <v>0</v>
      </c>
      <c r="AU63" s="319">
        <v>0</v>
      </c>
      <c r="AV63" s="320"/>
      <c r="AW63" s="319">
        <v>0</v>
      </c>
      <c r="AX63" s="320"/>
      <c r="AY63" s="319">
        <v>0</v>
      </c>
      <c r="AZ63" s="320">
        <v>0</v>
      </c>
      <c r="BA63" s="319">
        <v>0</v>
      </c>
      <c r="BB63" s="320"/>
      <c r="BC63" s="319">
        <v>0</v>
      </c>
      <c r="BD63" s="320"/>
      <c r="BE63" s="319">
        <v>0</v>
      </c>
      <c r="BF63" s="320">
        <v>0</v>
      </c>
      <c r="BG63" s="319">
        <v>0</v>
      </c>
      <c r="BH63" s="320"/>
      <c r="BI63" s="319">
        <v>0</v>
      </c>
      <c r="BJ63" s="320"/>
      <c r="BK63" s="319">
        <v>0</v>
      </c>
      <c r="BL63" s="320">
        <v>0</v>
      </c>
      <c r="BM63" s="319">
        <v>0</v>
      </c>
      <c r="BN63" s="320"/>
      <c r="BO63" s="319">
        <v>0</v>
      </c>
      <c r="BP63" s="320"/>
      <c r="BQ63" s="319">
        <v>0</v>
      </c>
      <c r="BR63" s="320">
        <v>0</v>
      </c>
      <c r="BS63" s="319">
        <v>0</v>
      </c>
      <c r="BT63" s="320"/>
      <c r="BU63" s="319">
        <v>0</v>
      </c>
      <c r="BV63" s="320"/>
      <c r="BW63" s="319">
        <v>0</v>
      </c>
      <c r="BX63" s="320">
        <v>0</v>
      </c>
      <c r="BY63" s="319">
        <v>0</v>
      </c>
      <c r="BZ63" s="320"/>
      <c r="CA63" s="319">
        <v>0</v>
      </c>
      <c r="CB63" s="320"/>
      <c r="CC63" s="319">
        <v>0</v>
      </c>
      <c r="CD63" s="320">
        <v>0</v>
      </c>
      <c r="CE63" s="319">
        <v>0</v>
      </c>
      <c r="CF63" s="320"/>
      <c r="CG63" s="319">
        <v>0</v>
      </c>
      <c r="CH63" s="320"/>
      <c r="CI63" s="319">
        <v>0</v>
      </c>
      <c r="CJ63" s="320">
        <v>0</v>
      </c>
      <c r="CK63" s="319">
        <v>0</v>
      </c>
      <c r="CL63" s="320"/>
      <c r="CM63" s="319">
        <v>0</v>
      </c>
      <c r="CN63" s="320"/>
      <c r="CO63" s="319">
        <v>0</v>
      </c>
      <c r="CP63" s="320">
        <v>0</v>
      </c>
      <c r="CQ63" s="319">
        <v>0</v>
      </c>
      <c r="CR63" s="320"/>
      <c r="CS63" s="319">
        <v>0</v>
      </c>
      <c r="CT63" s="320"/>
      <c r="CU63" s="319">
        <v>0</v>
      </c>
      <c r="CV63" s="320">
        <v>0</v>
      </c>
      <c r="CW63" s="319">
        <v>0</v>
      </c>
      <c r="CX63" s="320"/>
      <c r="CY63" s="319">
        <v>0</v>
      </c>
      <c r="CZ63" s="320"/>
      <c r="DA63" s="319">
        <v>0</v>
      </c>
      <c r="DB63" s="320">
        <v>0</v>
      </c>
      <c r="DC63" s="319">
        <v>0</v>
      </c>
      <c r="DD63" s="320"/>
      <c r="DE63" s="319">
        <v>0</v>
      </c>
      <c r="DF63" s="320"/>
      <c r="DG63" s="319">
        <v>0</v>
      </c>
      <c r="DH63" s="320">
        <v>0</v>
      </c>
      <c r="DI63" s="319">
        <v>0</v>
      </c>
      <c r="DJ63" s="320"/>
      <c r="DK63" s="319">
        <v>0</v>
      </c>
      <c r="DL63" s="320"/>
      <c r="DM63" s="319">
        <v>0</v>
      </c>
      <c r="DN63" s="320">
        <v>0</v>
      </c>
      <c r="DO63" s="319">
        <v>0</v>
      </c>
      <c r="DP63" s="320"/>
      <c r="DQ63" s="319">
        <v>0</v>
      </c>
      <c r="DR63" s="320"/>
      <c r="DS63" s="319">
        <v>0</v>
      </c>
      <c r="DT63" s="320">
        <v>0</v>
      </c>
      <c r="DU63" s="319">
        <v>0</v>
      </c>
      <c r="DV63" s="320"/>
      <c r="DW63" s="319">
        <v>0</v>
      </c>
      <c r="DX63" s="320"/>
      <c r="DY63" s="319">
        <v>0</v>
      </c>
      <c r="DZ63" s="320">
        <v>0</v>
      </c>
      <c r="EA63" s="319">
        <v>0</v>
      </c>
      <c r="EB63" s="320"/>
      <c r="EC63" s="319">
        <v>0</v>
      </c>
      <c r="ED63" s="320"/>
      <c r="EE63" s="319">
        <v>0</v>
      </c>
      <c r="EF63" s="320">
        <v>0</v>
      </c>
      <c r="EG63" s="319">
        <v>0</v>
      </c>
      <c r="EH63" s="320"/>
      <c r="EI63" s="319">
        <v>0</v>
      </c>
      <c r="EJ63" s="320"/>
      <c r="EK63" s="319">
        <v>0</v>
      </c>
      <c r="EL63" s="320">
        <v>0</v>
      </c>
      <c r="EM63" s="319">
        <v>0</v>
      </c>
      <c r="EN63" s="320"/>
      <c r="EO63" s="319">
        <v>0</v>
      </c>
      <c r="EP63" s="320"/>
      <c r="EQ63" s="319">
        <v>0</v>
      </c>
      <c r="ER63" s="320">
        <v>0</v>
      </c>
      <c r="ES63" s="319">
        <v>0</v>
      </c>
      <c r="ET63" s="320"/>
      <c r="EU63" s="319">
        <v>0</v>
      </c>
      <c r="EV63" s="320"/>
      <c r="EW63" s="319">
        <v>0</v>
      </c>
      <c r="EX63" s="320">
        <v>0</v>
      </c>
      <c r="EY63" s="319">
        <v>0</v>
      </c>
      <c r="EZ63" s="320"/>
      <c r="FA63" s="319">
        <v>0</v>
      </c>
      <c r="FB63" s="320"/>
      <c r="FC63" s="319">
        <v>0</v>
      </c>
      <c r="FD63" s="320">
        <v>0</v>
      </c>
      <c r="FE63" s="319">
        <v>0</v>
      </c>
      <c r="FF63" s="320"/>
      <c r="FG63" s="319">
        <v>0</v>
      </c>
      <c r="FH63" s="320"/>
      <c r="FI63" s="319">
        <v>0</v>
      </c>
      <c r="FJ63" s="320">
        <v>0</v>
      </c>
      <c r="FK63" s="319">
        <v>0</v>
      </c>
      <c r="FL63" s="320"/>
      <c r="FM63" s="319">
        <v>0</v>
      </c>
      <c r="FN63" s="320"/>
      <c r="FO63" s="319">
        <v>0</v>
      </c>
      <c r="FP63" s="320">
        <v>0</v>
      </c>
      <c r="FQ63" s="319">
        <v>0</v>
      </c>
      <c r="FR63" s="320"/>
      <c r="FS63" s="319">
        <v>0</v>
      </c>
      <c r="FT63" s="320"/>
      <c r="FU63" s="319">
        <v>0</v>
      </c>
      <c r="FV63" s="320">
        <v>0</v>
      </c>
      <c r="FW63" s="319">
        <v>0</v>
      </c>
      <c r="FX63" s="320"/>
      <c r="FY63" s="319">
        <v>0</v>
      </c>
      <c r="FZ63" s="320"/>
      <c r="GA63" s="319">
        <v>0</v>
      </c>
      <c r="GB63" s="320">
        <v>0</v>
      </c>
      <c r="GC63" s="319">
        <v>0</v>
      </c>
      <c r="GD63" s="320"/>
      <c r="GE63" s="319">
        <v>0</v>
      </c>
      <c r="GF63" s="320"/>
      <c r="GG63" s="319">
        <v>0</v>
      </c>
      <c r="GH63" s="320">
        <v>0</v>
      </c>
      <c r="GI63" s="319">
        <v>0</v>
      </c>
      <c r="GJ63" s="320"/>
      <c r="GK63" s="319">
        <v>0</v>
      </c>
      <c r="GL63" s="320"/>
      <c r="GM63" s="319">
        <v>0</v>
      </c>
      <c r="GN63" s="320">
        <v>0</v>
      </c>
      <c r="GO63" s="319">
        <v>0</v>
      </c>
      <c r="GP63" s="320"/>
      <c r="GQ63" s="319">
        <v>0</v>
      </c>
      <c r="GR63" s="320"/>
      <c r="GS63" s="319">
        <v>0</v>
      </c>
      <c r="GT63" s="320">
        <v>0</v>
      </c>
      <c r="GU63" s="319">
        <v>0</v>
      </c>
      <c r="GV63" s="320"/>
      <c r="GW63" s="319">
        <v>0</v>
      </c>
      <c r="GX63" s="320"/>
      <c r="GY63" s="319">
        <v>0</v>
      </c>
      <c r="GZ63" s="320">
        <v>0</v>
      </c>
    </row>
    <row r="64" spans="1:208" s="89" customFormat="1" ht="22.5" customHeight="1" x14ac:dyDescent="0.2">
      <c r="A64" s="287" t="s">
        <v>3221</v>
      </c>
      <c r="B64" s="288" t="s">
        <v>3222</v>
      </c>
      <c r="C64" s="294" t="s">
        <v>3170</v>
      </c>
      <c r="D64" s="290" t="s">
        <v>3223</v>
      </c>
      <c r="E64" s="290" t="s">
        <v>3224</v>
      </c>
      <c r="F64" s="295" t="s">
        <v>3166</v>
      </c>
      <c r="G64" s="295" t="s">
        <v>3167</v>
      </c>
      <c r="H64" s="292" t="s">
        <v>1485</v>
      </c>
      <c r="I64" s="293" t="s">
        <v>1485</v>
      </c>
      <c r="J64" s="340" t="s">
        <v>3168</v>
      </c>
      <c r="K64" s="342" t="s">
        <v>3173</v>
      </c>
      <c r="L64" s="256">
        <f>CONTINUA!BV64</f>
        <v>0</v>
      </c>
      <c r="M64" s="256">
        <f>CONTINUA!BW64</f>
        <v>0</v>
      </c>
      <c r="N64" s="564"/>
      <c r="O64" s="565" t="s">
        <v>3343</v>
      </c>
      <c r="P64" s="566">
        <v>0</v>
      </c>
      <c r="Q64" s="319">
        <v>0</v>
      </c>
      <c r="R64" s="320"/>
      <c r="S64" s="319">
        <v>0</v>
      </c>
      <c r="T64" s="320"/>
      <c r="U64" s="319">
        <v>0</v>
      </c>
      <c r="V64" s="320">
        <v>0</v>
      </c>
      <c r="W64" s="319">
        <v>0</v>
      </c>
      <c r="X64" s="320"/>
      <c r="Y64" s="319">
        <v>0</v>
      </c>
      <c r="Z64" s="320"/>
      <c r="AA64" s="319">
        <v>0</v>
      </c>
      <c r="AB64" s="320">
        <v>0</v>
      </c>
      <c r="AC64" s="319">
        <v>0</v>
      </c>
      <c r="AD64" s="320"/>
      <c r="AE64" s="319">
        <v>0</v>
      </c>
      <c r="AF64" s="320"/>
      <c r="AG64" s="319">
        <v>0</v>
      </c>
      <c r="AH64" s="320">
        <v>0</v>
      </c>
      <c r="AI64" s="319">
        <v>0</v>
      </c>
      <c r="AJ64" s="320"/>
      <c r="AK64" s="319">
        <v>0</v>
      </c>
      <c r="AL64" s="320"/>
      <c r="AM64" s="319">
        <v>0</v>
      </c>
      <c r="AN64" s="320">
        <v>0</v>
      </c>
      <c r="AO64" s="319">
        <v>0</v>
      </c>
      <c r="AP64" s="320"/>
      <c r="AQ64" s="319">
        <v>0</v>
      </c>
      <c r="AR64" s="320"/>
      <c r="AS64" s="319">
        <v>0</v>
      </c>
      <c r="AT64" s="320">
        <v>0</v>
      </c>
      <c r="AU64" s="319">
        <v>0</v>
      </c>
      <c r="AV64" s="320"/>
      <c r="AW64" s="319">
        <v>0</v>
      </c>
      <c r="AX64" s="320"/>
      <c r="AY64" s="319">
        <v>0</v>
      </c>
      <c r="AZ64" s="320">
        <v>0</v>
      </c>
      <c r="BA64" s="319">
        <v>0</v>
      </c>
      <c r="BB64" s="320"/>
      <c r="BC64" s="319">
        <v>0</v>
      </c>
      <c r="BD64" s="320"/>
      <c r="BE64" s="319">
        <v>0</v>
      </c>
      <c r="BF64" s="320">
        <v>0</v>
      </c>
      <c r="BG64" s="319">
        <v>0</v>
      </c>
      <c r="BH64" s="320"/>
      <c r="BI64" s="319">
        <v>0</v>
      </c>
      <c r="BJ64" s="320"/>
      <c r="BK64" s="319">
        <v>0</v>
      </c>
      <c r="BL64" s="320">
        <v>0</v>
      </c>
      <c r="BM64" s="319">
        <v>0</v>
      </c>
      <c r="BN64" s="320"/>
      <c r="BO64" s="319">
        <v>0</v>
      </c>
      <c r="BP64" s="320"/>
      <c r="BQ64" s="319">
        <v>0</v>
      </c>
      <c r="BR64" s="320">
        <v>0</v>
      </c>
      <c r="BS64" s="319">
        <v>0</v>
      </c>
      <c r="BT64" s="320"/>
      <c r="BU64" s="319">
        <v>0</v>
      </c>
      <c r="BV64" s="320"/>
      <c r="BW64" s="319">
        <v>0</v>
      </c>
      <c r="BX64" s="320">
        <v>0</v>
      </c>
      <c r="BY64" s="319">
        <v>0</v>
      </c>
      <c r="BZ64" s="320"/>
      <c r="CA64" s="319">
        <v>0</v>
      </c>
      <c r="CB64" s="320"/>
      <c r="CC64" s="319">
        <v>0</v>
      </c>
      <c r="CD64" s="320">
        <v>0</v>
      </c>
      <c r="CE64" s="319">
        <v>0</v>
      </c>
      <c r="CF64" s="320"/>
      <c r="CG64" s="319">
        <v>0</v>
      </c>
      <c r="CH64" s="320"/>
      <c r="CI64" s="319">
        <v>0</v>
      </c>
      <c r="CJ64" s="320">
        <v>0</v>
      </c>
      <c r="CK64" s="319">
        <v>0</v>
      </c>
      <c r="CL64" s="320"/>
      <c r="CM64" s="319">
        <v>0</v>
      </c>
      <c r="CN64" s="320"/>
      <c r="CO64" s="319">
        <v>0</v>
      </c>
      <c r="CP64" s="320">
        <v>0</v>
      </c>
      <c r="CQ64" s="319">
        <v>0</v>
      </c>
      <c r="CR64" s="320"/>
      <c r="CS64" s="319">
        <v>0</v>
      </c>
      <c r="CT64" s="320"/>
      <c r="CU64" s="319">
        <v>0</v>
      </c>
      <c r="CV64" s="320">
        <v>0</v>
      </c>
      <c r="CW64" s="319">
        <v>0</v>
      </c>
      <c r="CX64" s="320"/>
      <c r="CY64" s="319">
        <v>0</v>
      </c>
      <c r="CZ64" s="320"/>
      <c r="DA64" s="319">
        <v>0</v>
      </c>
      <c r="DB64" s="320">
        <v>0</v>
      </c>
      <c r="DC64" s="319">
        <v>0</v>
      </c>
      <c r="DD64" s="320"/>
      <c r="DE64" s="319">
        <v>0</v>
      </c>
      <c r="DF64" s="320"/>
      <c r="DG64" s="319">
        <v>0</v>
      </c>
      <c r="DH64" s="320">
        <v>0</v>
      </c>
      <c r="DI64" s="319">
        <v>0</v>
      </c>
      <c r="DJ64" s="320"/>
      <c r="DK64" s="319">
        <v>0</v>
      </c>
      <c r="DL64" s="320"/>
      <c r="DM64" s="319">
        <v>0</v>
      </c>
      <c r="DN64" s="320">
        <v>0</v>
      </c>
      <c r="DO64" s="319">
        <v>0</v>
      </c>
      <c r="DP64" s="320"/>
      <c r="DQ64" s="319">
        <v>0</v>
      </c>
      <c r="DR64" s="320"/>
      <c r="DS64" s="319">
        <v>0</v>
      </c>
      <c r="DT64" s="320">
        <v>0</v>
      </c>
      <c r="DU64" s="319">
        <v>0</v>
      </c>
      <c r="DV64" s="320"/>
      <c r="DW64" s="319">
        <v>0</v>
      </c>
      <c r="DX64" s="320"/>
      <c r="DY64" s="319">
        <v>0</v>
      </c>
      <c r="DZ64" s="320">
        <v>0</v>
      </c>
      <c r="EA64" s="319">
        <v>0</v>
      </c>
      <c r="EB64" s="320"/>
      <c r="EC64" s="319">
        <v>0</v>
      </c>
      <c r="ED64" s="320"/>
      <c r="EE64" s="319">
        <v>0</v>
      </c>
      <c r="EF64" s="320">
        <v>0</v>
      </c>
      <c r="EG64" s="319">
        <v>0</v>
      </c>
      <c r="EH64" s="320"/>
      <c r="EI64" s="319">
        <v>0</v>
      </c>
      <c r="EJ64" s="320"/>
      <c r="EK64" s="319">
        <v>0</v>
      </c>
      <c r="EL64" s="320">
        <v>0</v>
      </c>
      <c r="EM64" s="319">
        <v>0</v>
      </c>
      <c r="EN64" s="320"/>
      <c r="EO64" s="319">
        <v>0</v>
      </c>
      <c r="EP64" s="320"/>
      <c r="EQ64" s="319">
        <v>0</v>
      </c>
      <c r="ER64" s="320">
        <v>0</v>
      </c>
      <c r="ES64" s="319">
        <v>0</v>
      </c>
      <c r="ET64" s="320"/>
      <c r="EU64" s="319">
        <v>0</v>
      </c>
      <c r="EV64" s="320"/>
      <c r="EW64" s="319">
        <v>0</v>
      </c>
      <c r="EX64" s="320">
        <v>0</v>
      </c>
      <c r="EY64" s="319">
        <v>0</v>
      </c>
      <c r="EZ64" s="320"/>
      <c r="FA64" s="319">
        <v>0</v>
      </c>
      <c r="FB64" s="320"/>
      <c r="FC64" s="319">
        <v>0</v>
      </c>
      <c r="FD64" s="320">
        <v>0</v>
      </c>
      <c r="FE64" s="319">
        <v>0</v>
      </c>
      <c r="FF64" s="320"/>
      <c r="FG64" s="319">
        <v>0</v>
      </c>
      <c r="FH64" s="320"/>
      <c r="FI64" s="319">
        <v>0</v>
      </c>
      <c r="FJ64" s="320">
        <v>0</v>
      </c>
      <c r="FK64" s="319">
        <v>0</v>
      </c>
      <c r="FL64" s="320"/>
      <c r="FM64" s="319">
        <v>0</v>
      </c>
      <c r="FN64" s="320"/>
      <c r="FO64" s="319">
        <v>0</v>
      </c>
      <c r="FP64" s="320">
        <v>0</v>
      </c>
      <c r="FQ64" s="319">
        <v>0</v>
      </c>
      <c r="FR64" s="320"/>
      <c r="FS64" s="319">
        <v>0</v>
      </c>
      <c r="FT64" s="320"/>
      <c r="FU64" s="319">
        <v>0</v>
      </c>
      <c r="FV64" s="320">
        <v>0</v>
      </c>
      <c r="FW64" s="319">
        <v>0</v>
      </c>
      <c r="FX64" s="320"/>
      <c r="FY64" s="319">
        <v>0</v>
      </c>
      <c r="FZ64" s="320"/>
      <c r="GA64" s="319">
        <v>0</v>
      </c>
      <c r="GB64" s="320">
        <v>0</v>
      </c>
      <c r="GC64" s="319">
        <v>0</v>
      </c>
      <c r="GD64" s="320"/>
      <c r="GE64" s="319">
        <v>0</v>
      </c>
      <c r="GF64" s="320"/>
      <c r="GG64" s="319">
        <v>0</v>
      </c>
      <c r="GH64" s="320">
        <v>0</v>
      </c>
      <c r="GI64" s="319">
        <v>0</v>
      </c>
      <c r="GJ64" s="320"/>
      <c r="GK64" s="319">
        <v>0</v>
      </c>
      <c r="GL64" s="320"/>
      <c r="GM64" s="319">
        <v>0</v>
      </c>
      <c r="GN64" s="320">
        <v>0</v>
      </c>
      <c r="GO64" s="319">
        <v>0</v>
      </c>
      <c r="GP64" s="320"/>
      <c r="GQ64" s="319">
        <v>0</v>
      </c>
      <c r="GR64" s="320"/>
      <c r="GS64" s="319">
        <v>0</v>
      </c>
      <c r="GT64" s="320">
        <v>0</v>
      </c>
      <c r="GU64" s="319">
        <v>0</v>
      </c>
      <c r="GV64" s="320"/>
      <c r="GW64" s="319">
        <v>0</v>
      </c>
      <c r="GX64" s="320"/>
      <c r="GY64" s="319">
        <v>0</v>
      </c>
      <c r="GZ64" s="320">
        <v>0</v>
      </c>
    </row>
    <row r="65" spans="1:208" s="89" customFormat="1" ht="22.5" customHeight="1" thickBot="1" x14ac:dyDescent="0.25">
      <c r="A65" s="296" t="s">
        <v>3221</v>
      </c>
      <c r="B65" s="297" t="s">
        <v>3222</v>
      </c>
      <c r="C65" s="298" t="s">
        <v>3170</v>
      </c>
      <c r="D65" s="299" t="s">
        <v>3223</v>
      </c>
      <c r="E65" s="299" t="s">
        <v>3224</v>
      </c>
      <c r="F65" s="300" t="s">
        <v>3166</v>
      </c>
      <c r="G65" s="300" t="s">
        <v>3167</v>
      </c>
      <c r="H65" s="301" t="s">
        <v>1485</v>
      </c>
      <c r="I65" s="302" t="s">
        <v>1485</v>
      </c>
      <c r="J65" s="340" t="s">
        <v>3168</v>
      </c>
      <c r="K65" s="343" t="s">
        <v>53</v>
      </c>
      <c r="L65" s="256">
        <f>CONTINUA!BV65</f>
        <v>0</v>
      </c>
      <c r="M65" s="256">
        <f>CONTINUA!BW65</f>
        <v>0</v>
      </c>
      <c r="N65" s="564"/>
      <c r="O65" s="565" t="s">
        <v>3343</v>
      </c>
      <c r="P65" s="566">
        <v>0</v>
      </c>
      <c r="Q65" s="319">
        <v>0</v>
      </c>
      <c r="R65" s="320"/>
      <c r="S65" s="319">
        <v>0</v>
      </c>
      <c r="T65" s="320"/>
      <c r="U65" s="321">
        <v>0</v>
      </c>
      <c r="V65" s="322">
        <v>0</v>
      </c>
      <c r="W65" s="319">
        <v>0</v>
      </c>
      <c r="X65" s="320"/>
      <c r="Y65" s="319">
        <v>0</v>
      </c>
      <c r="Z65" s="320"/>
      <c r="AA65" s="321">
        <v>0</v>
      </c>
      <c r="AB65" s="322">
        <v>0</v>
      </c>
      <c r="AC65" s="319">
        <v>0</v>
      </c>
      <c r="AD65" s="320"/>
      <c r="AE65" s="319">
        <v>0</v>
      </c>
      <c r="AF65" s="320"/>
      <c r="AG65" s="321">
        <v>0</v>
      </c>
      <c r="AH65" s="322">
        <v>0</v>
      </c>
      <c r="AI65" s="319">
        <v>0</v>
      </c>
      <c r="AJ65" s="320"/>
      <c r="AK65" s="319">
        <v>0</v>
      </c>
      <c r="AL65" s="320"/>
      <c r="AM65" s="321">
        <v>0</v>
      </c>
      <c r="AN65" s="322">
        <v>0</v>
      </c>
      <c r="AO65" s="319">
        <v>0</v>
      </c>
      <c r="AP65" s="320"/>
      <c r="AQ65" s="319">
        <v>0</v>
      </c>
      <c r="AR65" s="320"/>
      <c r="AS65" s="321">
        <v>0</v>
      </c>
      <c r="AT65" s="322">
        <v>0</v>
      </c>
      <c r="AU65" s="319">
        <v>0</v>
      </c>
      <c r="AV65" s="320"/>
      <c r="AW65" s="319">
        <v>0</v>
      </c>
      <c r="AX65" s="320"/>
      <c r="AY65" s="321">
        <v>0</v>
      </c>
      <c r="AZ65" s="322">
        <v>0</v>
      </c>
      <c r="BA65" s="319">
        <v>0</v>
      </c>
      <c r="BB65" s="320"/>
      <c r="BC65" s="319">
        <v>0</v>
      </c>
      <c r="BD65" s="320"/>
      <c r="BE65" s="321">
        <v>0</v>
      </c>
      <c r="BF65" s="322">
        <v>0</v>
      </c>
      <c r="BG65" s="319">
        <v>0</v>
      </c>
      <c r="BH65" s="320"/>
      <c r="BI65" s="319">
        <v>0</v>
      </c>
      <c r="BJ65" s="320"/>
      <c r="BK65" s="321">
        <v>0</v>
      </c>
      <c r="BL65" s="322">
        <v>0</v>
      </c>
      <c r="BM65" s="319">
        <v>0</v>
      </c>
      <c r="BN65" s="320"/>
      <c r="BO65" s="319">
        <v>0</v>
      </c>
      <c r="BP65" s="320"/>
      <c r="BQ65" s="321">
        <v>0</v>
      </c>
      <c r="BR65" s="322">
        <v>0</v>
      </c>
      <c r="BS65" s="319">
        <v>0</v>
      </c>
      <c r="BT65" s="320"/>
      <c r="BU65" s="319">
        <v>0</v>
      </c>
      <c r="BV65" s="320"/>
      <c r="BW65" s="321">
        <v>0</v>
      </c>
      <c r="BX65" s="322">
        <v>0</v>
      </c>
      <c r="BY65" s="319">
        <v>0</v>
      </c>
      <c r="BZ65" s="320"/>
      <c r="CA65" s="319">
        <v>0</v>
      </c>
      <c r="CB65" s="320"/>
      <c r="CC65" s="321">
        <v>0</v>
      </c>
      <c r="CD65" s="322">
        <v>0</v>
      </c>
      <c r="CE65" s="319">
        <v>0</v>
      </c>
      <c r="CF65" s="320"/>
      <c r="CG65" s="319">
        <v>0</v>
      </c>
      <c r="CH65" s="320"/>
      <c r="CI65" s="321">
        <v>0</v>
      </c>
      <c r="CJ65" s="322">
        <v>0</v>
      </c>
      <c r="CK65" s="319">
        <v>0</v>
      </c>
      <c r="CL65" s="320"/>
      <c r="CM65" s="319">
        <v>0</v>
      </c>
      <c r="CN65" s="320"/>
      <c r="CO65" s="321">
        <v>0</v>
      </c>
      <c r="CP65" s="322">
        <v>0</v>
      </c>
      <c r="CQ65" s="319">
        <v>0</v>
      </c>
      <c r="CR65" s="320"/>
      <c r="CS65" s="319">
        <v>0</v>
      </c>
      <c r="CT65" s="320"/>
      <c r="CU65" s="321">
        <v>0</v>
      </c>
      <c r="CV65" s="322">
        <v>0</v>
      </c>
      <c r="CW65" s="319">
        <v>0</v>
      </c>
      <c r="CX65" s="320"/>
      <c r="CY65" s="319">
        <v>0</v>
      </c>
      <c r="CZ65" s="320"/>
      <c r="DA65" s="321">
        <v>0</v>
      </c>
      <c r="DB65" s="322">
        <v>0</v>
      </c>
      <c r="DC65" s="319">
        <v>0</v>
      </c>
      <c r="DD65" s="320"/>
      <c r="DE65" s="319">
        <v>0</v>
      </c>
      <c r="DF65" s="320"/>
      <c r="DG65" s="321">
        <v>0</v>
      </c>
      <c r="DH65" s="322">
        <v>0</v>
      </c>
      <c r="DI65" s="319">
        <v>0</v>
      </c>
      <c r="DJ65" s="320"/>
      <c r="DK65" s="319">
        <v>0</v>
      </c>
      <c r="DL65" s="320"/>
      <c r="DM65" s="321">
        <v>0</v>
      </c>
      <c r="DN65" s="322">
        <v>0</v>
      </c>
      <c r="DO65" s="319">
        <v>0</v>
      </c>
      <c r="DP65" s="320"/>
      <c r="DQ65" s="319">
        <v>0</v>
      </c>
      <c r="DR65" s="320"/>
      <c r="DS65" s="321">
        <v>0</v>
      </c>
      <c r="DT65" s="322">
        <v>0</v>
      </c>
      <c r="DU65" s="319">
        <v>0</v>
      </c>
      <c r="DV65" s="320"/>
      <c r="DW65" s="319">
        <v>0</v>
      </c>
      <c r="DX65" s="320"/>
      <c r="DY65" s="321">
        <v>0</v>
      </c>
      <c r="DZ65" s="322">
        <v>0</v>
      </c>
      <c r="EA65" s="319">
        <v>0</v>
      </c>
      <c r="EB65" s="320"/>
      <c r="EC65" s="319">
        <v>0</v>
      </c>
      <c r="ED65" s="320"/>
      <c r="EE65" s="321">
        <v>0</v>
      </c>
      <c r="EF65" s="322">
        <v>0</v>
      </c>
      <c r="EG65" s="319">
        <v>0</v>
      </c>
      <c r="EH65" s="320"/>
      <c r="EI65" s="319">
        <v>0</v>
      </c>
      <c r="EJ65" s="320"/>
      <c r="EK65" s="321">
        <v>0</v>
      </c>
      <c r="EL65" s="322">
        <v>0</v>
      </c>
      <c r="EM65" s="319">
        <v>0</v>
      </c>
      <c r="EN65" s="320"/>
      <c r="EO65" s="319">
        <v>0</v>
      </c>
      <c r="EP65" s="320"/>
      <c r="EQ65" s="321">
        <v>0</v>
      </c>
      <c r="ER65" s="322">
        <v>0</v>
      </c>
      <c r="ES65" s="319">
        <v>0</v>
      </c>
      <c r="ET65" s="320"/>
      <c r="EU65" s="319">
        <v>0</v>
      </c>
      <c r="EV65" s="320"/>
      <c r="EW65" s="321">
        <v>0</v>
      </c>
      <c r="EX65" s="322">
        <v>0</v>
      </c>
      <c r="EY65" s="319">
        <v>0</v>
      </c>
      <c r="EZ65" s="320"/>
      <c r="FA65" s="319">
        <v>0</v>
      </c>
      <c r="FB65" s="320"/>
      <c r="FC65" s="321">
        <v>0</v>
      </c>
      <c r="FD65" s="322">
        <v>0</v>
      </c>
      <c r="FE65" s="319">
        <v>0</v>
      </c>
      <c r="FF65" s="320"/>
      <c r="FG65" s="319">
        <v>0</v>
      </c>
      <c r="FH65" s="320"/>
      <c r="FI65" s="321">
        <v>0</v>
      </c>
      <c r="FJ65" s="322">
        <v>0</v>
      </c>
      <c r="FK65" s="319">
        <v>0</v>
      </c>
      <c r="FL65" s="320"/>
      <c r="FM65" s="319">
        <v>0</v>
      </c>
      <c r="FN65" s="320"/>
      <c r="FO65" s="321">
        <v>0</v>
      </c>
      <c r="FP65" s="322">
        <v>0</v>
      </c>
      <c r="FQ65" s="319">
        <v>0</v>
      </c>
      <c r="FR65" s="320"/>
      <c r="FS65" s="319">
        <v>0</v>
      </c>
      <c r="FT65" s="320"/>
      <c r="FU65" s="321">
        <v>0</v>
      </c>
      <c r="FV65" s="322">
        <v>0</v>
      </c>
      <c r="FW65" s="319">
        <v>0</v>
      </c>
      <c r="FX65" s="320"/>
      <c r="FY65" s="319">
        <v>0</v>
      </c>
      <c r="FZ65" s="320"/>
      <c r="GA65" s="321">
        <v>0</v>
      </c>
      <c r="GB65" s="322">
        <v>0</v>
      </c>
      <c r="GC65" s="319">
        <v>0</v>
      </c>
      <c r="GD65" s="320"/>
      <c r="GE65" s="319">
        <v>0</v>
      </c>
      <c r="GF65" s="320"/>
      <c r="GG65" s="321">
        <v>0</v>
      </c>
      <c r="GH65" s="322">
        <v>0</v>
      </c>
      <c r="GI65" s="319">
        <v>0</v>
      </c>
      <c r="GJ65" s="320"/>
      <c r="GK65" s="319">
        <v>0</v>
      </c>
      <c r="GL65" s="320"/>
      <c r="GM65" s="321">
        <v>0</v>
      </c>
      <c r="GN65" s="322">
        <v>0</v>
      </c>
      <c r="GO65" s="319">
        <v>0</v>
      </c>
      <c r="GP65" s="320"/>
      <c r="GQ65" s="319">
        <v>0</v>
      </c>
      <c r="GR65" s="320"/>
      <c r="GS65" s="321">
        <v>0</v>
      </c>
      <c r="GT65" s="322">
        <v>0</v>
      </c>
      <c r="GU65" s="319">
        <v>0</v>
      </c>
      <c r="GV65" s="320"/>
      <c r="GW65" s="319">
        <v>0</v>
      </c>
      <c r="GX65" s="320"/>
      <c r="GY65" s="321">
        <v>0</v>
      </c>
      <c r="GZ65" s="322">
        <v>0</v>
      </c>
    </row>
    <row r="66" spans="1:208" s="89" customFormat="1" ht="22.5" customHeight="1" x14ac:dyDescent="0.2">
      <c r="A66" t="s">
        <v>3225</v>
      </c>
      <c r="B66" s="429" t="s">
        <v>3226</v>
      </c>
      <c r="C66" s="430">
        <v>1</v>
      </c>
      <c r="D66" s="431" t="s">
        <v>3227</v>
      </c>
      <c r="E66" s="431" t="s">
        <v>3228</v>
      </c>
      <c r="F66" s="432" t="s">
        <v>3166</v>
      </c>
      <c r="G66" s="432" t="s">
        <v>3167</v>
      </c>
      <c r="H66" s="270" t="s">
        <v>1486</v>
      </c>
      <c r="I66" s="271" t="s">
        <v>1486</v>
      </c>
      <c r="J66" s="328" t="s">
        <v>3168</v>
      </c>
      <c r="K66" s="329" t="s">
        <v>3169</v>
      </c>
      <c r="L66" s="256">
        <f>CONTINUA!BV66</f>
        <v>0</v>
      </c>
      <c r="M66" s="256">
        <f>CONTINUA!BW66</f>
        <v>0</v>
      </c>
      <c r="N66" s="564"/>
      <c r="O66" s="565" t="s">
        <v>3344</v>
      </c>
      <c r="P66" s="566">
        <v>0</v>
      </c>
      <c r="Q66" s="319">
        <v>0</v>
      </c>
      <c r="R66" s="320"/>
      <c r="S66" s="319">
        <v>0</v>
      </c>
      <c r="T66" s="320"/>
      <c r="U66" s="321">
        <v>0</v>
      </c>
      <c r="V66" s="322">
        <v>0</v>
      </c>
      <c r="W66" s="319">
        <v>0</v>
      </c>
      <c r="X66" s="320"/>
      <c r="Y66" s="319">
        <v>0</v>
      </c>
      <c r="Z66" s="320"/>
      <c r="AA66" s="321">
        <v>0</v>
      </c>
      <c r="AB66" s="322">
        <v>0</v>
      </c>
      <c r="AC66" s="319">
        <v>0</v>
      </c>
      <c r="AD66" s="320"/>
      <c r="AE66" s="319">
        <v>0</v>
      </c>
      <c r="AF66" s="320"/>
      <c r="AG66" s="321">
        <v>0</v>
      </c>
      <c r="AH66" s="322">
        <v>0</v>
      </c>
      <c r="AI66" s="319">
        <v>0</v>
      </c>
      <c r="AJ66" s="320"/>
      <c r="AK66" s="319">
        <v>0</v>
      </c>
      <c r="AL66" s="320"/>
      <c r="AM66" s="321">
        <v>0</v>
      </c>
      <c r="AN66" s="322">
        <v>0</v>
      </c>
      <c r="AO66" s="319">
        <v>0</v>
      </c>
      <c r="AP66" s="320"/>
      <c r="AQ66" s="319">
        <v>0</v>
      </c>
      <c r="AR66" s="320"/>
      <c r="AS66" s="321">
        <v>0</v>
      </c>
      <c r="AT66" s="322">
        <v>0</v>
      </c>
      <c r="AU66" s="319">
        <v>0</v>
      </c>
      <c r="AV66" s="320"/>
      <c r="AW66" s="319">
        <v>0</v>
      </c>
      <c r="AX66" s="320"/>
      <c r="AY66" s="321">
        <v>0</v>
      </c>
      <c r="AZ66" s="322">
        <v>0</v>
      </c>
      <c r="BA66" s="319">
        <v>0</v>
      </c>
      <c r="BB66" s="320"/>
      <c r="BC66" s="319">
        <v>0</v>
      </c>
      <c r="BD66" s="320"/>
      <c r="BE66" s="321">
        <v>0</v>
      </c>
      <c r="BF66" s="322">
        <v>0</v>
      </c>
      <c r="BG66" s="319">
        <v>0</v>
      </c>
      <c r="BH66" s="320"/>
      <c r="BI66" s="319">
        <v>0</v>
      </c>
      <c r="BJ66" s="320"/>
      <c r="BK66" s="321">
        <v>0</v>
      </c>
      <c r="BL66" s="322">
        <v>0</v>
      </c>
      <c r="BM66" s="319">
        <v>0</v>
      </c>
      <c r="BN66" s="320"/>
      <c r="BO66" s="319">
        <v>0</v>
      </c>
      <c r="BP66" s="320"/>
      <c r="BQ66" s="321">
        <v>0</v>
      </c>
      <c r="BR66" s="322">
        <v>0</v>
      </c>
      <c r="BS66" s="319">
        <v>0</v>
      </c>
      <c r="BT66" s="320"/>
      <c r="BU66" s="319">
        <v>0</v>
      </c>
      <c r="BV66" s="320"/>
      <c r="BW66" s="321">
        <v>0</v>
      </c>
      <c r="BX66" s="322">
        <v>0</v>
      </c>
      <c r="BY66" s="319">
        <v>0</v>
      </c>
      <c r="BZ66" s="320"/>
      <c r="CA66" s="319">
        <v>0</v>
      </c>
      <c r="CB66" s="320"/>
      <c r="CC66" s="321">
        <v>0</v>
      </c>
      <c r="CD66" s="322">
        <v>0</v>
      </c>
      <c r="CE66" s="319">
        <v>0</v>
      </c>
      <c r="CF66" s="320"/>
      <c r="CG66" s="319">
        <v>0</v>
      </c>
      <c r="CH66" s="320"/>
      <c r="CI66" s="321">
        <v>0</v>
      </c>
      <c r="CJ66" s="322">
        <v>0</v>
      </c>
      <c r="CK66" s="319">
        <v>0</v>
      </c>
      <c r="CL66" s="320"/>
      <c r="CM66" s="319">
        <v>0</v>
      </c>
      <c r="CN66" s="320"/>
      <c r="CO66" s="321">
        <v>0</v>
      </c>
      <c r="CP66" s="322">
        <v>0</v>
      </c>
      <c r="CQ66" s="319">
        <v>0</v>
      </c>
      <c r="CR66" s="320"/>
      <c r="CS66" s="319">
        <v>0</v>
      </c>
      <c r="CT66" s="320"/>
      <c r="CU66" s="321">
        <v>0</v>
      </c>
      <c r="CV66" s="322">
        <v>0</v>
      </c>
      <c r="CW66" s="319">
        <v>0</v>
      </c>
      <c r="CX66" s="320"/>
      <c r="CY66" s="319">
        <v>0</v>
      </c>
      <c r="CZ66" s="320"/>
      <c r="DA66" s="321">
        <v>0</v>
      </c>
      <c r="DB66" s="322">
        <v>0</v>
      </c>
      <c r="DC66" s="319">
        <v>0</v>
      </c>
      <c r="DD66" s="320"/>
      <c r="DE66" s="319">
        <v>0</v>
      </c>
      <c r="DF66" s="320"/>
      <c r="DG66" s="321">
        <v>0</v>
      </c>
      <c r="DH66" s="322">
        <v>0</v>
      </c>
      <c r="DI66" s="319">
        <v>0</v>
      </c>
      <c r="DJ66" s="320"/>
      <c r="DK66" s="319">
        <v>0</v>
      </c>
      <c r="DL66" s="320"/>
      <c r="DM66" s="321">
        <v>0</v>
      </c>
      <c r="DN66" s="322">
        <v>0</v>
      </c>
      <c r="DO66" s="319">
        <v>0</v>
      </c>
      <c r="DP66" s="320"/>
      <c r="DQ66" s="319">
        <v>0</v>
      </c>
      <c r="DR66" s="320"/>
      <c r="DS66" s="321">
        <v>0</v>
      </c>
      <c r="DT66" s="322">
        <v>0</v>
      </c>
      <c r="DU66" s="319">
        <v>0</v>
      </c>
      <c r="DV66" s="320"/>
      <c r="DW66" s="319">
        <v>0</v>
      </c>
      <c r="DX66" s="320"/>
      <c r="DY66" s="321">
        <v>0</v>
      </c>
      <c r="DZ66" s="322">
        <v>0</v>
      </c>
      <c r="EA66" s="319">
        <v>0</v>
      </c>
      <c r="EB66" s="320"/>
      <c r="EC66" s="319">
        <v>0</v>
      </c>
      <c r="ED66" s="320"/>
      <c r="EE66" s="321">
        <v>0</v>
      </c>
      <c r="EF66" s="322">
        <v>0</v>
      </c>
      <c r="EG66" s="319">
        <v>0</v>
      </c>
      <c r="EH66" s="320"/>
      <c r="EI66" s="319">
        <v>0</v>
      </c>
      <c r="EJ66" s="320"/>
      <c r="EK66" s="321">
        <v>0</v>
      </c>
      <c r="EL66" s="322">
        <v>0</v>
      </c>
      <c r="EM66" s="319">
        <v>0</v>
      </c>
      <c r="EN66" s="320"/>
      <c r="EO66" s="319">
        <v>0</v>
      </c>
      <c r="EP66" s="320"/>
      <c r="EQ66" s="321">
        <v>0</v>
      </c>
      <c r="ER66" s="322">
        <v>0</v>
      </c>
      <c r="ES66" s="319">
        <v>0</v>
      </c>
      <c r="ET66" s="320"/>
      <c r="EU66" s="319">
        <v>0</v>
      </c>
      <c r="EV66" s="320"/>
      <c r="EW66" s="321">
        <v>0</v>
      </c>
      <c r="EX66" s="322">
        <v>0</v>
      </c>
      <c r="EY66" s="319">
        <v>0</v>
      </c>
      <c r="EZ66" s="320"/>
      <c r="FA66" s="319">
        <v>0</v>
      </c>
      <c r="FB66" s="320"/>
      <c r="FC66" s="321">
        <v>0</v>
      </c>
      <c r="FD66" s="322">
        <v>0</v>
      </c>
      <c r="FE66" s="319">
        <v>0</v>
      </c>
      <c r="FF66" s="320"/>
      <c r="FG66" s="319">
        <v>0</v>
      </c>
      <c r="FH66" s="320"/>
      <c r="FI66" s="321">
        <v>0</v>
      </c>
      <c r="FJ66" s="322">
        <v>0</v>
      </c>
      <c r="FK66" s="319">
        <v>0</v>
      </c>
      <c r="FL66" s="320"/>
      <c r="FM66" s="319">
        <v>0</v>
      </c>
      <c r="FN66" s="320"/>
      <c r="FO66" s="321">
        <v>0</v>
      </c>
      <c r="FP66" s="322">
        <v>0</v>
      </c>
      <c r="FQ66" s="319">
        <v>0</v>
      </c>
      <c r="FR66" s="320"/>
      <c r="FS66" s="319">
        <v>0</v>
      </c>
      <c r="FT66" s="320"/>
      <c r="FU66" s="321">
        <v>0</v>
      </c>
      <c r="FV66" s="322">
        <v>0</v>
      </c>
      <c r="FW66" s="319">
        <v>0</v>
      </c>
      <c r="FX66" s="320"/>
      <c r="FY66" s="319">
        <v>0</v>
      </c>
      <c r="FZ66" s="320"/>
      <c r="GA66" s="321">
        <v>0</v>
      </c>
      <c r="GB66" s="322">
        <v>0</v>
      </c>
      <c r="GC66" s="319">
        <v>0</v>
      </c>
      <c r="GD66" s="320"/>
      <c r="GE66" s="319">
        <v>0</v>
      </c>
      <c r="GF66" s="320"/>
      <c r="GG66" s="321">
        <v>0</v>
      </c>
      <c r="GH66" s="322">
        <v>0</v>
      </c>
      <c r="GI66" s="319">
        <v>0</v>
      </c>
      <c r="GJ66" s="320"/>
      <c r="GK66" s="319">
        <v>0</v>
      </c>
      <c r="GL66" s="320"/>
      <c r="GM66" s="321">
        <v>0</v>
      </c>
      <c r="GN66" s="322">
        <v>0</v>
      </c>
      <c r="GO66" s="319">
        <v>0</v>
      </c>
      <c r="GP66" s="320"/>
      <c r="GQ66" s="319">
        <v>0</v>
      </c>
      <c r="GR66" s="320"/>
      <c r="GS66" s="321">
        <v>0</v>
      </c>
      <c r="GT66" s="322">
        <v>0</v>
      </c>
      <c r="GU66" s="319">
        <v>0</v>
      </c>
      <c r="GV66" s="320"/>
      <c r="GW66" s="319">
        <v>0</v>
      </c>
      <c r="GX66" s="320"/>
      <c r="GY66" s="321">
        <v>0</v>
      </c>
      <c r="GZ66" s="322">
        <v>0</v>
      </c>
    </row>
    <row r="67" spans="1:208" s="89" customFormat="1" ht="22.5" customHeight="1" x14ac:dyDescent="0.2">
      <c r="A67" s="287" t="s">
        <v>3225</v>
      </c>
      <c r="B67" s="288" t="s">
        <v>3226</v>
      </c>
      <c r="C67" s="289" t="s">
        <v>3170</v>
      </c>
      <c r="D67" s="290" t="s">
        <v>3227</v>
      </c>
      <c r="E67" s="290" t="s">
        <v>3228</v>
      </c>
      <c r="F67" s="291" t="s">
        <v>3166</v>
      </c>
      <c r="G67" s="291" t="s">
        <v>3167</v>
      </c>
      <c r="H67" s="292" t="s">
        <v>1486</v>
      </c>
      <c r="I67" s="293" t="s">
        <v>1486</v>
      </c>
      <c r="J67" s="340" t="s">
        <v>3168</v>
      </c>
      <c r="K67" s="340" t="s">
        <v>3171</v>
      </c>
      <c r="L67" s="256">
        <f>CONTINUA!BV67</f>
        <v>0</v>
      </c>
      <c r="M67" s="256">
        <f>CONTINUA!BW67</f>
        <v>0</v>
      </c>
      <c r="N67" s="564"/>
      <c r="O67" s="565" t="s">
        <v>3344</v>
      </c>
      <c r="P67" s="566">
        <v>0</v>
      </c>
      <c r="Q67" s="319">
        <v>32</v>
      </c>
      <c r="R67" s="320"/>
      <c r="S67" s="319">
        <v>2</v>
      </c>
      <c r="T67" s="320"/>
      <c r="U67" s="319">
        <v>0</v>
      </c>
      <c r="V67" s="320">
        <v>0</v>
      </c>
      <c r="W67" s="319">
        <v>32</v>
      </c>
      <c r="X67" s="320"/>
      <c r="Y67" s="319">
        <v>2</v>
      </c>
      <c r="Z67" s="320"/>
      <c r="AA67" s="319">
        <v>0</v>
      </c>
      <c r="AB67" s="320">
        <v>0</v>
      </c>
      <c r="AC67" s="319">
        <v>32</v>
      </c>
      <c r="AD67" s="320"/>
      <c r="AE67" s="319">
        <v>2</v>
      </c>
      <c r="AF67" s="320"/>
      <c r="AG67" s="319">
        <v>0</v>
      </c>
      <c r="AH67" s="320">
        <v>0</v>
      </c>
      <c r="AI67" s="319">
        <v>32</v>
      </c>
      <c r="AJ67" s="320"/>
      <c r="AK67" s="319">
        <v>2</v>
      </c>
      <c r="AL67" s="320"/>
      <c r="AM67" s="319">
        <v>0</v>
      </c>
      <c r="AN67" s="320">
        <v>0</v>
      </c>
      <c r="AO67" s="319">
        <v>32</v>
      </c>
      <c r="AP67" s="320"/>
      <c r="AQ67" s="319">
        <v>2</v>
      </c>
      <c r="AR67" s="320"/>
      <c r="AS67" s="319">
        <v>0</v>
      </c>
      <c r="AT67" s="320">
        <v>0</v>
      </c>
      <c r="AU67" s="319">
        <v>32</v>
      </c>
      <c r="AV67" s="320"/>
      <c r="AW67" s="319">
        <v>2</v>
      </c>
      <c r="AX67" s="320"/>
      <c r="AY67" s="319">
        <v>0</v>
      </c>
      <c r="AZ67" s="320">
        <v>0</v>
      </c>
      <c r="BA67" s="319">
        <v>32</v>
      </c>
      <c r="BB67" s="320"/>
      <c r="BC67" s="319">
        <v>2</v>
      </c>
      <c r="BD67" s="320"/>
      <c r="BE67" s="319">
        <v>0</v>
      </c>
      <c r="BF67" s="320">
        <v>0</v>
      </c>
      <c r="BG67" s="319">
        <v>32</v>
      </c>
      <c r="BH67" s="320"/>
      <c r="BI67" s="319">
        <v>2</v>
      </c>
      <c r="BJ67" s="320"/>
      <c r="BK67" s="319">
        <v>0</v>
      </c>
      <c r="BL67" s="320">
        <v>0</v>
      </c>
      <c r="BM67" s="319">
        <v>32</v>
      </c>
      <c r="BN67" s="320"/>
      <c r="BO67" s="319">
        <v>2</v>
      </c>
      <c r="BP67" s="320"/>
      <c r="BQ67" s="319">
        <v>0</v>
      </c>
      <c r="BR67" s="320">
        <v>0</v>
      </c>
      <c r="BS67" s="319">
        <v>32</v>
      </c>
      <c r="BT67" s="320"/>
      <c r="BU67" s="319">
        <v>2</v>
      </c>
      <c r="BV67" s="320"/>
      <c r="BW67" s="319">
        <v>0</v>
      </c>
      <c r="BX67" s="320">
        <v>0</v>
      </c>
      <c r="BY67" s="319">
        <v>32</v>
      </c>
      <c r="BZ67" s="320"/>
      <c r="CA67" s="319">
        <v>2</v>
      </c>
      <c r="CB67" s="320"/>
      <c r="CC67" s="319">
        <v>0</v>
      </c>
      <c r="CD67" s="320">
        <v>0</v>
      </c>
      <c r="CE67" s="319">
        <v>32</v>
      </c>
      <c r="CF67" s="320"/>
      <c r="CG67" s="319">
        <v>2</v>
      </c>
      <c r="CH67" s="320"/>
      <c r="CI67" s="319">
        <v>0</v>
      </c>
      <c r="CJ67" s="320">
        <v>0</v>
      </c>
      <c r="CK67" s="319">
        <v>32</v>
      </c>
      <c r="CL67" s="320"/>
      <c r="CM67" s="319">
        <v>2</v>
      </c>
      <c r="CN67" s="320"/>
      <c r="CO67" s="319">
        <v>0</v>
      </c>
      <c r="CP67" s="320">
        <v>0</v>
      </c>
      <c r="CQ67" s="319">
        <v>32</v>
      </c>
      <c r="CR67" s="320"/>
      <c r="CS67" s="319">
        <v>2</v>
      </c>
      <c r="CT67" s="320"/>
      <c r="CU67" s="319">
        <v>0</v>
      </c>
      <c r="CV67" s="320">
        <v>0</v>
      </c>
      <c r="CW67" s="319">
        <v>32</v>
      </c>
      <c r="CX67" s="320"/>
      <c r="CY67" s="319">
        <v>2</v>
      </c>
      <c r="CZ67" s="320"/>
      <c r="DA67" s="319">
        <v>0</v>
      </c>
      <c r="DB67" s="320">
        <v>0</v>
      </c>
      <c r="DC67" s="319">
        <v>32</v>
      </c>
      <c r="DD67" s="320"/>
      <c r="DE67" s="319">
        <v>2</v>
      </c>
      <c r="DF67" s="320"/>
      <c r="DG67" s="319">
        <v>0</v>
      </c>
      <c r="DH67" s="320">
        <v>0</v>
      </c>
      <c r="DI67" s="319">
        <v>32</v>
      </c>
      <c r="DJ67" s="320"/>
      <c r="DK67" s="319">
        <v>2</v>
      </c>
      <c r="DL67" s="320"/>
      <c r="DM67" s="319">
        <v>0</v>
      </c>
      <c r="DN67" s="320">
        <v>0</v>
      </c>
      <c r="DO67" s="319">
        <v>32</v>
      </c>
      <c r="DP67" s="320"/>
      <c r="DQ67" s="319">
        <v>2</v>
      </c>
      <c r="DR67" s="320"/>
      <c r="DS67" s="319">
        <v>0</v>
      </c>
      <c r="DT67" s="320">
        <v>0</v>
      </c>
      <c r="DU67" s="319">
        <v>32</v>
      </c>
      <c r="DV67" s="320"/>
      <c r="DW67" s="319">
        <v>2</v>
      </c>
      <c r="DX67" s="320"/>
      <c r="DY67" s="319">
        <v>0</v>
      </c>
      <c r="DZ67" s="320">
        <v>0</v>
      </c>
      <c r="EA67" s="319">
        <v>32</v>
      </c>
      <c r="EB67" s="320"/>
      <c r="EC67" s="319">
        <v>2</v>
      </c>
      <c r="ED67" s="320"/>
      <c r="EE67" s="319">
        <v>0</v>
      </c>
      <c r="EF67" s="320">
        <v>0</v>
      </c>
      <c r="EG67" s="319">
        <v>32</v>
      </c>
      <c r="EH67" s="320"/>
      <c r="EI67" s="319">
        <v>2</v>
      </c>
      <c r="EJ67" s="320"/>
      <c r="EK67" s="319">
        <v>0</v>
      </c>
      <c r="EL67" s="320">
        <v>0</v>
      </c>
      <c r="EM67" s="319">
        <v>32</v>
      </c>
      <c r="EN67" s="320"/>
      <c r="EO67" s="319">
        <v>2</v>
      </c>
      <c r="EP67" s="320"/>
      <c r="EQ67" s="319">
        <v>0</v>
      </c>
      <c r="ER67" s="320">
        <v>0</v>
      </c>
      <c r="ES67" s="319">
        <v>32</v>
      </c>
      <c r="ET67" s="320"/>
      <c r="EU67" s="319">
        <v>2</v>
      </c>
      <c r="EV67" s="320"/>
      <c r="EW67" s="319">
        <v>0</v>
      </c>
      <c r="EX67" s="320">
        <v>0</v>
      </c>
      <c r="EY67" s="319">
        <v>32</v>
      </c>
      <c r="EZ67" s="320"/>
      <c r="FA67" s="319">
        <v>2</v>
      </c>
      <c r="FB67" s="320"/>
      <c r="FC67" s="319">
        <v>0</v>
      </c>
      <c r="FD67" s="320">
        <v>0</v>
      </c>
      <c r="FE67" s="319">
        <v>32</v>
      </c>
      <c r="FF67" s="320"/>
      <c r="FG67" s="319">
        <v>2</v>
      </c>
      <c r="FH67" s="320"/>
      <c r="FI67" s="319">
        <v>0</v>
      </c>
      <c r="FJ67" s="320">
        <v>0</v>
      </c>
      <c r="FK67" s="319">
        <v>32</v>
      </c>
      <c r="FL67" s="320"/>
      <c r="FM67" s="319">
        <v>2</v>
      </c>
      <c r="FN67" s="320"/>
      <c r="FO67" s="319">
        <v>0</v>
      </c>
      <c r="FP67" s="320">
        <v>0</v>
      </c>
      <c r="FQ67" s="319">
        <v>32</v>
      </c>
      <c r="FR67" s="320"/>
      <c r="FS67" s="319">
        <v>2</v>
      </c>
      <c r="FT67" s="320"/>
      <c r="FU67" s="319">
        <v>0</v>
      </c>
      <c r="FV67" s="320">
        <v>0</v>
      </c>
      <c r="FW67" s="319">
        <v>32</v>
      </c>
      <c r="FX67" s="320"/>
      <c r="FY67" s="319">
        <v>2</v>
      </c>
      <c r="FZ67" s="320"/>
      <c r="GA67" s="319">
        <v>0</v>
      </c>
      <c r="GB67" s="320">
        <v>0</v>
      </c>
      <c r="GC67" s="319">
        <v>32</v>
      </c>
      <c r="GD67" s="320"/>
      <c r="GE67" s="319">
        <v>2</v>
      </c>
      <c r="GF67" s="320"/>
      <c r="GG67" s="319">
        <v>0</v>
      </c>
      <c r="GH67" s="320">
        <v>0</v>
      </c>
      <c r="GI67" s="319">
        <v>32</v>
      </c>
      <c r="GJ67" s="320"/>
      <c r="GK67" s="319">
        <v>2</v>
      </c>
      <c r="GL67" s="320"/>
      <c r="GM67" s="319">
        <v>0</v>
      </c>
      <c r="GN67" s="320">
        <v>0</v>
      </c>
      <c r="GO67" s="319">
        <v>32</v>
      </c>
      <c r="GP67" s="320"/>
      <c r="GQ67" s="319">
        <v>2</v>
      </c>
      <c r="GR67" s="320"/>
      <c r="GS67" s="319">
        <v>0</v>
      </c>
      <c r="GT67" s="320">
        <v>0</v>
      </c>
      <c r="GU67" s="319">
        <v>32</v>
      </c>
      <c r="GV67" s="320"/>
      <c r="GW67" s="319">
        <v>2</v>
      </c>
      <c r="GX67" s="320"/>
      <c r="GY67" s="319">
        <v>0</v>
      </c>
      <c r="GZ67" s="320">
        <v>0</v>
      </c>
    </row>
    <row r="68" spans="1:208" s="89" customFormat="1" ht="22.5" customHeight="1" x14ac:dyDescent="0.2">
      <c r="A68" s="287" t="s">
        <v>3225</v>
      </c>
      <c r="B68" s="288" t="s">
        <v>3226</v>
      </c>
      <c r="C68" s="294" t="s">
        <v>3170</v>
      </c>
      <c r="D68" s="290" t="s">
        <v>3227</v>
      </c>
      <c r="E68" s="290" t="s">
        <v>3228</v>
      </c>
      <c r="F68" s="295" t="s">
        <v>3166</v>
      </c>
      <c r="G68" s="295" t="s">
        <v>3167</v>
      </c>
      <c r="H68" s="292" t="s">
        <v>1486</v>
      </c>
      <c r="I68" s="293" t="s">
        <v>1486</v>
      </c>
      <c r="J68" s="340" t="s">
        <v>3168</v>
      </c>
      <c r="K68" s="341" t="s">
        <v>3172</v>
      </c>
      <c r="L68" s="256">
        <f>CONTINUA!BV68</f>
        <v>0</v>
      </c>
      <c r="M68" s="256">
        <f>CONTINUA!BW68</f>
        <v>0</v>
      </c>
      <c r="N68" s="564"/>
      <c r="O68" s="565" t="s">
        <v>3344</v>
      </c>
      <c r="P68" s="566">
        <v>0</v>
      </c>
      <c r="Q68" s="319">
        <v>0</v>
      </c>
      <c r="R68" s="320"/>
      <c r="S68" s="319">
        <v>0</v>
      </c>
      <c r="T68" s="320"/>
      <c r="U68" s="319">
        <v>0</v>
      </c>
      <c r="V68" s="320">
        <v>0</v>
      </c>
      <c r="W68" s="319">
        <v>0</v>
      </c>
      <c r="X68" s="320"/>
      <c r="Y68" s="319">
        <v>0</v>
      </c>
      <c r="Z68" s="320"/>
      <c r="AA68" s="319">
        <v>0</v>
      </c>
      <c r="AB68" s="320">
        <v>0</v>
      </c>
      <c r="AC68" s="319">
        <v>0</v>
      </c>
      <c r="AD68" s="320"/>
      <c r="AE68" s="319">
        <v>0</v>
      </c>
      <c r="AF68" s="320"/>
      <c r="AG68" s="319">
        <v>0</v>
      </c>
      <c r="AH68" s="320">
        <v>0</v>
      </c>
      <c r="AI68" s="319">
        <v>0</v>
      </c>
      <c r="AJ68" s="320"/>
      <c r="AK68" s="319">
        <v>0</v>
      </c>
      <c r="AL68" s="320"/>
      <c r="AM68" s="319">
        <v>0</v>
      </c>
      <c r="AN68" s="320">
        <v>0</v>
      </c>
      <c r="AO68" s="319">
        <v>0</v>
      </c>
      <c r="AP68" s="320"/>
      <c r="AQ68" s="319">
        <v>0</v>
      </c>
      <c r="AR68" s="320"/>
      <c r="AS68" s="319">
        <v>0</v>
      </c>
      <c r="AT68" s="320">
        <v>0</v>
      </c>
      <c r="AU68" s="319">
        <v>0</v>
      </c>
      <c r="AV68" s="320"/>
      <c r="AW68" s="319">
        <v>0</v>
      </c>
      <c r="AX68" s="320"/>
      <c r="AY68" s="319">
        <v>0</v>
      </c>
      <c r="AZ68" s="320">
        <v>0</v>
      </c>
      <c r="BA68" s="319">
        <v>0</v>
      </c>
      <c r="BB68" s="320"/>
      <c r="BC68" s="319">
        <v>0</v>
      </c>
      <c r="BD68" s="320"/>
      <c r="BE68" s="319">
        <v>0</v>
      </c>
      <c r="BF68" s="320">
        <v>0</v>
      </c>
      <c r="BG68" s="319">
        <v>0</v>
      </c>
      <c r="BH68" s="320"/>
      <c r="BI68" s="319">
        <v>0</v>
      </c>
      <c r="BJ68" s="320"/>
      <c r="BK68" s="319">
        <v>0</v>
      </c>
      <c r="BL68" s="320">
        <v>0</v>
      </c>
      <c r="BM68" s="319">
        <v>0</v>
      </c>
      <c r="BN68" s="320"/>
      <c r="BO68" s="319">
        <v>0</v>
      </c>
      <c r="BP68" s="320"/>
      <c r="BQ68" s="319">
        <v>0</v>
      </c>
      <c r="BR68" s="320">
        <v>0</v>
      </c>
      <c r="BS68" s="319">
        <v>0</v>
      </c>
      <c r="BT68" s="320"/>
      <c r="BU68" s="319">
        <v>0</v>
      </c>
      <c r="BV68" s="320"/>
      <c r="BW68" s="319">
        <v>0</v>
      </c>
      <c r="BX68" s="320">
        <v>0</v>
      </c>
      <c r="BY68" s="319">
        <v>0</v>
      </c>
      <c r="BZ68" s="320"/>
      <c r="CA68" s="319">
        <v>0</v>
      </c>
      <c r="CB68" s="320"/>
      <c r="CC68" s="319">
        <v>0</v>
      </c>
      <c r="CD68" s="320">
        <v>0</v>
      </c>
      <c r="CE68" s="319">
        <v>0</v>
      </c>
      <c r="CF68" s="320"/>
      <c r="CG68" s="319">
        <v>0</v>
      </c>
      <c r="CH68" s="320"/>
      <c r="CI68" s="319">
        <v>0</v>
      </c>
      <c r="CJ68" s="320">
        <v>0</v>
      </c>
      <c r="CK68" s="319">
        <v>0</v>
      </c>
      <c r="CL68" s="320"/>
      <c r="CM68" s="319">
        <v>0</v>
      </c>
      <c r="CN68" s="320"/>
      <c r="CO68" s="319">
        <v>0</v>
      </c>
      <c r="CP68" s="320">
        <v>0</v>
      </c>
      <c r="CQ68" s="319">
        <v>0</v>
      </c>
      <c r="CR68" s="320"/>
      <c r="CS68" s="319">
        <v>0</v>
      </c>
      <c r="CT68" s="320"/>
      <c r="CU68" s="319">
        <v>0</v>
      </c>
      <c r="CV68" s="320">
        <v>0</v>
      </c>
      <c r="CW68" s="319">
        <v>0</v>
      </c>
      <c r="CX68" s="320"/>
      <c r="CY68" s="319">
        <v>0</v>
      </c>
      <c r="CZ68" s="320"/>
      <c r="DA68" s="319">
        <v>0</v>
      </c>
      <c r="DB68" s="320">
        <v>0</v>
      </c>
      <c r="DC68" s="319">
        <v>0</v>
      </c>
      <c r="DD68" s="320"/>
      <c r="DE68" s="319">
        <v>0</v>
      </c>
      <c r="DF68" s="320"/>
      <c r="DG68" s="319">
        <v>0</v>
      </c>
      <c r="DH68" s="320">
        <v>0</v>
      </c>
      <c r="DI68" s="319">
        <v>0</v>
      </c>
      <c r="DJ68" s="320"/>
      <c r="DK68" s="319">
        <v>0</v>
      </c>
      <c r="DL68" s="320"/>
      <c r="DM68" s="319">
        <v>0</v>
      </c>
      <c r="DN68" s="320">
        <v>0</v>
      </c>
      <c r="DO68" s="319">
        <v>0</v>
      </c>
      <c r="DP68" s="320"/>
      <c r="DQ68" s="319">
        <v>0</v>
      </c>
      <c r="DR68" s="320"/>
      <c r="DS68" s="319">
        <v>0</v>
      </c>
      <c r="DT68" s="320">
        <v>0</v>
      </c>
      <c r="DU68" s="319">
        <v>0</v>
      </c>
      <c r="DV68" s="320"/>
      <c r="DW68" s="319">
        <v>0</v>
      </c>
      <c r="DX68" s="320"/>
      <c r="DY68" s="319">
        <v>0</v>
      </c>
      <c r="DZ68" s="320">
        <v>0</v>
      </c>
      <c r="EA68" s="319">
        <v>0</v>
      </c>
      <c r="EB68" s="320"/>
      <c r="EC68" s="319">
        <v>0</v>
      </c>
      <c r="ED68" s="320"/>
      <c r="EE68" s="319">
        <v>0</v>
      </c>
      <c r="EF68" s="320">
        <v>0</v>
      </c>
      <c r="EG68" s="319">
        <v>0</v>
      </c>
      <c r="EH68" s="320"/>
      <c r="EI68" s="319">
        <v>0</v>
      </c>
      <c r="EJ68" s="320"/>
      <c r="EK68" s="319">
        <v>0</v>
      </c>
      <c r="EL68" s="320">
        <v>0</v>
      </c>
      <c r="EM68" s="319">
        <v>0</v>
      </c>
      <c r="EN68" s="320"/>
      <c r="EO68" s="319">
        <v>0</v>
      </c>
      <c r="EP68" s="320"/>
      <c r="EQ68" s="319">
        <v>0</v>
      </c>
      <c r="ER68" s="320">
        <v>0</v>
      </c>
      <c r="ES68" s="319">
        <v>0</v>
      </c>
      <c r="ET68" s="320"/>
      <c r="EU68" s="319">
        <v>0</v>
      </c>
      <c r="EV68" s="320"/>
      <c r="EW68" s="319">
        <v>0</v>
      </c>
      <c r="EX68" s="320">
        <v>0</v>
      </c>
      <c r="EY68" s="319">
        <v>0</v>
      </c>
      <c r="EZ68" s="320"/>
      <c r="FA68" s="319">
        <v>0</v>
      </c>
      <c r="FB68" s="320"/>
      <c r="FC68" s="319">
        <v>0</v>
      </c>
      <c r="FD68" s="320">
        <v>0</v>
      </c>
      <c r="FE68" s="319">
        <v>0</v>
      </c>
      <c r="FF68" s="320"/>
      <c r="FG68" s="319">
        <v>0</v>
      </c>
      <c r="FH68" s="320"/>
      <c r="FI68" s="319">
        <v>0</v>
      </c>
      <c r="FJ68" s="320">
        <v>0</v>
      </c>
      <c r="FK68" s="319">
        <v>0</v>
      </c>
      <c r="FL68" s="320"/>
      <c r="FM68" s="319">
        <v>0</v>
      </c>
      <c r="FN68" s="320"/>
      <c r="FO68" s="319">
        <v>0</v>
      </c>
      <c r="FP68" s="320">
        <v>0</v>
      </c>
      <c r="FQ68" s="319">
        <v>0</v>
      </c>
      <c r="FR68" s="320"/>
      <c r="FS68" s="319">
        <v>0</v>
      </c>
      <c r="FT68" s="320"/>
      <c r="FU68" s="319">
        <v>0</v>
      </c>
      <c r="FV68" s="320">
        <v>0</v>
      </c>
      <c r="FW68" s="319">
        <v>0</v>
      </c>
      <c r="FX68" s="320"/>
      <c r="FY68" s="319">
        <v>0</v>
      </c>
      <c r="FZ68" s="320"/>
      <c r="GA68" s="319">
        <v>0</v>
      </c>
      <c r="GB68" s="320">
        <v>0</v>
      </c>
      <c r="GC68" s="319">
        <v>0</v>
      </c>
      <c r="GD68" s="320"/>
      <c r="GE68" s="319">
        <v>0</v>
      </c>
      <c r="GF68" s="320"/>
      <c r="GG68" s="319">
        <v>0</v>
      </c>
      <c r="GH68" s="320">
        <v>0</v>
      </c>
      <c r="GI68" s="319">
        <v>0</v>
      </c>
      <c r="GJ68" s="320"/>
      <c r="GK68" s="319">
        <v>0</v>
      </c>
      <c r="GL68" s="320"/>
      <c r="GM68" s="319">
        <v>0</v>
      </c>
      <c r="GN68" s="320">
        <v>0</v>
      </c>
      <c r="GO68" s="319">
        <v>0</v>
      </c>
      <c r="GP68" s="320"/>
      <c r="GQ68" s="319">
        <v>0</v>
      </c>
      <c r="GR68" s="320"/>
      <c r="GS68" s="319">
        <v>0</v>
      </c>
      <c r="GT68" s="320">
        <v>0</v>
      </c>
      <c r="GU68" s="319">
        <v>0</v>
      </c>
      <c r="GV68" s="320"/>
      <c r="GW68" s="319">
        <v>0</v>
      </c>
      <c r="GX68" s="320"/>
      <c r="GY68" s="319">
        <v>0</v>
      </c>
      <c r="GZ68" s="320">
        <v>0</v>
      </c>
    </row>
    <row r="69" spans="1:208" s="89" customFormat="1" ht="22.5" customHeight="1" x14ac:dyDescent="0.2">
      <c r="A69" s="287" t="s">
        <v>3225</v>
      </c>
      <c r="B69" s="288" t="s">
        <v>3226</v>
      </c>
      <c r="C69" s="294" t="s">
        <v>3170</v>
      </c>
      <c r="D69" s="290" t="s">
        <v>3227</v>
      </c>
      <c r="E69" s="290" t="s">
        <v>3228</v>
      </c>
      <c r="F69" s="295" t="s">
        <v>3166</v>
      </c>
      <c r="G69" s="295" t="s">
        <v>3167</v>
      </c>
      <c r="H69" s="292" t="s">
        <v>1486</v>
      </c>
      <c r="I69" s="293" t="s">
        <v>1486</v>
      </c>
      <c r="J69" s="340" t="s">
        <v>3168</v>
      </c>
      <c r="K69" s="342" t="s">
        <v>3173</v>
      </c>
      <c r="L69" s="256">
        <f>CONTINUA!BV69</f>
        <v>0</v>
      </c>
      <c r="M69" s="256">
        <f>CONTINUA!BW69</f>
        <v>0</v>
      </c>
      <c r="N69" s="564"/>
      <c r="O69" s="565" t="s">
        <v>3344</v>
      </c>
      <c r="P69" s="566">
        <v>0</v>
      </c>
      <c r="Q69" s="319">
        <v>0</v>
      </c>
      <c r="R69" s="320"/>
      <c r="S69" s="319">
        <v>0</v>
      </c>
      <c r="T69" s="320"/>
      <c r="U69" s="319">
        <v>0</v>
      </c>
      <c r="V69" s="320">
        <v>0</v>
      </c>
      <c r="W69" s="319">
        <v>0</v>
      </c>
      <c r="X69" s="320"/>
      <c r="Y69" s="319">
        <v>0</v>
      </c>
      <c r="Z69" s="320"/>
      <c r="AA69" s="319">
        <v>0</v>
      </c>
      <c r="AB69" s="320">
        <v>0</v>
      </c>
      <c r="AC69" s="319">
        <v>0</v>
      </c>
      <c r="AD69" s="320"/>
      <c r="AE69" s="319">
        <v>0</v>
      </c>
      <c r="AF69" s="320"/>
      <c r="AG69" s="319">
        <v>0</v>
      </c>
      <c r="AH69" s="320">
        <v>0</v>
      </c>
      <c r="AI69" s="319">
        <v>0</v>
      </c>
      <c r="AJ69" s="320"/>
      <c r="AK69" s="319">
        <v>0</v>
      </c>
      <c r="AL69" s="320"/>
      <c r="AM69" s="319">
        <v>0</v>
      </c>
      <c r="AN69" s="320">
        <v>0</v>
      </c>
      <c r="AO69" s="319">
        <v>0</v>
      </c>
      <c r="AP69" s="320"/>
      <c r="AQ69" s="319">
        <v>0</v>
      </c>
      <c r="AR69" s="320"/>
      <c r="AS69" s="319">
        <v>0</v>
      </c>
      <c r="AT69" s="320">
        <v>0</v>
      </c>
      <c r="AU69" s="319">
        <v>0</v>
      </c>
      <c r="AV69" s="320"/>
      <c r="AW69" s="319">
        <v>0</v>
      </c>
      <c r="AX69" s="320"/>
      <c r="AY69" s="319">
        <v>0</v>
      </c>
      <c r="AZ69" s="320">
        <v>0</v>
      </c>
      <c r="BA69" s="319">
        <v>0</v>
      </c>
      <c r="BB69" s="320"/>
      <c r="BC69" s="319">
        <v>0</v>
      </c>
      <c r="BD69" s="320"/>
      <c r="BE69" s="319">
        <v>0</v>
      </c>
      <c r="BF69" s="320">
        <v>0</v>
      </c>
      <c r="BG69" s="319">
        <v>0</v>
      </c>
      <c r="BH69" s="320"/>
      <c r="BI69" s="319">
        <v>0</v>
      </c>
      <c r="BJ69" s="320"/>
      <c r="BK69" s="319">
        <v>0</v>
      </c>
      <c r="BL69" s="320">
        <v>0</v>
      </c>
      <c r="BM69" s="319">
        <v>0</v>
      </c>
      <c r="BN69" s="320"/>
      <c r="BO69" s="319">
        <v>0</v>
      </c>
      <c r="BP69" s="320"/>
      <c r="BQ69" s="319">
        <v>0</v>
      </c>
      <c r="BR69" s="320">
        <v>0</v>
      </c>
      <c r="BS69" s="319">
        <v>0</v>
      </c>
      <c r="BT69" s="320"/>
      <c r="BU69" s="319">
        <v>0</v>
      </c>
      <c r="BV69" s="320"/>
      <c r="BW69" s="319">
        <v>0</v>
      </c>
      <c r="BX69" s="320">
        <v>0</v>
      </c>
      <c r="BY69" s="319">
        <v>0</v>
      </c>
      <c r="BZ69" s="320"/>
      <c r="CA69" s="319">
        <v>0</v>
      </c>
      <c r="CB69" s="320"/>
      <c r="CC69" s="319">
        <v>0</v>
      </c>
      <c r="CD69" s="320">
        <v>0</v>
      </c>
      <c r="CE69" s="319">
        <v>0</v>
      </c>
      <c r="CF69" s="320"/>
      <c r="CG69" s="319">
        <v>0</v>
      </c>
      <c r="CH69" s="320"/>
      <c r="CI69" s="319">
        <v>0</v>
      </c>
      <c r="CJ69" s="320">
        <v>0</v>
      </c>
      <c r="CK69" s="319">
        <v>0</v>
      </c>
      <c r="CL69" s="320"/>
      <c r="CM69" s="319">
        <v>0</v>
      </c>
      <c r="CN69" s="320"/>
      <c r="CO69" s="319">
        <v>0</v>
      </c>
      <c r="CP69" s="320">
        <v>0</v>
      </c>
      <c r="CQ69" s="319">
        <v>0</v>
      </c>
      <c r="CR69" s="320"/>
      <c r="CS69" s="319">
        <v>0</v>
      </c>
      <c r="CT69" s="320"/>
      <c r="CU69" s="319">
        <v>0</v>
      </c>
      <c r="CV69" s="320">
        <v>0</v>
      </c>
      <c r="CW69" s="319">
        <v>0</v>
      </c>
      <c r="CX69" s="320"/>
      <c r="CY69" s="319">
        <v>0</v>
      </c>
      <c r="CZ69" s="320"/>
      <c r="DA69" s="319">
        <v>0</v>
      </c>
      <c r="DB69" s="320">
        <v>0</v>
      </c>
      <c r="DC69" s="319">
        <v>0</v>
      </c>
      <c r="DD69" s="320"/>
      <c r="DE69" s="319">
        <v>0</v>
      </c>
      <c r="DF69" s="320"/>
      <c r="DG69" s="319">
        <v>0</v>
      </c>
      <c r="DH69" s="320">
        <v>0</v>
      </c>
      <c r="DI69" s="319">
        <v>0</v>
      </c>
      <c r="DJ69" s="320"/>
      <c r="DK69" s="319">
        <v>0</v>
      </c>
      <c r="DL69" s="320"/>
      <c r="DM69" s="319">
        <v>0</v>
      </c>
      <c r="DN69" s="320">
        <v>0</v>
      </c>
      <c r="DO69" s="319">
        <v>0</v>
      </c>
      <c r="DP69" s="320"/>
      <c r="DQ69" s="319">
        <v>0</v>
      </c>
      <c r="DR69" s="320"/>
      <c r="DS69" s="319">
        <v>0</v>
      </c>
      <c r="DT69" s="320">
        <v>0</v>
      </c>
      <c r="DU69" s="319">
        <v>0</v>
      </c>
      <c r="DV69" s="320"/>
      <c r="DW69" s="319">
        <v>0</v>
      </c>
      <c r="DX69" s="320"/>
      <c r="DY69" s="319">
        <v>0</v>
      </c>
      <c r="DZ69" s="320">
        <v>0</v>
      </c>
      <c r="EA69" s="319">
        <v>0</v>
      </c>
      <c r="EB69" s="320"/>
      <c r="EC69" s="319">
        <v>0</v>
      </c>
      <c r="ED69" s="320"/>
      <c r="EE69" s="319">
        <v>0</v>
      </c>
      <c r="EF69" s="320">
        <v>0</v>
      </c>
      <c r="EG69" s="319">
        <v>0</v>
      </c>
      <c r="EH69" s="320"/>
      <c r="EI69" s="319">
        <v>0</v>
      </c>
      <c r="EJ69" s="320"/>
      <c r="EK69" s="319">
        <v>0</v>
      </c>
      <c r="EL69" s="320">
        <v>0</v>
      </c>
      <c r="EM69" s="319">
        <v>0</v>
      </c>
      <c r="EN69" s="320"/>
      <c r="EO69" s="319">
        <v>0</v>
      </c>
      <c r="EP69" s="320"/>
      <c r="EQ69" s="319">
        <v>0</v>
      </c>
      <c r="ER69" s="320">
        <v>0</v>
      </c>
      <c r="ES69" s="319">
        <v>0</v>
      </c>
      <c r="ET69" s="320"/>
      <c r="EU69" s="319">
        <v>0</v>
      </c>
      <c r="EV69" s="320"/>
      <c r="EW69" s="319">
        <v>0</v>
      </c>
      <c r="EX69" s="320">
        <v>0</v>
      </c>
      <c r="EY69" s="319">
        <v>0</v>
      </c>
      <c r="EZ69" s="320"/>
      <c r="FA69" s="319">
        <v>0</v>
      </c>
      <c r="FB69" s="320"/>
      <c r="FC69" s="319">
        <v>0</v>
      </c>
      <c r="FD69" s="320">
        <v>0</v>
      </c>
      <c r="FE69" s="319">
        <v>0</v>
      </c>
      <c r="FF69" s="320"/>
      <c r="FG69" s="319">
        <v>0</v>
      </c>
      <c r="FH69" s="320"/>
      <c r="FI69" s="319">
        <v>0</v>
      </c>
      <c r="FJ69" s="320">
        <v>0</v>
      </c>
      <c r="FK69" s="319">
        <v>0</v>
      </c>
      <c r="FL69" s="320"/>
      <c r="FM69" s="319">
        <v>0</v>
      </c>
      <c r="FN69" s="320"/>
      <c r="FO69" s="319">
        <v>0</v>
      </c>
      <c r="FP69" s="320">
        <v>0</v>
      </c>
      <c r="FQ69" s="319">
        <v>0</v>
      </c>
      <c r="FR69" s="320"/>
      <c r="FS69" s="319">
        <v>0</v>
      </c>
      <c r="FT69" s="320"/>
      <c r="FU69" s="319">
        <v>0</v>
      </c>
      <c r="FV69" s="320">
        <v>0</v>
      </c>
      <c r="FW69" s="319">
        <v>0</v>
      </c>
      <c r="FX69" s="320"/>
      <c r="FY69" s="319">
        <v>0</v>
      </c>
      <c r="FZ69" s="320"/>
      <c r="GA69" s="319">
        <v>0</v>
      </c>
      <c r="GB69" s="320">
        <v>0</v>
      </c>
      <c r="GC69" s="319">
        <v>0</v>
      </c>
      <c r="GD69" s="320"/>
      <c r="GE69" s="319">
        <v>0</v>
      </c>
      <c r="GF69" s="320"/>
      <c r="GG69" s="319">
        <v>0</v>
      </c>
      <c r="GH69" s="320">
        <v>0</v>
      </c>
      <c r="GI69" s="319">
        <v>0</v>
      </c>
      <c r="GJ69" s="320"/>
      <c r="GK69" s="319">
        <v>0</v>
      </c>
      <c r="GL69" s="320"/>
      <c r="GM69" s="319">
        <v>0</v>
      </c>
      <c r="GN69" s="320">
        <v>0</v>
      </c>
      <c r="GO69" s="319">
        <v>0</v>
      </c>
      <c r="GP69" s="320"/>
      <c r="GQ69" s="319">
        <v>0</v>
      </c>
      <c r="GR69" s="320"/>
      <c r="GS69" s="319">
        <v>0</v>
      </c>
      <c r="GT69" s="320">
        <v>0</v>
      </c>
      <c r="GU69" s="319">
        <v>0</v>
      </c>
      <c r="GV69" s="320"/>
      <c r="GW69" s="319">
        <v>0</v>
      </c>
      <c r="GX69" s="320"/>
      <c r="GY69" s="319">
        <v>0</v>
      </c>
      <c r="GZ69" s="320">
        <v>0</v>
      </c>
    </row>
    <row r="70" spans="1:208" s="89" customFormat="1" ht="22.5" customHeight="1" thickBot="1" x14ac:dyDescent="0.25">
      <c r="A70" s="296" t="s">
        <v>3225</v>
      </c>
      <c r="B70" s="297" t="s">
        <v>3226</v>
      </c>
      <c r="C70" s="298" t="s">
        <v>3170</v>
      </c>
      <c r="D70" s="299" t="s">
        <v>3227</v>
      </c>
      <c r="E70" s="299" t="s">
        <v>3228</v>
      </c>
      <c r="F70" s="300" t="s">
        <v>3166</v>
      </c>
      <c r="G70" s="300" t="s">
        <v>3167</v>
      </c>
      <c r="H70" s="301" t="s">
        <v>1486</v>
      </c>
      <c r="I70" s="302" t="s">
        <v>1486</v>
      </c>
      <c r="J70" s="340" t="s">
        <v>3168</v>
      </c>
      <c r="K70" s="343" t="s">
        <v>53</v>
      </c>
      <c r="L70" s="256">
        <f>CONTINUA!BV70</f>
        <v>0</v>
      </c>
      <c r="M70" s="256">
        <f>CONTINUA!BW70</f>
        <v>0</v>
      </c>
      <c r="N70" s="564"/>
      <c r="O70" s="565" t="s">
        <v>3344</v>
      </c>
      <c r="P70" s="566">
        <v>0</v>
      </c>
      <c r="Q70" s="319">
        <v>0</v>
      </c>
      <c r="R70" s="320"/>
      <c r="S70" s="319">
        <v>0</v>
      </c>
      <c r="T70" s="320"/>
      <c r="U70" s="321">
        <v>0</v>
      </c>
      <c r="V70" s="322">
        <v>0</v>
      </c>
      <c r="W70" s="319">
        <v>0</v>
      </c>
      <c r="X70" s="320"/>
      <c r="Y70" s="319">
        <v>0</v>
      </c>
      <c r="Z70" s="320"/>
      <c r="AA70" s="321">
        <v>0</v>
      </c>
      <c r="AB70" s="322">
        <v>0</v>
      </c>
      <c r="AC70" s="319">
        <v>0</v>
      </c>
      <c r="AD70" s="320"/>
      <c r="AE70" s="319">
        <v>0</v>
      </c>
      <c r="AF70" s="320"/>
      <c r="AG70" s="321">
        <v>0</v>
      </c>
      <c r="AH70" s="322">
        <v>0</v>
      </c>
      <c r="AI70" s="319">
        <v>0</v>
      </c>
      <c r="AJ70" s="320"/>
      <c r="AK70" s="319">
        <v>0</v>
      </c>
      <c r="AL70" s="320"/>
      <c r="AM70" s="321">
        <v>0</v>
      </c>
      <c r="AN70" s="322">
        <v>0</v>
      </c>
      <c r="AO70" s="319">
        <v>0</v>
      </c>
      <c r="AP70" s="320"/>
      <c r="AQ70" s="319">
        <v>0</v>
      </c>
      <c r="AR70" s="320"/>
      <c r="AS70" s="321">
        <v>0</v>
      </c>
      <c r="AT70" s="322">
        <v>0</v>
      </c>
      <c r="AU70" s="319">
        <v>0</v>
      </c>
      <c r="AV70" s="320"/>
      <c r="AW70" s="319">
        <v>0</v>
      </c>
      <c r="AX70" s="320"/>
      <c r="AY70" s="321">
        <v>0</v>
      </c>
      <c r="AZ70" s="322">
        <v>0</v>
      </c>
      <c r="BA70" s="319">
        <v>0</v>
      </c>
      <c r="BB70" s="320"/>
      <c r="BC70" s="319">
        <v>0</v>
      </c>
      <c r="BD70" s="320"/>
      <c r="BE70" s="321">
        <v>0</v>
      </c>
      <c r="BF70" s="322">
        <v>0</v>
      </c>
      <c r="BG70" s="319">
        <v>0</v>
      </c>
      <c r="BH70" s="320"/>
      <c r="BI70" s="319">
        <v>0</v>
      </c>
      <c r="BJ70" s="320"/>
      <c r="BK70" s="321">
        <v>0</v>
      </c>
      <c r="BL70" s="322">
        <v>0</v>
      </c>
      <c r="BM70" s="319">
        <v>0</v>
      </c>
      <c r="BN70" s="320"/>
      <c r="BO70" s="319">
        <v>0</v>
      </c>
      <c r="BP70" s="320"/>
      <c r="BQ70" s="321">
        <v>0</v>
      </c>
      <c r="BR70" s="322">
        <v>0</v>
      </c>
      <c r="BS70" s="319">
        <v>0</v>
      </c>
      <c r="BT70" s="320"/>
      <c r="BU70" s="319">
        <v>0</v>
      </c>
      <c r="BV70" s="320"/>
      <c r="BW70" s="321">
        <v>0</v>
      </c>
      <c r="BX70" s="322">
        <v>0</v>
      </c>
      <c r="BY70" s="319">
        <v>0</v>
      </c>
      <c r="BZ70" s="320"/>
      <c r="CA70" s="319">
        <v>0</v>
      </c>
      <c r="CB70" s="320"/>
      <c r="CC70" s="321">
        <v>0</v>
      </c>
      <c r="CD70" s="322">
        <v>0</v>
      </c>
      <c r="CE70" s="319">
        <v>0</v>
      </c>
      <c r="CF70" s="320"/>
      <c r="CG70" s="319">
        <v>0</v>
      </c>
      <c r="CH70" s="320"/>
      <c r="CI70" s="321">
        <v>0</v>
      </c>
      <c r="CJ70" s="322">
        <v>0</v>
      </c>
      <c r="CK70" s="319">
        <v>0</v>
      </c>
      <c r="CL70" s="320"/>
      <c r="CM70" s="319">
        <v>0</v>
      </c>
      <c r="CN70" s="320"/>
      <c r="CO70" s="321">
        <v>0</v>
      </c>
      <c r="CP70" s="322">
        <v>0</v>
      </c>
      <c r="CQ70" s="319">
        <v>0</v>
      </c>
      <c r="CR70" s="320"/>
      <c r="CS70" s="319">
        <v>0</v>
      </c>
      <c r="CT70" s="320"/>
      <c r="CU70" s="321">
        <v>0</v>
      </c>
      <c r="CV70" s="322">
        <v>0</v>
      </c>
      <c r="CW70" s="319">
        <v>0</v>
      </c>
      <c r="CX70" s="320"/>
      <c r="CY70" s="319">
        <v>0</v>
      </c>
      <c r="CZ70" s="320"/>
      <c r="DA70" s="321">
        <v>0</v>
      </c>
      <c r="DB70" s="322">
        <v>0</v>
      </c>
      <c r="DC70" s="319">
        <v>0</v>
      </c>
      <c r="DD70" s="320"/>
      <c r="DE70" s="319">
        <v>0</v>
      </c>
      <c r="DF70" s="320"/>
      <c r="DG70" s="321">
        <v>0</v>
      </c>
      <c r="DH70" s="322">
        <v>0</v>
      </c>
      <c r="DI70" s="319">
        <v>0</v>
      </c>
      <c r="DJ70" s="320"/>
      <c r="DK70" s="319">
        <v>0</v>
      </c>
      <c r="DL70" s="320"/>
      <c r="DM70" s="321">
        <v>0</v>
      </c>
      <c r="DN70" s="322">
        <v>0</v>
      </c>
      <c r="DO70" s="319">
        <v>0</v>
      </c>
      <c r="DP70" s="320"/>
      <c r="DQ70" s="319">
        <v>0</v>
      </c>
      <c r="DR70" s="320"/>
      <c r="DS70" s="321">
        <v>0</v>
      </c>
      <c r="DT70" s="322">
        <v>0</v>
      </c>
      <c r="DU70" s="319">
        <v>0</v>
      </c>
      <c r="DV70" s="320"/>
      <c r="DW70" s="319">
        <v>0</v>
      </c>
      <c r="DX70" s="320"/>
      <c r="DY70" s="321">
        <v>0</v>
      </c>
      <c r="DZ70" s="322">
        <v>0</v>
      </c>
      <c r="EA70" s="319">
        <v>0</v>
      </c>
      <c r="EB70" s="320"/>
      <c r="EC70" s="319">
        <v>0</v>
      </c>
      <c r="ED70" s="320"/>
      <c r="EE70" s="321">
        <v>0</v>
      </c>
      <c r="EF70" s="322">
        <v>0</v>
      </c>
      <c r="EG70" s="319">
        <v>0</v>
      </c>
      <c r="EH70" s="320"/>
      <c r="EI70" s="319">
        <v>0</v>
      </c>
      <c r="EJ70" s="320"/>
      <c r="EK70" s="321">
        <v>0</v>
      </c>
      <c r="EL70" s="322">
        <v>0</v>
      </c>
      <c r="EM70" s="319">
        <v>0</v>
      </c>
      <c r="EN70" s="320"/>
      <c r="EO70" s="319">
        <v>0</v>
      </c>
      <c r="EP70" s="320"/>
      <c r="EQ70" s="321">
        <v>0</v>
      </c>
      <c r="ER70" s="322">
        <v>0</v>
      </c>
      <c r="ES70" s="319">
        <v>0</v>
      </c>
      <c r="ET70" s="320"/>
      <c r="EU70" s="319">
        <v>0</v>
      </c>
      <c r="EV70" s="320"/>
      <c r="EW70" s="321">
        <v>0</v>
      </c>
      <c r="EX70" s="322">
        <v>0</v>
      </c>
      <c r="EY70" s="319">
        <v>0</v>
      </c>
      <c r="EZ70" s="320"/>
      <c r="FA70" s="319">
        <v>0</v>
      </c>
      <c r="FB70" s="320"/>
      <c r="FC70" s="321">
        <v>0</v>
      </c>
      <c r="FD70" s="322">
        <v>0</v>
      </c>
      <c r="FE70" s="319">
        <v>0</v>
      </c>
      <c r="FF70" s="320"/>
      <c r="FG70" s="319">
        <v>0</v>
      </c>
      <c r="FH70" s="320"/>
      <c r="FI70" s="321">
        <v>0</v>
      </c>
      <c r="FJ70" s="322">
        <v>0</v>
      </c>
      <c r="FK70" s="319">
        <v>0</v>
      </c>
      <c r="FL70" s="320"/>
      <c r="FM70" s="319">
        <v>0</v>
      </c>
      <c r="FN70" s="320"/>
      <c r="FO70" s="321">
        <v>0</v>
      </c>
      <c r="FP70" s="322">
        <v>0</v>
      </c>
      <c r="FQ70" s="319">
        <v>0</v>
      </c>
      <c r="FR70" s="320"/>
      <c r="FS70" s="319">
        <v>0</v>
      </c>
      <c r="FT70" s="320"/>
      <c r="FU70" s="321">
        <v>0</v>
      </c>
      <c r="FV70" s="322">
        <v>0</v>
      </c>
      <c r="FW70" s="319">
        <v>0</v>
      </c>
      <c r="FX70" s="320"/>
      <c r="FY70" s="319">
        <v>0</v>
      </c>
      <c r="FZ70" s="320"/>
      <c r="GA70" s="321">
        <v>0</v>
      </c>
      <c r="GB70" s="322">
        <v>0</v>
      </c>
      <c r="GC70" s="319">
        <v>0</v>
      </c>
      <c r="GD70" s="320"/>
      <c r="GE70" s="319">
        <v>0</v>
      </c>
      <c r="GF70" s="320"/>
      <c r="GG70" s="321">
        <v>0</v>
      </c>
      <c r="GH70" s="322">
        <v>0</v>
      </c>
      <c r="GI70" s="319">
        <v>0</v>
      </c>
      <c r="GJ70" s="320"/>
      <c r="GK70" s="319">
        <v>0</v>
      </c>
      <c r="GL70" s="320"/>
      <c r="GM70" s="321">
        <v>0</v>
      </c>
      <c r="GN70" s="322">
        <v>0</v>
      </c>
      <c r="GO70" s="319">
        <v>0</v>
      </c>
      <c r="GP70" s="320"/>
      <c r="GQ70" s="319">
        <v>0</v>
      </c>
      <c r="GR70" s="320"/>
      <c r="GS70" s="321">
        <v>0</v>
      </c>
      <c r="GT70" s="322">
        <v>0</v>
      </c>
      <c r="GU70" s="319">
        <v>0</v>
      </c>
      <c r="GV70" s="320"/>
      <c r="GW70" s="319">
        <v>0</v>
      </c>
      <c r="GX70" s="320"/>
      <c r="GY70" s="321">
        <v>0</v>
      </c>
      <c r="GZ70" s="322">
        <v>0</v>
      </c>
    </row>
    <row r="71" spans="1:208" s="89" customFormat="1" ht="22.5" customHeight="1" x14ac:dyDescent="0.2">
      <c r="A71" t="s">
        <v>3229</v>
      </c>
      <c r="B71" s="429" t="s">
        <v>3230</v>
      </c>
      <c r="C71" s="430">
        <v>4</v>
      </c>
      <c r="D71" s="431" t="s">
        <v>3231</v>
      </c>
      <c r="E71" s="431" t="s">
        <v>3232</v>
      </c>
      <c r="F71" s="432" t="s">
        <v>3166</v>
      </c>
      <c r="G71" s="432" t="s">
        <v>3167</v>
      </c>
      <c r="H71" s="270" t="s">
        <v>1487</v>
      </c>
      <c r="I71" s="271" t="s">
        <v>1487</v>
      </c>
      <c r="J71" s="328" t="s">
        <v>3168</v>
      </c>
      <c r="K71" s="329" t="s">
        <v>3169</v>
      </c>
      <c r="L71" s="256">
        <f>CONTINUA!BV71</f>
        <v>0</v>
      </c>
      <c r="M71" s="256">
        <f>CONTINUA!BW71</f>
        <v>0</v>
      </c>
      <c r="N71" s="564"/>
      <c r="O71" s="565" t="s">
        <v>3345</v>
      </c>
      <c r="P71" s="566">
        <v>0</v>
      </c>
      <c r="Q71" s="319">
        <v>0</v>
      </c>
      <c r="R71" s="320"/>
      <c r="S71" s="319">
        <v>0</v>
      </c>
      <c r="T71" s="320"/>
      <c r="U71" s="321">
        <v>0</v>
      </c>
      <c r="V71" s="322">
        <v>0</v>
      </c>
      <c r="W71" s="319">
        <v>0</v>
      </c>
      <c r="X71" s="320"/>
      <c r="Y71" s="319">
        <v>0</v>
      </c>
      <c r="Z71" s="320"/>
      <c r="AA71" s="321">
        <v>0</v>
      </c>
      <c r="AB71" s="322">
        <v>0</v>
      </c>
      <c r="AC71" s="319">
        <v>0</v>
      </c>
      <c r="AD71" s="320"/>
      <c r="AE71" s="319">
        <v>0</v>
      </c>
      <c r="AF71" s="320"/>
      <c r="AG71" s="321">
        <v>0</v>
      </c>
      <c r="AH71" s="322">
        <v>0</v>
      </c>
      <c r="AI71" s="319">
        <v>0</v>
      </c>
      <c r="AJ71" s="320"/>
      <c r="AK71" s="319">
        <v>0</v>
      </c>
      <c r="AL71" s="320"/>
      <c r="AM71" s="321">
        <v>0</v>
      </c>
      <c r="AN71" s="322">
        <v>0</v>
      </c>
      <c r="AO71" s="319">
        <v>0</v>
      </c>
      <c r="AP71" s="320"/>
      <c r="AQ71" s="319">
        <v>0</v>
      </c>
      <c r="AR71" s="320"/>
      <c r="AS71" s="321">
        <v>0</v>
      </c>
      <c r="AT71" s="322">
        <v>0</v>
      </c>
      <c r="AU71" s="319">
        <v>0</v>
      </c>
      <c r="AV71" s="320"/>
      <c r="AW71" s="319">
        <v>0</v>
      </c>
      <c r="AX71" s="320"/>
      <c r="AY71" s="321">
        <v>0</v>
      </c>
      <c r="AZ71" s="322">
        <v>0</v>
      </c>
      <c r="BA71" s="319">
        <v>0</v>
      </c>
      <c r="BB71" s="320"/>
      <c r="BC71" s="319">
        <v>0</v>
      </c>
      <c r="BD71" s="320"/>
      <c r="BE71" s="321">
        <v>0</v>
      </c>
      <c r="BF71" s="322">
        <v>0</v>
      </c>
      <c r="BG71" s="319">
        <v>0</v>
      </c>
      <c r="BH71" s="320"/>
      <c r="BI71" s="319">
        <v>0</v>
      </c>
      <c r="BJ71" s="320"/>
      <c r="BK71" s="321">
        <v>0</v>
      </c>
      <c r="BL71" s="322">
        <v>0</v>
      </c>
      <c r="BM71" s="319">
        <v>0</v>
      </c>
      <c r="BN71" s="320"/>
      <c r="BO71" s="319">
        <v>0</v>
      </c>
      <c r="BP71" s="320"/>
      <c r="BQ71" s="321">
        <v>0</v>
      </c>
      <c r="BR71" s="322">
        <v>0</v>
      </c>
      <c r="BS71" s="319">
        <v>0</v>
      </c>
      <c r="BT71" s="320"/>
      <c r="BU71" s="319">
        <v>0</v>
      </c>
      <c r="BV71" s="320"/>
      <c r="BW71" s="321">
        <v>0</v>
      </c>
      <c r="BX71" s="322">
        <v>0</v>
      </c>
      <c r="BY71" s="319">
        <v>0</v>
      </c>
      <c r="BZ71" s="320"/>
      <c r="CA71" s="319">
        <v>0</v>
      </c>
      <c r="CB71" s="320"/>
      <c r="CC71" s="321">
        <v>0</v>
      </c>
      <c r="CD71" s="322">
        <v>0</v>
      </c>
      <c r="CE71" s="319">
        <v>0</v>
      </c>
      <c r="CF71" s="320"/>
      <c r="CG71" s="319">
        <v>0</v>
      </c>
      <c r="CH71" s="320"/>
      <c r="CI71" s="321">
        <v>0</v>
      </c>
      <c r="CJ71" s="322">
        <v>0</v>
      </c>
      <c r="CK71" s="319">
        <v>0</v>
      </c>
      <c r="CL71" s="320"/>
      <c r="CM71" s="319">
        <v>0</v>
      </c>
      <c r="CN71" s="320"/>
      <c r="CO71" s="321">
        <v>0</v>
      </c>
      <c r="CP71" s="322">
        <v>0</v>
      </c>
      <c r="CQ71" s="319">
        <v>0</v>
      </c>
      <c r="CR71" s="320"/>
      <c r="CS71" s="319">
        <v>0</v>
      </c>
      <c r="CT71" s="320"/>
      <c r="CU71" s="321">
        <v>0</v>
      </c>
      <c r="CV71" s="322">
        <v>0</v>
      </c>
      <c r="CW71" s="319">
        <v>0</v>
      </c>
      <c r="CX71" s="320"/>
      <c r="CY71" s="319">
        <v>0</v>
      </c>
      <c r="CZ71" s="320"/>
      <c r="DA71" s="321">
        <v>0</v>
      </c>
      <c r="DB71" s="322">
        <v>0</v>
      </c>
      <c r="DC71" s="319">
        <v>0</v>
      </c>
      <c r="DD71" s="320"/>
      <c r="DE71" s="319">
        <v>0</v>
      </c>
      <c r="DF71" s="320"/>
      <c r="DG71" s="321">
        <v>0</v>
      </c>
      <c r="DH71" s="322">
        <v>0</v>
      </c>
      <c r="DI71" s="319">
        <v>0</v>
      </c>
      <c r="DJ71" s="320"/>
      <c r="DK71" s="319">
        <v>0</v>
      </c>
      <c r="DL71" s="320"/>
      <c r="DM71" s="321">
        <v>0</v>
      </c>
      <c r="DN71" s="322">
        <v>0</v>
      </c>
      <c r="DO71" s="319">
        <v>0</v>
      </c>
      <c r="DP71" s="320"/>
      <c r="DQ71" s="319">
        <v>0</v>
      </c>
      <c r="DR71" s="320"/>
      <c r="DS71" s="321">
        <v>0</v>
      </c>
      <c r="DT71" s="322">
        <v>0</v>
      </c>
      <c r="DU71" s="319">
        <v>0</v>
      </c>
      <c r="DV71" s="320"/>
      <c r="DW71" s="319">
        <v>0</v>
      </c>
      <c r="DX71" s="320"/>
      <c r="DY71" s="321">
        <v>0</v>
      </c>
      <c r="DZ71" s="322">
        <v>0</v>
      </c>
      <c r="EA71" s="319">
        <v>0</v>
      </c>
      <c r="EB71" s="320"/>
      <c r="EC71" s="319">
        <v>0</v>
      </c>
      <c r="ED71" s="320"/>
      <c r="EE71" s="321">
        <v>0</v>
      </c>
      <c r="EF71" s="322">
        <v>0</v>
      </c>
      <c r="EG71" s="319">
        <v>0</v>
      </c>
      <c r="EH71" s="320"/>
      <c r="EI71" s="319">
        <v>0</v>
      </c>
      <c r="EJ71" s="320"/>
      <c r="EK71" s="321">
        <v>0</v>
      </c>
      <c r="EL71" s="322">
        <v>0</v>
      </c>
      <c r="EM71" s="319">
        <v>0</v>
      </c>
      <c r="EN71" s="320"/>
      <c r="EO71" s="319">
        <v>0</v>
      </c>
      <c r="EP71" s="320"/>
      <c r="EQ71" s="321">
        <v>0</v>
      </c>
      <c r="ER71" s="322">
        <v>0</v>
      </c>
      <c r="ES71" s="319">
        <v>0</v>
      </c>
      <c r="ET71" s="320"/>
      <c r="EU71" s="319">
        <v>0</v>
      </c>
      <c r="EV71" s="320"/>
      <c r="EW71" s="321">
        <v>0</v>
      </c>
      <c r="EX71" s="322">
        <v>0</v>
      </c>
      <c r="EY71" s="319">
        <v>0</v>
      </c>
      <c r="EZ71" s="320"/>
      <c r="FA71" s="319">
        <v>0</v>
      </c>
      <c r="FB71" s="320"/>
      <c r="FC71" s="321">
        <v>0</v>
      </c>
      <c r="FD71" s="322">
        <v>0</v>
      </c>
      <c r="FE71" s="319">
        <v>0</v>
      </c>
      <c r="FF71" s="320"/>
      <c r="FG71" s="319">
        <v>0</v>
      </c>
      <c r="FH71" s="320"/>
      <c r="FI71" s="321">
        <v>0</v>
      </c>
      <c r="FJ71" s="322">
        <v>0</v>
      </c>
      <c r="FK71" s="319">
        <v>0</v>
      </c>
      <c r="FL71" s="320"/>
      <c r="FM71" s="319">
        <v>0</v>
      </c>
      <c r="FN71" s="320"/>
      <c r="FO71" s="321">
        <v>0</v>
      </c>
      <c r="FP71" s="322">
        <v>0</v>
      </c>
      <c r="FQ71" s="319">
        <v>0</v>
      </c>
      <c r="FR71" s="320"/>
      <c r="FS71" s="319">
        <v>0</v>
      </c>
      <c r="FT71" s="320"/>
      <c r="FU71" s="321">
        <v>0</v>
      </c>
      <c r="FV71" s="322">
        <v>0</v>
      </c>
      <c r="FW71" s="319">
        <v>0</v>
      </c>
      <c r="FX71" s="320"/>
      <c r="FY71" s="319">
        <v>0</v>
      </c>
      <c r="FZ71" s="320"/>
      <c r="GA71" s="321">
        <v>0</v>
      </c>
      <c r="GB71" s="322">
        <v>0</v>
      </c>
      <c r="GC71" s="319">
        <v>0</v>
      </c>
      <c r="GD71" s="320"/>
      <c r="GE71" s="319">
        <v>0</v>
      </c>
      <c r="GF71" s="320"/>
      <c r="GG71" s="321">
        <v>0</v>
      </c>
      <c r="GH71" s="322">
        <v>0</v>
      </c>
      <c r="GI71" s="319">
        <v>0</v>
      </c>
      <c r="GJ71" s="320"/>
      <c r="GK71" s="319">
        <v>0</v>
      </c>
      <c r="GL71" s="320"/>
      <c r="GM71" s="321">
        <v>0</v>
      </c>
      <c r="GN71" s="322">
        <v>0</v>
      </c>
      <c r="GO71" s="319">
        <v>0</v>
      </c>
      <c r="GP71" s="320"/>
      <c r="GQ71" s="319">
        <v>0</v>
      </c>
      <c r="GR71" s="320"/>
      <c r="GS71" s="321">
        <v>0</v>
      </c>
      <c r="GT71" s="322">
        <v>0</v>
      </c>
      <c r="GU71" s="319">
        <v>0</v>
      </c>
      <c r="GV71" s="320"/>
      <c r="GW71" s="319">
        <v>0</v>
      </c>
      <c r="GX71" s="320"/>
      <c r="GY71" s="321">
        <v>0</v>
      </c>
      <c r="GZ71" s="322">
        <v>0</v>
      </c>
    </row>
    <row r="72" spans="1:208" s="89" customFormat="1" ht="22.5" customHeight="1" x14ac:dyDescent="0.2">
      <c r="A72" s="287" t="s">
        <v>3229</v>
      </c>
      <c r="B72" s="288" t="s">
        <v>3230</v>
      </c>
      <c r="C72" s="289" t="s">
        <v>3175</v>
      </c>
      <c r="D72" s="290" t="s">
        <v>3231</v>
      </c>
      <c r="E72" s="290" t="s">
        <v>3232</v>
      </c>
      <c r="F72" s="291" t="s">
        <v>3166</v>
      </c>
      <c r="G72" s="291" t="s">
        <v>3167</v>
      </c>
      <c r="H72" s="292" t="s">
        <v>1487</v>
      </c>
      <c r="I72" s="293" t="s">
        <v>1487</v>
      </c>
      <c r="J72" s="340" t="s">
        <v>3168</v>
      </c>
      <c r="K72" s="340" t="s">
        <v>3171</v>
      </c>
      <c r="L72" s="256">
        <f>CONTINUA!BV72</f>
        <v>0</v>
      </c>
      <c r="M72" s="256">
        <f>CONTINUA!BW72</f>
        <v>0</v>
      </c>
      <c r="N72" s="564"/>
      <c r="O72" s="565" t="s">
        <v>3345</v>
      </c>
      <c r="P72" s="566">
        <v>0</v>
      </c>
      <c r="Q72" s="319">
        <v>6</v>
      </c>
      <c r="R72" s="320"/>
      <c r="S72" s="319">
        <v>4</v>
      </c>
      <c r="T72" s="320"/>
      <c r="U72" s="319">
        <v>0</v>
      </c>
      <c r="V72" s="320">
        <v>0</v>
      </c>
      <c r="W72" s="319">
        <v>6</v>
      </c>
      <c r="X72" s="320"/>
      <c r="Y72" s="319">
        <v>4</v>
      </c>
      <c r="Z72" s="320"/>
      <c r="AA72" s="319">
        <v>0</v>
      </c>
      <c r="AB72" s="320">
        <v>0</v>
      </c>
      <c r="AC72" s="319">
        <v>6</v>
      </c>
      <c r="AD72" s="320"/>
      <c r="AE72" s="319">
        <v>4</v>
      </c>
      <c r="AF72" s="320"/>
      <c r="AG72" s="319">
        <v>0</v>
      </c>
      <c r="AH72" s="320">
        <v>0</v>
      </c>
      <c r="AI72" s="319">
        <v>6</v>
      </c>
      <c r="AJ72" s="320"/>
      <c r="AK72" s="319">
        <v>4</v>
      </c>
      <c r="AL72" s="320"/>
      <c r="AM72" s="319">
        <v>0</v>
      </c>
      <c r="AN72" s="320">
        <v>0</v>
      </c>
      <c r="AO72" s="319">
        <v>6</v>
      </c>
      <c r="AP72" s="320"/>
      <c r="AQ72" s="319">
        <v>4</v>
      </c>
      <c r="AR72" s="320"/>
      <c r="AS72" s="319">
        <v>0</v>
      </c>
      <c r="AT72" s="320">
        <v>0</v>
      </c>
      <c r="AU72" s="319">
        <v>6</v>
      </c>
      <c r="AV72" s="320"/>
      <c r="AW72" s="319">
        <v>4</v>
      </c>
      <c r="AX72" s="320"/>
      <c r="AY72" s="319">
        <v>0</v>
      </c>
      <c r="AZ72" s="320">
        <v>0</v>
      </c>
      <c r="BA72" s="319">
        <v>6</v>
      </c>
      <c r="BB72" s="320"/>
      <c r="BC72" s="319">
        <v>4</v>
      </c>
      <c r="BD72" s="320"/>
      <c r="BE72" s="319">
        <v>0</v>
      </c>
      <c r="BF72" s="320">
        <v>0</v>
      </c>
      <c r="BG72" s="319">
        <v>6</v>
      </c>
      <c r="BH72" s="320"/>
      <c r="BI72" s="319">
        <v>4</v>
      </c>
      <c r="BJ72" s="320"/>
      <c r="BK72" s="319">
        <v>0</v>
      </c>
      <c r="BL72" s="320">
        <v>0</v>
      </c>
      <c r="BM72" s="319">
        <v>6</v>
      </c>
      <c r="BN72" s="320"/>
      <c r="BO72" s="319">
        <v>4</v>
      </c>
      <c r="BP72" s="320"/>
      <c r="BQ72" s="319">
        <v>0</v>
      </c>
      <c r="BR72" s="320">
        <v>0</v>
      </c>
      <c r="BS72" s="319">
        <v>6</v>
      </c>
      <c r="BT72" s="320"/>
      <c r="BU72" s="319">
        <v>4</v>
      </c>
      <c r="BV72" s="320"/>
      <c r="BW72" s="319">
        <v>0</v>
      </c>
      <c r="BX72" s="320">
        <v>0</v>
      </c>
      <c r="BY72" s="319">
        <v>6</v>
      </c>
      <c r="BZ72" s="320"/>
      <c r="CA72" s="319">
        <v>4</v>
      </c>
      <c r="CB72" s="320"/>
      <c r="CC72" s="319">
        <v>0</v>
      </c>
      <c r="CD72" s="320">
        <v>0</v>
      </c>
      <c r="CE72" s="319">
        <v>6</v>
      </c>
      <c r="CF72" s="320"/>
      <c r="CG72" s="319">
        <v>4</v>
      </c>
      <c r="CH72" s="320"/>
      <c r="CI72" s="319">
        <v>0</v>
      </c>
      <c r="CJ72" s="320">
        <v>0</v>
      </c>
      <c r="CK72" s="319">
        <v>6</v>
      </c>
      <c r="CL72" s="320"/>
      <c r="CM72" s="319">
        <v>4</v>
      </c>
      <c r="CN72" s="320"/>
      <c r="CO72" s="319">
        <v>0</v>
      </c>
      <c r="CP72" s="320">
        <v>0</v>
      </c>
      <c r="CQ72" s="319">
        <v>6</v>
      </c>
      <c r="CR72" s="320"/>
      <c r="CS72" s="319">
        <v>4</v>
      </c>
      <c r="CT72" s="320"/>
      <c r="CU72" s="319">
        <v>0</v>
      </c>
      <c r="CV72" s="320">
        <v>0</v>
      </c>
      <c r="CW72" s="319">
        <v>6</v>
      </c>
      <c r="CX72" s="320"/>
      <c r="CY72" s="319">
        <v>4</v>
      </c>
      <c r="CZ72" s="320"/>
      <c r="DA72" s="319">
        <v>0</v>
      </c>
      <c r="DB72" s="320">
        <v>0</v>
      </c>
      <c r="DC72" s="319">
        <v>6</v>
      </c>
      <c r="DD72" s="320"/>
      <c r="DE72" s="319">
        <v>4</v>
      </c>
      <c r="DF72" s="320"/>
      <c r="DG72" s="319">
        <v>0</v>
      </c>
      <c r="DH72" s="320">
        <v>0</v>
      </c>
      <c r="DI72" s="319">
        <v>6</v>
      </c>
      <c r="DJ72" s="320"/>
      <c r="DK72" s="319">
        <v>4</v>
      </c>
      <c r="DL72" s="320"/>
      <c r="DM72" s="319">
        <v>0</v>
      </c>
      <c r="DN72" s="320">
        <v>0</v>
      </c>
      <c r="DO72" s="319">
        <v>6</v>
      </c>
      <c r="DP72" s="320"/>
      <c r="DQ72" s="319">
        <v>4</v>
      </c>
      <c r="DR72" s="320"/>
      <c r="DS72" s="319">
        <v>0</v>
      </c>
      <c r="DT72" s="320">
        <v>0</v>
      </c>
      <c r="DU72" s="319">
        <v>6</v>
      </c>
      <c r="DV72" s="320"/>
      <c r="DW72" s="319">
        <v>4</v>
      </c>
      <c r="DX72" s="320"/>
      <c r="DY72" s="319">
        <v>0</v>
      </c>
      <c r="DZ72" s="320">
        <v>0</v>
      </c>
      <c r="EA72" s="319">
        <v>6</v>
      </c>
      <c r="EB72" s="320"/>
      <c r="EC72" s="319">
        <v>4</v>
      </c>
      <c r="ED72" s="320"/>
      <c r="EE72" s="319">
        <v>0</v>
      </c>
      <c r="EF72" s="320">
        <v>0</v>
      </c>
      <c r="EG72" s="319">
        <v>6</v>
      </c>
      <c r="EH72" s="320"/>
      <c r="EI72" s="319">
        <v>4</v>
      </c>
      <c r="EJ72" s="320"/>
      <c r="EK72" s="319">
        <v>0</v>
      </c>
      <c r="EL72" s="320">
        <v>0</v>
      </c>
      <c r="EM72" s="319">
        <v>6</v>
      </c>
      <c r="EN72" s="320"/>
      <c r="EO72" s="319">
        <v>4</v>
      </c>
      <c r="EP72" s="320"/>
      <c r="EQ72" s="319">
        <v>0</v>
      </c>
      <c r="ER72" s="320">
        <v>0</v>
      </c>
      <c r="ES72" s="319">
        <v>6</v>
      </c>
      <c r="ET72" s="320"/>
      <c r="EU72" s="319">
        <v>4</v>
      </c>
      <c r="EV72" s="320"/>
      <c r="EW72" s="319">
        <v>0</v>
      </c>
      <c r="EX72" s="320">
        <v>0</v>
      </c>
      <c r="EY72" s="319">
        <v>6</v>
      </c>
      <c r="EZ72" s="320"/>
      <c r="FA72" s="319">
        <v>4</v>
      </c>
      <c r="FB72" s="320"/>
      <c r="FC72" s="319">
        <v>0</v>
      </c>
      <c r="FD72" s="320">
        <v>0</v>
      </c>
      <c r="FE72" s="319">
        <v>6</v>
      </c>
      <c r="FF72" s="320"/>
      <c r="FG72" s="319">
        <v>4</v>
      </c>
      <c r="FH72" s="320"/>
      <c r="FI72" s="319">
        <v>0</v>
      </c>
      <c r="FJ72" s="320">
        <v>0</v>
      </c>
      <c r="FK72" s="319">
        <v>6</v>
      </c>
      <c r="FL72" s="320"/>
      <c r="FM72" s="319">
        <v>4</v>
      </c>
      <c r="FN72" s="320"/>
      <c r="FO72" s="319">
        <v>0</v>
      </c>
      <c r="FP72" s="320">
        <v>0</v>
      </c>
      <c r="FQ72" s="319">
        <v>6</v>
      </c>
      <c r="FR72" s="320"/>
      <c r="FS72" s="319">
        <v>4</v>
      </c>
      <c r="FT72" s="320"/>
      <c r="FU72" s="319">
        <v>0</v>
      </c>
      <c r="FV72" s="320">
        <v>0</v>
      </c>
      <c r="FW72" s="319">
        <v>6</v>
      </c>
      <c r="FX72" s="320"/>
      <c r="FY72" s="319">
        <v>4</v>
      </c>
      <c r="FZ72" s="320"/>
      <c r="GA72" s="319">
        <v>0</v>
      </c>
      <c r="GB72" s="320">
        <v>0</v>
      </c>
      <c r="GC72" s="319">
        <v>6</v>
      </c>
      <c r="GD72" s="320"/>
      <c r="GE72" s="319">
        <v>4</v>
      </c>
      <c r="GF72" s="320"/>
      <c r="GG72" s="319">
        <v>0</v>
      </c>
      <c r="GH72" s="320">
        <v>0</v>
      </c>
      <c r="GI72" s="319">
        <v>6</v>
      </c>
      <c r="GJ72" s="320"/>
      <c r="GK72" s="319">
        <v>4</v>
      </c>
      <c r="GL72" s="320"/>
      <c r="GM72" s="319">
        <v>0</v>
      </c>
      <c r="GN72" s="320">
        <v>0</v>
      </c>
      <c r="GO72" s="319">
        <v>6</v>
      </c>
      <c r="GP72" s="320"/>
      <c r="GQ72" s="319">
        <v>4</v>
      </c>
      <c r="GR72" s="320"/>
      <c r="GS72" s="319">
        <v>0</v>
      </c>
      <c r="GT72" s="320">
        <v>0</v>
      </c>
      <c r="GU72" s="319">
        <v>6</v>
      </c>
      <c r="GV72" s="320"/>
      <c r="GW72" s="319">
        <v>4</v>
      </c>
      <c r="GX72" s="320"/>
      <c r="GY72" s="319">
        <v>0</v>
      </c>
      <c r="GZ72" s="320">
        <v>0</v>
      </c>
    </row>
    <row r="73" spans="1:208" s="89" customFormat="1" ht="22.5" customHeight="1" x14ac:dyDescent="0.2">
      <c r="A73" s="287" t="s">
        <v>3229</v>
      </c>
      <c r="B73" s="288" t="s">
        <v>3230</v>
      </c>
      <c r="C73" s="294" t="s">
        <v>3175</v>
      </c>
      <c r="D73" s="290" t="s">
        <v>3231</v>
      </c>
      <c r="E73" s="290" t="s">
        <v>3232</v>
      </c>
      <c r="F73" s="295" t="s">
        <v>3166</v>
      </c>
      <c r="G73" s="295" t="s">
        <v>3167</v>
      </c>
      <c r="H73" s="292" t="s">
        <v>1487</v>
      </c>
      <c r="I73" s="293" t="s">
        <v>1487</v>
      </c>
      <c r="J73" s="340" t="s">
        <v>3168</v>
      </c>
      <c r="K73" s="341" t="s">
        <v>3172</v>
      </c>
      <c r="L73" s="256">
        <f>CONTINUA!BV73</f>
        <v>0</v>
      </c>
      <c r="M73" s="256">
        <f>CONTINUA!BW73</f>
        <v>0</v>
      </c>
      <c r="N73" s="564"/>
      <c r="O73" s="565" t="s">
        <v>3345</v>
      </c>
      <c r="P73" s="566">
        <v>0</v>
      </c>
      <c r="Q73" s="319">
        <v>0</v>
      </c>
      <c r="R73" s="320"/>
      <c r="S73" s="319">
        <v>0</v>
      </c>
      <c r="T73" s="320"/>
      <c r="U73" s="319">
        <v>0</v>
      </c>
      <c r="V73" s="320">
        <v>0</v>
      </c>
      <c r="W73" s="319">
        <v>0</v>
      </c>
      <c r="X73" s="320"/>
      <c r="Y73" s="319">
        <v>0</v>
      </c>
      <c r="Z73" s="320"/>
      <c r="AA73" s="319">
        <v>0</v>
      </c>
      <c r="AB73" s="320">
        <v>0</v>
      </c>
      <c r="AC73" s="319">
        <v>0</v>
      </c>
      <c r="AD73" s="320"/>
      <c r="AE73" s="319">
        <v>0</v>
      </c>
      <c r="AF73" s="320"/>
      <c r="AG73" s="319">
        <v>0</v>
      </c>
      <c r="AH73" s="320">
        <v>0</v>
      </c>
      <c r="AI73" s="319">
        <v>0</v>
      </c>
      <c r="AJ73" s="320"/>
      <c r="AK73" s="319">
        <v>0</v>
      </c>
      <c r="AL73" s="320"/>
      <c r="AM73" s="319">
        <v>0</v>
      </c>
      <c r="AN73" s="320">
        <v>0</v>
      </c>
      <c r="AO73" s="319">
        <v>0</v>
      </c>
      <c r="AP73" s="320"/>
      <c r="AQ73" s="319">
        <v>0</v>
      </c>
      <c r="AR73" s="320"/>
      <c r="AS73" s="319">
        <v>0</v>
      </c>
      <c r="AT73" s="320">
        <v>0</v>
      </c>
      <c r="AU73" s="319">
        <v>0</v>
      </c>
      <c r="AV73" s="320"/>
      <c r="AW73" s="319">
        <v>0</v>
      </c>
      <c r="AX73" s="320"/>
      <c r="AY73" s="319">
        <v>0</v>
      </c>
      <c r="AZ73" s="320">
        <v>0</v>
      </c>
      <c r="BA73" s="319">
        <v>0</v>
      </c>
      <c r="BB73" s="320"/>
      <c r="BC73" s="319">
        <v>0</v>
      </c>
      <c r="BD73" s="320"/>
      <c r="BE73" s="319">
        <v>0</v>
      </c>
      <c r="BF73" s="320">
        <v>0</v>
      </c>
      <c r="BG73" s="319">
        <v>0</v>
      </c>
      <c r="BH73" s="320"/>
      <c r="BI73" s="319">
        <v>0</v>
      </c>
      <c r="BJ73" s="320"/>
      <c r="BK73" s="319">
        <v>0</v>
      </c>
      <c r="BL73" s="320">
        <v>0</v>
      </c>
      <c r="BM73" s="319">
        <v>0</v>
      </c>
      <c r="BN73" s="320"/>
      <c r="BO73" s="319">
        <v>0</v>
      </c>
      <c r="BP73" s="320"/>
      <c r="BQ73" s="319">
        <v>0</v>
      </c>
      <c r="BR73" s="320">
        <v>0</v>
      </c>
      <c r="BS73" s="319">
        <v>0</v>
      </c>
      <c r="BT73" s="320"/>
      <c r="BU73" s="319">
        <v>0</v>
      </c>
      <c r="BV73" s="320"/>
      <c r="BW73" s="319">
        <v>0</v>
      </c>
      <c r="BX73" s="320">
        <v>0</v>
      </c>
      <c r="BY73" s="319">
        <v>0</v>
      </c>
      <c r="BZ73" s="320"/>
      <c r="CA73" s="319">
        <v>0</v>
      </c>
      <c r="CB73" s="320"/>
      <c r="CC73" s="319">
        <v>0</v>
      </c>
      <c r="CD73" s="320">
        <v>0</v>
      </c>
      <c r="CE73" s="319">
        <v>0</v>
      </c>
      <c r="CF73" s="320"/>
      <c r="CG73" s="319">
        <v>0</v>
      </c>
      <c r="CH73" s="320"/>
      <c r="CI73" s="319">
        <v>0</v>
      </c>
      <c r="CJ73" s="320">
        <v>0</v>
      </c>
      <c r="CK73" s="319">
        <v>0</v>
      </c>
      <c r="CL73" s="320"/>
      <c r="CM73" s="319">
        <v>0</v>
      </c>
      <c r="CN73" s="320"/>
      <c r="CO73" s="319">
        <v>0</v>
      </c>
      <c r="CP73" s="320">
        <v>0</v>
      </c>
      <c r="CQ73" s="319">
        <v>0</v>
      </c>
      <c r="CR73" s="320"/>
      <c r="CS73" s="319">
        <v>0</v>
      </c>
      <c r="CT73" s="320"/>
      <c r="CU73" s="319">
        <v>0</v>
      </c>
      <c r="CV73" s="320">
        <v>0</v>
      </c>
      <c r="CW73" s="319">
        <v>0</v>
      </c>
      <c r="CX73" s="320"/>
      <c r="CY73" s="319">
        <v>0</v>
      </c>
      <c r="CZ73" s="320"/>
      <c r="DA73" s="319">
        <v>0</v>
      </c>
      <c r="DB73" s="320">
        <v>0</v>
      </c>
      <c r="DC73" s="319">
        <v>0</v>
      </c>
      <c r="DD73" s="320"/>
      <c r="DE73" s="319">
        <v>0</v>
      </c>
      <c r="DF73" s="320"/>
      <c r="DG73" s="319">
        <v>0</v>
      </c>
      <c r="DH73" s="320">
        <v>0</v>
      </c>
      <c r="DI73" s="319">
        <v>0</v>
      </c>
      <c r="DJ73" s="320"/>
      <c r="DK73" s="319">
        <v>0</v>
      </c>
      <c r="DL73" s="320"/>
      <c r="DM73" s="319">
        <v>0</v>
      </c>
      <c r="DN73" s="320">
        <v>0</v>
      </c>
      <c r="DO73" s="319">
        <v>0</v>
      </c>
      <c r="DP73" s="320"/>
      <c r="DQ73" s="319">
        <v>0</v>
      </c>
      <c r="DR73" s="320"/>
      <c r="DS73" s="319">
        <v>0</v>
      </c>
      <c r="DT73" s="320">
        <v>0</v>
      </c>
      <c r="DU73" s="319">
        <v>0</v>
      </c>
      <c r="DV73" s="320"/>
      <c r="DW73" s="319">
        <v>0</v>
      </c>
      <c r="DX73" s="320"/>
      <c r="DY73" s="319">
        <v>0</v>
      </c>
      <c r="DZ73" s="320">
        <v>0</v>
      </c>
      <c r="EA73" s="319">
        <v>0</v>
      </c>
      <c r="EB73" s="320"/>
      <c r="EC73" s="319">
        <v>0</v>
      </c>
      <c r="ED73" s="320"/>
      <c r="EE73" s="319">
        <v>0</v>
      </c>
      <c r="EF73" s="320">
        <v>0</v>
      </c>
      <c r="EG73" s="319">
        <v>0</v>
      </c>
      <c r="EH73" s="320"/>
      <c r="EI73" s="319">
        <v>0</v>
      </c>
      <c r="EJ73" s="320"/>
      <c r="EK73" s="319">
        <v>0</v>
      </c>
      <c r="EL73" s="320">
        <v>0</v>
      </c>
      <c r="EM73" s="319">
        <v>0</v>
      </c>
      <c r="EN73" s="320"/>
      <c r="EO73" s="319">
        <v>0</v>
      </c>
      <c r="EP73" s="320"/>
      <c r="EQ73" s="319">
        <v>0</v>
      </c>
      <c r="ER73" s="320">
        <v>0</v>
      </c>
      <c r="ES73" s="319">
        <v>0</v>
      </c>
      <c r="ET73" s="320"/>
      <c r="EU73" s="319">
        <v>0</v>
      </c>
      <c r="EV73" s="320"/>
      <c r="EW73" s="319">
        <v>0</v>
      </c>
      <c r="EX73" s="320">
        <v>0</v>
      </c>
      <c r="EY73" s="319">
        <v>0</v>
      </c>
      <c r="EZ73" s="320"/>
      <c r="FA73" s="319">
        <v>0</v>
      </c>
      <c r="FB73" s="320"/>
      <c r="FC73" s="319">
        <v>0</v>
      </c>
      <c r="FD73" s="320">
        <v>0</v>
      </c>
      <c r="FE73" s="319">
        <v>0</v>
      </c>
      <c r="FF73" s="320"/>
      <c r="FG73" s="319">
        <v>0</v>
      </c>
      <c r="FH73" s="320"/>
      <c r="FI73" s="319">
        <v>0</v>
      </c>
      <c r="FJ73" s="320">
        <v>0</v>
      </c>
      <c r="FK73" s="319">
        <v>0</v>
      </c>
      <c r="FL73" s="320"/>
      <c r="FM73" s="319">
        <v>0</v>
      </c>
      <c r="FN73" s="320"/>
      <c r="FO73" s="319">
        <v>0</v>
      </c>
      <c r="FP73" s="320">
        <v>0</v>
      </c>
      <c r="FQ73" s="319">
        <v>0</v>
      </c>
      <c r="FR73" s="320"/>
      <c r="FS73" s="319">
        <v>0</v>
      </c>
      <c r="FT73" s="320"/>
      <c r="FU73" s="319">
        <v>0</v>
      </c>
      <c r="FV73" s="320">
        <v>0</v>
      </c>
      <c r="FW73" s="319">
        <v>0</v>
      </c>
      <c r="FX73" s="320"/>
      <c r="FY73" s="319">
        <v>0</v>
      </c>
      <c r="FZ73" s="320"/>
      <c r="GA73" s="319">
        <v>0</v>
      </c>
      <c r="GB73" s="320">
        <v>0</v>
      </c>
      <c r="GC73" s="319">
        <v>0</v>
      </c>
      <c r="GD73" s="320"/>
      <c r="GE73" s="319">
        <v>0</v>
      </c>
      <c r="GF73" s="320"/>
      <c r="GG73" s="319">
        <v>0</v>
      </c>
      <c r="GH73" s="320">
        <v>0</v>
      </c>
      <c r="GI73" s="319">
        <v>0</v>
      </c>
      <c r="GJ73" s="320"/>
      <c r="GK73" s="319">
        <v>0</v>
      </c>
      <c r="GL73" s="320"/>
      <c r="GM73" s="319">
        <v>0</v>
      </c>
      <c r="GN73" s="320">
        <v>0</v>
      </c>
      <c r="GO73" s="319">
        <v>0</v>
      </c>
      <c r="GP73" s="320"/>
      <c r="GQ73" s="319">
        <v>0</v>
      </c>
      <c r="GR73" s="320"/>
      <c r="GS73" s="319">
        <v>0</v>
      </c>
      <c r="GT73" s="320">
        <v>0</v>
      </c>
      <c r="GU73" s="319">
        <v>0</v>
      </c>
      <c r="GV73" s="320"/>
      <c r="GW73" s="319">
        <v>0</v>
      </c>
      <c r="GX73" s="320"/>
      <c r="GY73" s="319">
        <v>0</v>
      </c>
      <c r="GZ73" s="320">
        <v>0</v>
      </c>
    </row>
    <row r="74" spans="1:208" s="89" customFormat="1" ht="22.5" customHeight="1" x14ac:dyDescent="0.2">
      <c r="A74" s="287" t="s">
        <v>3229</v>
      </c>
      <c r="B74" s="288" t="s">
        <v>3230</v>
      </c>
      <c r="C74" s="294" t="s">
        <v>3175</v>
      </c>
      <c r="D74" s="290" t="s">
        <v>3231</v>
      </c>
      <c r="E74" s="290" t="s">
        <v>3232</v>
      </c>
      <c r="F74" s="295" t="s">
        <v>3166</v>
      </c>
      <c r="G74" s="295" t="s">
        <v>3167</v>
      </c>
      <c r="H74" s="292" t="s">
        <v>1487</v>
      </c>
      <c r="I74" s="293" t="s">
        <v>1487</v>
      </c>
      <c r="J74" s="340" t="s">
        <v>3168</v>
      </c>
      <c r="K74" s="342" t="s">
        <v>3173</v>
      </c>
      <c r="L74" s="256">
        <f>CONTINUA!BV74</f>
        <v>0</v>
      </c>
      <c r="M74" s="256">
        <f>CONTINUA!BW74</f>
        <v>0</v>
      </c>
      <c r="N74" s="564"/>
      <c r="O74" s="565" t="s">
        <v>3345</v>
      </c>
      <c r="P74" s="566">
        <v>0</v>
      </c>
      <c r="Q74" s="319">
        <v>0</v>
      </c>
      <c r="R74" s="320"/>
      <c r="S74" s="319">
        <v>0</v>
      </c>
      <c r="T74" s="320"/>
      <c r="U74" s="319">
        <v>0</v>
      </c>
      <c r="V74" s="320">
        <v>0</v>
      </c>
      <c r="W74" s="319">
        <v>0</v>
      </c>
      <c r="X74" s="320"/>
      <c r="Y74" s="319">
        <v>0</v>
      </c>
      <c r="Z74" s="320"/>
      <c r="AA74" s="319">
        <v>0</v>
      </c>
      <c r="AB74" s="320">
        <v>0</v>
      </c>
      <c r="AC74" s="319">
        <v>0</v>
      </c>
      <c r="AD74" s="320"/>
      <c r="AE74" s="319">
        <v>0</v>
      </c>
      <c r="AF74" s="320"/>
      <c r="AG74" s="319">
        <v>0</v>
      </c>
      <c r="AH74" s="320">
        <v>0</v>
      </c>
      <c r="AI74" s="319">
        <v>0</v>
      </c>
      <c r="AJ74" s="320"/>
      <c r="AK74" s="319">
        <v>0</v>
      </c>
      <c r="AL74" s="320"/>
      <c r="AM74" s="319">
        <v>0</v>
      </c>
      <c r="AN74" s="320">
        <v>0</v>
      </c>
      <c r="AO74" s="319">
        <v>0</v>
      </c>
      <c r="AP74" s="320"/>
      <c r="AQ74" s="319">
        <v>0</v>
      </c>
      <c r="AR74" s="320"/>
      <c r="AS74" s="319">
        <v>0</v>
      </c>
      <c r="AT74" s="320">
        <v>0</v>
      </c>
      <c r="AU74" s="319">
        <v>0</v>
      </c>
      <c r="AV74" s="320"/>
      <c r="AW74" s="319">
        <v>0</v>
      </c>
      <c r="AX74" s="320"/>
      <c r="AY74" s="319">
        <v>0</v>
      </c>
      <c r="AZ74" s="320">
        <v>0</v>
      </c>
      <c r="BA74" s="319">
        <v>0</v>
      </c>
      <c r="BB74" s="320"/>
      <c r="BC74" s="319">
        <v>0</v>
      </c>
      <c r="BD74" s="320"/>
      <c r="BE74" s="319">
        <v>0</v>
      </c>
      <c r="BF74" s="320">
        <v>0</v>
      </c>
      <c r="BG74" s="319">
        <v>0</v>
      </c>
      <c r="BH74" s="320"/>
      <c r="BI74" s="319">
        <v>0</v>
      </c>
      <c r="BJ74" s="320"/>
      <c r="BK74" s="319">
        <v>0</v>
      </c>
      <c r="BL74" s="320">
        <v>0</v>
      </c>
      <c r="BM74" s="319">
        <v>0</v>
      </c>
      <c r="BN74" s="320"/>
      <c r="BO74" s="319">
        <v>0</v>
      </c>
      <c r="BP74" s="320"/>
      <c r="BQ74" s="319">
        <v>0</v>
      </c>
      <c r="BR74" s="320">
        <v>0</v>
      </c>
      <c r="BS74" s="319">
        <v>0</v>
      </c>
      <c r="BT74" s="320"/>
      <c r="BU74" s="319">
        <v>0</v>
      </c>
      <c r="BV74" s="320"/>
      <c r="BW74" s="319">
        <v>0</v>
      </c>
      <c r="BX74" s="320">
        <v>0</v>
      </c>
      <c r="BY74" s="319">
        <v>0</v>
      </c>
      <c r="BZ74" s="320"/>
      <c r="CA74" s="319">
        <v>0</v>
      </c>
      <c r="CB74" s="320"/>
      <c r="CC74" s="319">
        <v>0</v>
      </c>
      <c r="CD74" s="320">
        <v>0</v>
      </c>
      <c r="CE74" s="319">
        <v>0</v>
      </c>
      <c r="CF74" s="320"/>
      <c r="CG74" s="319">
        <v>0</v>
      </c>
      <c r="CH74" s="320"/>
      <c r="CI74" s="319">
        <v>0</v>
      </c>
      <c r="CJ74" s="320">
        <v>0</v>
      </c>
      <c r="CK74" s="319">
        <v>0</v>
      </c>
      <c r="CL74" s="320"/>
      <c r="CM74" s="319">
        <v>0</v>
      </c>
      <c r="CN74" s="320"/>
      <c r="CO74" s="319">
        <v>0</v>
      </c>
      <c r="CP74" s="320">
        <v>0</v>
      </c>
      <c r="CQ74" s="319">
        <v>0</v>
      </c>
      <c r="CR74" s="320"/>
      <c r="CS74" s="319">
        <v>0</v>
      </c>
      <c r="CT74" s="320"/>
      <c r="CU74" s="319">
        <v>0</v>
      </c>
      <c r="CV74" s="320">
        <v>0</v>
      </c>
      <c r="CW74" s="319">
        <v>0</v>
      </c>
      <c r="CX74" s="320"/>
      <c r="CY74" s="319">
        <v>0</v>
      </c>
      <c r="CZ74" s="320"/>
      <c r="DA74" s="319">
        <v>0</v>
      </c>
      <c r="DB74" s="320">
        <v>0</v>
      </c>
      <c r="DC74" s="319">
        <v>0</v>
      </c>
      <c r="DD74" s="320"/>
      <c r="DE74" s="319">
        <v>0</v>
      </c>
      <c r="DF74" s="320"/>
      <c r="DG74" s="319">
        <v>0</v>
      </c>
      <c r="DH74" s="320">
        <v>0</v>
      </c>
      <c r="DI74" s="319">
        <v>0</v>
      </c>
      <c r="DJ74" s="320"/>
      <c r="DK74" s="319">
        <v>0</v>
      </c>
      <c r="DL74" s="320"/>
      <c r="DM74" s="319">
        <v>0</v>
      </c>
      <c r="DN74" s="320">
        <v>0</v>
      </c>
      <c r="DO74" s="319">
        <v>0</v>
      </c>
      <c r="DP74" s="320"/>
      <c r="DQ74" s="319">
        <v>0</v>
      </c>
      <c r="DR74" s="320"/>
      <c r="DS74" s="319">
        <v>0</v>
      </c>
      <c r="DT74" s="320">
        <v>0</v>
      </c>
      <c r="DU74" s="319">
        <v>0</v>
      </c>
      <c r="DV74" s="320"/>
      <c r="DW74" s="319">
        <v>0</v>
      </c>
      <c r="DX74" s="320"/>
      <c r="DY74" s="319">
        <v>0</v>
      </c>
      <c r="DZ74" s="320">
        <v>0</v>
      </c>
      <c r="EA74" s="319">
        <v>0</v>
      </c>
      <c r="EB74" s="320"/>
      <c r="EC74" s="319">
        <v>0</v>
      </c>
      <c r="ED74" s="320"/>
      <c r="EE74" s="319">
        <v>0</v>
      </c>
      <c r="EF74" s="320">
        <v>0</v>
      </c>
      <c r="EG74" s="319">
        <v>0</v>
      </c>
      <c r="EH74" s="320"/>
      <c r="EI74" s="319">
        <v>0</v>
      </c>
      <c r="EJ74" s="320"/>
      <c r="EK74" s="319">
        <v>0</v>
      </c>
      <c r="EL74" s="320">
        <v>0</v>
      </c>
      <c r="EM74" s="319">
        <v>0</v>
      </c>
      <c r="EN74" s="320"/>
      <c r="EO74" s="319">
        <v>0</v>
      </c>
      <c r="EP74" s="320"/>
      <c r="EQ74" s="319">
        <v>0</v>
      </c>
      <c r="ER74" s="320">
        <v>0</v>
      </c>
      <c r="ES74" s="319">
        <v>0</v>
      </c>
      <c r="ET74" s="320"/>
      <c r="EU74" s="319">
        <v>0</v>
      </c>
      <c r="EV74" s="320"/>
      <c r="EW74" s="319">
        <v>0</v>
      </c>
      <c r="EX74" s="320">
        <v>0</v>
      </c>
      <c r="EY74" s="319">
        <v>0</v>
      </c>
      <c r="EZ74" s="320"/>
      <c r="FA74" s="319">
        <v>0</v>
      </c>
      <c r="FB74" s="320"/>
      <c r="FC74" s="319">
        <v>0</v>
      </c>
      <c r="FD74" s="320">
        <v>0</v>
      </c>
      <c r="FE74" s="319">
        <v>0</v>
      </c>
      <c r="FF74" s="320"/>
      <c r="FG74" s="319">
        <v>0</v>
      </c>
      <c r="FH74" s="320"/>
      <c r="FI74" s="319">
        <v>0</v>
      </c>
      <c r="FJ74" s="320">
        <v>0</v>
      </c>
      <c r="FK74" s="319">
        <v>0</v>
      </c>
      <c r="FL74" s="320"/>
      <c r="FM74" s="319">
        <v>0</v>
      </c>
      <c r="FN74" s="320"/>
      <c r="FO74" s="319">
        <v>0</v>
      </c>
      <c r="FP74" s="320">
        <v>0</v>
      </c>
      <c r="FQ74" s="319">
        <v>0</v>
      </c>
      <c r="FR74" s="320"/>
      <c r="FS74" s="319">
        <v>0</v>
      </c>
      <c r="FT74" s="320"/>
      <c r="FU74" s="319">
        <v>0</v>
      </c>
      <c r="FV74" s="320">
        <v>0</v>
      </c>
      <c r="FW74" s="319">
        <v>0</v>
      </c>
      <c r="FX74" s="320"/>
      <c r="FY74" s="319">
        <v>0</v>
      </c>
      <c r="FZ74" s="320"/>
      <c r="GA74" s="319">
        <v>0</v>
      </c>
      <c r="GB74" s="320">
        <v>0</v>
      </c>
      <c r="GC74" s="319">
        <v>0</v>
      </c>
      <c r="GD74" s="320"/>
      <c r="GE74" s="319">
        <v>0</v>
      </c>
      <c r="GF74" s="320"/>
      <c r="GG74" s="319">
        <v>0</v>
      </c>
      <c r="GH74" s="320">
        <v>0</v>
      </c>
      <c r="GI74" s="319">
        <v>0</v>
      </c>
      <c r="GJ74" s="320"/>
      <c r="GK74" s="319">
        <v>0</v>
      </c>
      <c r="GL74" s="320"/>
      <c r="GM74" s="319">
        <v>0</v>
      </c>
      <c r="GN74" s="320">
        <v>0</v>
      </c>
      <c r="GO74" s="319">
        <v>0</v>
      </c>
      <c r="GP74" s="320"/>
      <c r="GQ74" s="319">
        <v>0</v>
      </c>
      <c r="GR74" s="320"/>
      <c r="GS74" s="319">
        <v>0</v>
      </c>
      <c r="GT74" s="320">
        <v>0</v>
      </c>
      <c r="GU74" s="319">
        <v>0</v>
      </c>
      <c r="GV74" s="320"/>
      <c r="GW74" s="319">
        <v>0</v>
      </c>
      <c r="GX74" s="320"/>
      <c r="GY74" s="319">
        <v>0</v>
      </c>
      <c r="GZ74" s="320">
        <v>0</v>
      </c>
    </row>
    <row r="75" spans="1:208" s="89" customFormat="1" ht="22.5" customHeight="1" thickBot="1" x14ac:dyDescent="0.25">
      <c r="A75" s="296" t="s">
        <v>3229</v>
      </c>
      <c r="B75" s="297" t="s">
        <v>3230</v>
      </c>
      <c r="C75" s="298" t="s">
        <v>3175</v>
      </c>
      <c r="D75" s="299" t="s">
        <v>3231</v>
      </c>
      <c r="E75" s="299" t="s">
        <v>3232</v>
      </c>
      <c r="F75" s="300" t="s">
        <v>3166</v>
      </c>
      <c r="G75" s="300" t="s">
        <v>3167</v>
      </c>
      <c r="H75" s="301" t="s">
        <v>1487</v>
      </c>
      <c r="I75" s="302" t="s">
        <v>1487</v>
      </c>
      <c r="J75" s="340" t="s">
        <v>3168</v>
      </c>
      <c r="K75" s="343" t="s">
        <v>53</v>
      </c>
      <c r="L75" s="256">
        <f>CONTINUA!BV75</f>
        <v>0</v>
      </c>
      <c r="M75" s="256">
        <f>CONTINUA!BW75</f>
        <v>0</v>
      </c>
      <c r="N75" s="564"/>
      <c r="O75" s="565" t="s">
        <v>3345</v>
      </c>
      <c r="P75" s="566">
        <v>0</v>
      </c>
      <c r="Q75" s="319">
        <v>0</v>
      </c>
      <c r="R75" s="320"/>
      <c r="S75" s="319">
        <v>0</v>
      </c>
      <c r="T75" s="320"/>
      <c r="U75" s="321">
        <v>0</v>
      </c>
      <c r="V75" s="322">
        <v>0</v>
      </c>
      <c r="W75" s="319">
        <v>0</v>
      </c>
      <c r="X75" s="320"/>
      <c r="Y75" s="319">
        <v>0</v>
      </c>
      <c r="Z75" s="320"/>
      <c r="AA75" s="321">
        <v>0</v>
      </c>
      <c r="AB75" s="322">
        <v>0</v>
      </c>
      <c r="AC75" s="319">
        <v>0</v>
      </c>
      <c r="AD75" s="320"/>
      <c r="AE75" s="319">
        <v>0</v>
      </c>
      <c r="AF75" s="320"/>
      <c r="AG75" s="321">
        <v>0</v>
      </c>
      <c r="AH75" s="322">
        <v>0</v>
      </c>
      <c r="AI75" s="319">
        <v>0</v>
      </c>
      <c r="AJ75" s="320"/>
      <c r="AK75" s="319">
        <v>0</v>
      </c>
      <c r="AL75" s="320"/>
      <c r="AM75" s="321">
        <v>0</v>
      </c>
      <c r="AN75" s="322">
        <v>0</v>
      </c>
      <c r="AO75" s="319">
        <v>0</v>
      </c>
      <c r="AP75" s="320"/>
      <c r="AQ75" s="319">
        <v>0</v>
      </c>
      <c r="AR75" s="320"/>
      <c r="AS75" s="321">
        <v>0</v>
      </c>
      <c r="AT75" s="322">
        <v>0</v>
      </c>
      <c r="AU75" s="319">
        <v>0</v>
      </c>
      <c r="AV75" s="320"/>
      <c r="AW75" s="319">
        <v>0</v>
      </c>
      <c r="AX75" s="320"/>
      <c r="AY75" s="321">
        <v>0</v>
      </c>
      <c r="AZ75" s="322">
        <v>0</v>
      </c>
      <c r="BA75" s="319">
        <v>0</v>
      </c>
      <c r="BB75" s="320"/>
      <c r="BC75" s="319">
        <v>0</v>
      </c>
      <c r="BD75" s="320"/>
      <c r="BE75" s="321">
        <v>0</v>
      </c>
      <c r="BF75" s="322">
        <v>0</v>
      </c>
      <c r="BG75" s="319">
        <v>0</v>
      </c>
      <c r="BH75" s="320"/>
      <c r="BI75" s="319">
        <v>0</v>
      </c>
      <c r="BJ75" s="320"/>
      <c r="BK75" s="321">
        <v>0</v>
      </c>
      <c r="BL75" s="322">
        <v>0</v>
      </c>
      <c r="BM75" s="319">
        <v>0</v>
      </c>
      <c r="BN75" s="320"/>
      <c r="BO75" s="319">
        <v>0</v>
      </c>
      <c r="BP75" s="320"/>
      <c r="BQ75" s="321">
        <v>0</v>
      </c>
      <c r="BR75" s="322">
        <v>0</v>
      </c>
      <c r="BS75" s="319">
        <v>0</v>
      </c>
      <c r="BT75" s="320"/>
      <c r="BU75" s="319">
        <v>0</v>
      </c>
      <c r="BV75" s="320"/>
      <c r="BW75" s="321">
        <v>0</v>
      </c>
      <c r="BX75" s="322">
        <v>0</v>
      </c>
      <c r="BY75" s="319">
        <v>0</v>
      </c>
      <c r="BZ75" s="320"/>
      <c r="CA75" s="319">
        <v>0</v>
      </c>
      <c r="CB75" s="320"/>
      <c r="CC75" s="321">
        <v>0</v>
      </c>
      <c r="CD75" s="322">
        <v>0</v>
      </c>
      <c r="CE75" s="319">
        <v>0</v>
      </c>
      <c r="CF75" s="320"/>
      <c r="CG75" s="319">
        <v>0</v>
      </c>
      <c r="CH75" s="320"/>
      <c r="CI75" s="321">
        <v>0</v>
      </c>
      <c r="CJ75" s="322">
        <v>0</v>
      </c>
      <c r="CK75" s="319">
        <v>0</v>
      </c>
      <c r="CL75" s="320"/>
      <c r="CM75" s="319">
        <v>0</v>
      </c>
      <c r="CN75" s="320"/>
      <c r="CO75" s="321">
        <v>0</v>
      </c>
      <c r="CP75" s="322">
        <v>0</v>
      </c>
      <c r="CQ75" s="319">
        <v>0</v>
      </c>
      <c r="CR75" s="320"/>
      <c r="CS75" s="319">
        <v>0</v>
      </c>
      <c r="CT75" s="320"/>
      <c r="CU75" s="321">
        <v>0</v>
      </c>
      <c r="CV75" s="322">
        <v>0</v>
      </c>
      <c r="CW75" s="319">
        <v>0</v>
      </c>
      <c r="CX75" s="320"/>
      <c r="CY75" s="319">
        <v>0</v>
      </c>
      <c r="CZ75" s="320"/>
      <c r="DA75" s="321">
        <v>0</v>
      </c>
      <c r="DB75" s="322">
        <v>0</v>
      </c>
      <c r="DC75" s="319">
        <v>0</v>
      </c>
      <c r="DD75" s="320"/>
      <c r="DE75" s="319">
        <v>0</v>
      </c>
      <c r="DF75" s="320"/>
      <c r="DG75" s="321">
        <v>0</v>
      </c>
      <c r="DH75" s="322">
        <v>0</v>
      </c>
      <c r="DI75" s="319">
        <v>0</v>
      </c>
      <c r="DJ75" s="320"/>
      <c r="DK75" s="319">
        <v>0</v>
      </c>
      <c r="DL75" s="320"/>
      <c r="DM75" s="321">
        <v>0</v>
      </c>
      <c r="DN75" s="322">
        <v>0</v>
      </c>
      <c r="DO75" s="319">
        <v>0</v>
      </c>
      <c r="DP75" s="320"/>
      <c r="DQ75" s="319">
        <v>0</v>
      </c>
      <c r="DR75" s="320"/>
      <c r="DS75" s="321">
        <v>0</v>
      </c>
      <c r="DT75" s="322">
        <v>0</v>
      </c>
      <c r="DU75" s="319">
        <v>0</v>
      </c>
      <c r="DV75" s="320"/>
      <c r="DW75" s="319">
        <v>0</v>
      </c>
      <c r="DX75" s="320"/>
      <c r="DY75" s="321">
        <v>0</v>
      </c>
      <c r="DZ75" s="322">
        <v>0</v>
      </c>
      <c r="EA75" s="319">
        <v>0</v>
      </c>
      <c r="EB75" s="320"/>
      <c r="EC75" s="319">
        <v>0</v>
      </c>
      <c r="ED75" s="320"/>
      <c r="EE75" s="321">
        <v>0</v>
      </c>
      <c r="EF75" s="322">
        <v>0</v>
      </c>
      <c r="EG75" s="319">
        <v>0</v>
      </c>
      <c r="EH75" s="320"/>
      <c r="EI75" s="319">
        <v>0</v>
      </c>
      <c r="EJ75" s="320"/>
      <c r="EK75" s="321">
        <v>0</v>
      </c>
      <c r="EL75" s="322">
        <v>0</v>
      </c>
      <c r="EM75" s="319">
        <v>0</v>
      </c>
      <c r="EN75" s="320"/>
      <c r="EO75" s="319">
        <v>0</v>
      </c>
      <c r="EP75" s="320"/>
      <c r="EQ75" s="321">
        <v>0</v>
      </c>
      <c r="ER75" s="322">
        <v>0</v>
      </c>
      <c r="ES75" s="319">
        <v>0</v>
      </c>
      <c r="ET75" s="320"/>
      <c r="EU75" s="319">
        <v>0</v>
      </c>
      <c r="EV75" s="320"/>
      <c r="EW75" s="321">
        <v>0</v>
      </c>
      <c r="EX75" s="322">
        <v>0</v>
      </c>
      <c r="EY75" s="319">
        <v>0</v>
      </c>
      <c r="EZ75" s="320"/>
      <c r="FA75" s="319">
        <v>0</v>
      </c>
      <c r="FB75" s="320"/>
      <c r="FC75" s="321">
        <v>0</v>
      </c>
      <c r="FD75" s="322">
        <v>0</v>
      </c>
      <c r="FE75" s="319">
        <v>0</v>
      </c>
      <c r="FF75" s="320"/>
      <c r="FG75" s="319">
        <v>0</v>
      </c>
      <c r="FH75" s="320"/>
      <c r="FI75" s="321">
        <v>0</v>
      </c>
      <c r="FJ75" s="322">
        <v>0</v>
      </c>
      <c r="FK75" s="319">
        <v>0</v>
      </c>
      <c r="FL75" s="320"/>
      <c r="FM75" s="319">
        <v>0</v>
      </c>
      <c r="FN75" s="320"/>
      <c r="FO75" s="321">
        <v>0</v>
      </c>
      <c r="FP75" s="322">
        <v>0</v>
      </c>
      <c r="FQ75" s="319">
        <v>0</v>
      </c>
      <c r="FR75" s="320"/>
      <c r="FS75" s="319">
        <v>0</v>
      </c>
      <c r="FT75" s="320"/>
      <c r="FU75" s="321">
        <v>0</v>
      </c>
      <c r="FV75" s="322">
        <v>0</v>
      </c>
      <c r="FW75" s="319">
        <v>0</v>
      </c>
      <c r="FX75" s="320"/>
      <c r="FY75" s="319">
        <v>0</v>
      </c>
      <c r="FZ75" s="320"/>
      <c r="GA75" s="321">
        <v>0</v>
      </c>
      <c r="GB75" s="322">
        <v>0</v>
      </c>
      <c r="GC75" s="319">
        <v>0</v>
      </c>
      <c r="GD75" s="320"/>
      <c r="GE75" s="319">
        <v>0</v>
      </c>
      <c r="GF75" s="320"/>
      <c r="GG75" s="321">
        <v>0</v>
      </c>
      <c r="GH75" s="322">
        <v>0</v>
      </c>
      <c r="GI75" s="319">
        <v>0</v>
      </c>
      <c r="GJ75" s="320"/>
      <c r="GK75" s="319">
        <v>0</v>
      </c>
      <c r="GL75" s="320"/>
      <c r="GM75" s="321">
        <v>0</v>
      </c>
      <c r="GN75" s="322">
        <v>0</v>
      </c>
      <c r="GO75" s="319">
        <v>0</v>
      </c>
      <c r="GP75" s="320"/>
      <c r="GQ75" s="319">
        <v>0</v>
      </c>
      <c r="GR75" s="320"/>
      <c r="GS75" s="321">
        <v>0</v>
      </c>
      <c r="GT75" s="322">
        <v>0</v>
      </c>
      <c r="GU75" s="319">
        <v>0</v>
      </c>
      <c r="GV75" s="320"/>
      <c r="GW75" s="319">
        <v>0</v>
      </c>
      <c r="GX75" s="320"/>
      <c r="GY75" s="321">
        <v>0</v>
      </c>
      <c r="GZ75" s="322">
        <v>0</v>
      </c>
    </row>
    <row r="76" spans="1:208" s="89" customFormat="1" ht="22.5" customHeight="1" x14ac:dyDescent="0.2">
      <c r="A76" t="s">
        <v>3233</v>
      </c>
      <c r="B76" s="429" t="s">
        <v>3234</v>
      </c>
      <c r="C76" s="430">
        <v>1</v>
      </c>
      <c r="D76" s="431" t="s">
        <v>3235</v>
      </c>
      <c r="E76" s="431" t="s">
        <v>3236</v>
      </c>
      <c r="F76" s="432" t="s">
        <v>3166</v>
      </c>
      <c r="G76" s="432" t="s">
        <v>3167</v>
      </c>
      <c r="H76" s="270" t="s">
        <v>1488</v>
      </c>
      <c r="I76" s="271" t="s">
        <v>1488</v>
      </c>
      <c r="J76" s="328" t="s">
        <v>3168</v>
      </c>
      <c r="K76" s="329" t="s">
        <v>3169</v>
      </c>
      <c r="L76" s="256">
        <f>CONTINUA!BV76</f>
        <v>0</v>
      </c>
      <c r="M76" s="256">
        <f>CONTINUA!BW76</f>
        <v>0</v>
      </c>
      <c r="N76" s="564"/>
      <c r="O76" s="565" t="s">
        <v>3346</v>
      </c>
      <c r="P76" s="566">
        <v>0</v>
      </c>
      <c r="Q76" s="319">
        <v>0</v>
      </c>
      <c r="R76" s="320"/>
      <c r="S76" s="319">
        <v>0</v>
      </c>
      <c r="T76" s="320"/>
      <c r="U76" s="321">
        <v>0</v>
      </c>
      <c r="V76" s="322">
        <v>0</v>
      </c>
      <c r="W76" s="319">
        <v>0</v>
      </c>
      <c r="X76" s="320"/>
      <c r="Y76" s="319">
        <v>0</v>
      </c>
      <c r="Z76" s="320"/>
      <c r="AA76" s="321">
        <v>0</v>
      </c>
      <c r="AB76" s="322">
        <v>0</v>
      </c>
      <c r="AC76" s="319">
        <v>0</v>
      </c>
      <c r="AD76" s="320"/>
      <c r="AE76" s="319">
        <v>0</v>
      </c>
      <c r="AF76" s="320"/>
      <c r="AG76" s="321">
        <v>0</v>
      </c>
      <c r="AH76" s="322">
        <v>0</v>
      </c>
      <c r="AI76" s="319">
        <v>0</v>
      </c>
      <c r="AJ76" s="320"/>
      <c r="AK76" s="319">
        <v>0</v>
      </c>
      <c r="AL76" s="320"/>
      <c r="AM76" s="321">
        <v>0</v>
      </c>
      <c r="AN76" s="322">
        <v>0</v>
      </c>
      <c r="AO76" s="319">
        <v>0</v>
      </c>
      <c r="AP76" s="320"/>
      <c r="AQ76" s="319">
        <v>0</v>
      </c>
      <c r="AR76" s="320"/>
      <c r="AS76" s="321">
        <v>0</v>
      </c>
      <c r="AT76" s="322">
        <v>0</v>
      </c>
      <c r="AU76" s="319">
        <v>0</v>
      </c>
      <c r="AV76" s="320"/>
      <c r="AW76" s="319">
        <v>0</v>
      </c>
      <c r="AX76" s="320"/>
      <c r="AY76" s="321">
        <v>0</v>
      </c>
      <c r="AZ76" s="322">
        <v>0</v>
      </c>
      <c r="BA76" s="319">
        <v>0</v>
      </c>
      <c r="BB76" s="320"/>
      <c r="BC76" s="319">
        <v>0</v>
      </c>
      <c r="BD76" s="320"/>
      <c r="BE76" s="321">
        <v>0</v>
      </c>
      <c r="BF76" s="322">
        <v>0</v>
      </c>
      <c r="BG76" s="319">
        <v>0</v>
      </c>
      <c r="BH76" s="320"/>
      <c r="BI76" s="319">
        <v>0</v>
      </c>
      <c r="BJ76" s="320"/>
      <c r="BK76" s="321">
        <v>0</v>
      </c>
      <c r="BL76" s="322">
        <v>0</v>
      </c>
      <c r="BM76" s="319">
        <v>0</v>
      </c>
      <c r="BN76" s="320"/>
      <c r="BO76" s="319">
        <v>0</v>
      </c>
      <c r="BP76" s="320"/>
      <c r="BQ76" s="321">
        <v>0</v>
      </c>
      <c r="BR76" s="322">
        <v>0</v>
      </c>
      <c r="BS76" s="319">
        <v>0</v>
      </c>
      <c r="BT76" s="320"/>
      <c r="BU76" s="319">
        <v>0</v>
      </c>
      <c r="BV76" s="320"/>
      <c r="BW76" s="321">
        <v>0</v>
      </c>
      <c r="BX76" s="322">
        <v>0</v>
      </c>
      <c r="BY76" s="319">
        <v>0</v>
      </c>
      <c r="BZ76" s="320"/>
      <c r="CA76" s="319">
        <v>0</v>
      </c>
      <c r="CB76" s="320"/>
      <c r="CC76" s="321">
        <v>0</v>
      </c>
      <c r="CD76" s="322">
        <v>0</v>
      </c>
      <c r="CE76" s="319">
        <v>0</v>
      </c>
      <c r="CF76" s="320"/>
      <c r="CG76" s="319">
        <v>0</v>
      </c>
      <c r="CH76" s="320"/>
      <c r="CI76" s="321">
        <v>0</v>
      </c>
      <c r="CJ76" s="322">
        <v>0</v>
      </c>
      <c r="CK76" s="319">
        <v>0</v>
      </c>
      <c r="CL76" s="320"/>
      <c r="CM76" s="319">
        <v>0</v>
      </c>
      <c r="CN76" s="320"/>
      <c r="CO76" s="321">
        <v>0</v>
      </c>
      <c r="CP76" s="322">
        <v>0</v>
      </c>
      <c r="CQ76" s="319">
        <v>0</v>
      </c>
      <c r="CR76" s="320"/>
      <c r="CS76" s="319">
        <v>0</v>
      </c>
      <c r="CT76" s="320"/>
      <c r="CU76" s="321">
        <v>0</v>
      </c>
      <c r="CV76" s="322">
        <v>0</v>
      </c>
      <c r="CW76" s="319">
        <v>0</v>
      </c>
      <c r="CX76" s="320"/>
      <c r="CY76" s="319">
        <v>0</v>
      </c>
      <c r="CZ76" s="320"/>
      <c r="DA76" s="321">
        <v>0</v>
      </c>
      <c r="DB76" s="322">
        <v>0</v>
      </c>
      <c r="DC76" s="319">
        <v>0</v>
      </c>
      <c r="DD76" s="320"/>
      <c r="DE76" s="319">
        <v>0</v>
      </c>
      <c r="DF76" s="320"/>
      <c r="DG76" s="321">
        <v>0</v>
      </c>
      <c r="DH76" s="322">
        <v>0</v>
      </c>
      <c r="DI76" s="319">
        <v>0</v>
      </c>
      <c r="DJ76" s="320"/>
      <c r="DK76" s="319">
        <v>0</v>
      </c>
      <c r="DL76" s="320"/>
      <c r="DM76" s="321">
        <v>0</v>
      </c>
      <c r="DN76" s="322">
        <v>0</v>
      </c>
      <c r="DO76" s="319">
        <v>0</v>
      </c>
      <c r="DP76" s="320"/>
      <c r="DQ76" s="319">
        <v>0</v>
      </c>
      <c r="DR76" s="320"/>
      <c r="DS76" s="321">
        <v>0</v>
      </c>
      <c r="DT76" s="322">
        <v>0</v>
      </c>
      <c r="DU76" s="319">
        <v>0</v>
      </c>
      <c r="DV76" s="320"/>
      <c r="DW76" s="319">
        <v>0</v>
      </c>
      <c r="DX76" s="320"/>
      <c r="DY76" s="321">
        <v>0</v>
      </c>
      <c r="DZ76" s="322">
        <v>0</v>
      </c>
      <c r="EA76" s="319">
        <v>0</v>
      </c>
      <c r="EB76" s="320"/>
      <c r="EC76" s="319">
        <v>0</v>
      </c>
      <c r="ED76" s="320"/>
      <c r="EE76" s="321">
        <v>0</v>
      </c>
      <c r="EF76" s="322">
        <v>0</v>
      </c>
      <c r="EG76" s="319">
        <v>0</v>
      </c>
      <c r="EH76" s="320"/>
      <c r="EI76" s="319">
        <v>0</v>
      </c>
      <c r="EJ76" s="320"/>
      <c r="EK76" s="321">
        <v>0</v>
      </c>
      <c r="EL76" s="322">
        <v>0</v>
      </c>
      <c r="EM76" s="319">
        <v>0</v>
      </c>
      <c r="EN76" s="320"/>
      <c r="EO76" s="319">
        <v>0</v>
      </c>
      <c r="EP76" s="320"/>
      <c r="EQ76" s="321">
        <v>0</v>
      </c>
      <c r="ER76" s="322">
        <v>0</v>
      </c>
      <c r="ES76" s="319">
        <v>0</v>
      </c>
      <c r="ET76" s="320"/>
      <c r="EU76" s="319">
        <v>0</v>
      </c>
      <c r="EV76" s="320"/>
      <c r="EW76" s="321">
        <v>0</v>
      </c>
      <c r="EX76" s="322">
        <v>0</v>
      </c>
      <c r="EY76" s="319">
        <v>0</v>
      </c>
      <c r="EZ76" s="320"/>
      <c r="FA76" s="319">
        <v>0</v>
      </c>
      <c r="FB76" s="320"/>
      <c r="FC76" s="321">
        <v>0</v>
      </c>
      <c r="FD76" s="322">
        <v>0</v>
      </c>
      <c r="FE76" s="319">
        <v>0</v>
      </c>
      <c r="FF76" s="320"/>
      <c r="FG76" s="319">
        <v>0</v>
      </c>
      <c r="FH76" s="320"/>
      <c r="FI76" s="321">
        <v>0</v>
      </c>
      <c r="FJ76" s="322">
        <v>0</v>
      </c>
      <c r="FK76" s="319">
        <v>0</v>
      </c>
      <c r="FL76" s="320"/>
      <c r="FM76" s="319">
        <v>0</v>
      </c>
      <c r="FN76" s="320"/>
      <c r="FO76" s="321">
        <v>0</v>
      </c>
      <c r="FP76" s="322">
        <v>0</v>
      </c>
      <c r="FQ76" s="319">
        <v>0</v>
      </c>
      <c r="FR76" s="320"/>
      <c r="FS76" s="319">
        <v>0</v>
      </c>
      <c r="FT76" s="320"/>
      <c r="FU76" s="321">
        <v>0</v>
      </c>
      <c r="FV76" s="322">
        <v>0</v>
      </c>
      <c r="FW76" s="319">
        <v>0</v>
      </c>
      <c r="FX76" s="320"/>
      <c r="FY76" s="319">
        <v>0</v>
      </c>
      <c r="FZ76" s="320"/>
      <c r="GA76" s="321">
        <v>0</v>
      </c>
      <c r="GB76" s="322">
        <v>0</v>
      </c>
      <c r="GC76" s="319">
        <v>0</v>
      </c>
      <c r="GD76" s="320"/>
      <c r="GE76" s="319">
        <v>0</v>
      </c>
      <c r="GF76" s="320"/>
      <c r="GG76" s="321">
        <v>0</v>
      </c>
      <c r="GH76" s="322">
        <v>0</v>
      </c>
      <c r="GI76" s="319">
        <v>0</v>
      </c>
      <c r="GJ76" s="320"/>
      <c r="GK76" s="319">
        <v>0</v>
      </c>
      <c r="GL76" s="320"/>
      <c r="GM76" s="321">
        <v>0</v>
      </c>
      <c r="GN76" s="322">
        <v>0</v>
      </c>
      <c r="GO76" s="319">
        <v>0</v>
      </c>
      <c r="GP76" s="320"/>
      <c r="GQ76" s="319">
        <v>0</v>
      </c>
      <c r="GR76" s="320"/>
      <c r="GS76" s="321">
        <v>0</v>
      </c>
      <c r="GT76" s="322">
        <v>0</v>
      </c>
      <c r="GU76" s="319">
        <v>0</v>
      </c>
      <c r="GV76" s="320"/>
      <c r="GW76" s="319">
        <v>0</v>
      </c>
      <c r="GX76" s="320"/>
      <c r="GY76" s="321">
        <v>0</v>
      </c>
      <c r="GZ76" s="322">
        <v>0</v>
      </c>
    </row>
    <row r="77" spans="1:208" s="89" customFormat="1" ht="22.5" customHeight="1" x14ac:dyDescent="0.2">
      <c r="A77" s="287" t="s">
        <v>3233</v>
      </c>
      <c r="B77" s="288" t="s">
        <v>3234</v>
      </c>
      <c r="C77" s="289" t="s">
        <v>3170</v>
      </c>
      <c r="D77" s="290" t="s">
        <v>3235</v>
      </c>
      <c r="E77" s="290" t="s">
        <v>3236</v>
      </c>
      <c r="F77" s="291" t="s">
        <v>3166</v>
      </c>
      <c r="G77" s="291" t="s">
        <v>3167</v>
      </c>
      <c r="H77" s="292" t="s">
        <v>1488</v>
      </c>
      <c r="I77" s="293" t="s">
        <v>1488</v>
      </c>
      <c r="J77" s="340" t="s">
        <v>3168</v>
      </c>
      <c r="K77" s="340" t="s">
        <v>3171</v>
      </c>
      <c r="L77" s="256">
        <f>CONTINUA!BV77</f>
        <v>32</v>
      </c>
      <c r="M77" s="256">
        <f>CONTINUA!BW77</f>
        <v>0</v>
      </c>
      <c r="N77" s="564"/>
      <c r="O77" s="565" t="s">
        <v>3346</v>
      </c>
      <c r="P77" s="566">
        <v>0</v>
      </c>
      <c r="Q77" s="319">
        <v>49</v>
      </c>
      <c r="R77" s="320"/>
      <c r="S77" s="319">
        <v>11</v>
      </c>
      <c r="T77" s="320"/>
      <c r="U77" s="319">
        <v>0</v>
      </c>
      <c r="V77" s="320">
        <v>0</v>
      </c>
      <c r="W77" s="319">
        <v>49</v>
      </c>
      <c r="X77" s="320"/>
      <c r="Y77" s="319">
        <v>11</v>
      </c>
      <c r="Z77" s="320"/>
      <c r="AA77" s="319">
        <v>0</v>
      </c>
      <c r="AB77" s="320">
        <v>0</v>
      </c>
      <c r="AC77" s="319">
        <v>49</v>
      </c>
      <c r="AD77" s="320"/>
      <c r="AE77" s="319">
        <v>11</v>
      </c>
      <c r="AF77" s="320"/>
      <c r="AG77" s="319">
        <v>0</v>
      </c>
      <c r="AH77" s="320">
        <v>0</v>
      </c>
      <c r="AI77" s="319">
        <v>49</v>
      </c>
      <c r="AJ77" s="320"/>
      <c r="AK77" s="319">
        <v>11</v>
      </c>
      <c r="AL77" s="320"/>
      <c r="AM77" s="319">
        <v>0</v>
      </c>
      <c r="AN77" s="320">
        <v>0</v>
      </c>
      <c r="AO77" s="319">
        <v>49</v>
      </c>
      <c r="AP77" s="320"/>
      <c r="AQ77" s="319">
        <v>11</v>
      </c>
      <c r="AR77" s="320"/>
      <c r="AS77" s="319">
        <v>0</v>
      </c>
      <c r="AT77" s="320">
        <v>0</v>
      </c>
      <c r="AU77" s="319">
        <v>49</v>
      </c>
      <c r="AV77" s="320"/>
      <c r="AW77" s="319">
        <v>11</v>
      </c>
      <c r="AX77" s="320"/>
      <c r="AY77" s="319">
        <v>0</v>
      </c>
      <c r="AZ77" s="320">
        <v>0</v>
      </c>
      <c r="BA77" s="319">
        <v>49</v>
      </c>
      <c r="BB77" s="320"/>
      <c r="BC77" s="319">
        <v>11</v>
      </c>
      <c r="BD77" s="320"/>
      <c r="BE77" s="319">
        <v>0</v>
      </c>
      <c r="BF77" s="320">
        <v>0</v>
      </c>
      <c r="BG77" s="319">
        <v>49</v>
      </c>
      <c r="BH77" s="320"/>
      <c r="BI77" s="319">
        <v>11</v>
      </c>
      <c r="BJ77" s="320"/>
      <c r="BK77" s="319">
        <v>0</v>
      </c>
      <c r="BL77" s="320">
        <v>0</v>
      </c>
      <c r="BM77" s="319">
        <v>49</v>
      </c>
      <c r="BN77" s="320"/>
      <c r="BO77" s="319">
        <v>11</v>
      </c>
      <c r="BP77" s="320"/>
      <c r="BQ77" s="319">
        <v>0</v>
      </c>
      <c r="BR77" s="320">
        <v>0</v>
      </c>
      <c r="BS77" s="319">
        <v>49</v>
      </c>
      <c r="BT77" s="320"/>
      <c r="BU77" s="319">
        <v>11</v>
      </c>
      <c r="BV77" s="320"/>
      <c r="BW77" s="319">
        <v>0</v>
      </c>
      <c r="BX77" s="320">
        <v>0</v>
      </c>
      <c r="BY77" s="319">
        <v>49</v>
      </c>
      <c r="BZ77" s="320"/>
      <c r="CA77" s="319">
        <v>11</v>
      </c>
      <c r="CB77" s="320"/>
      <c r="CC77" s="319">
        <v>0</v>
      </c>
      <c r="CD77" s="320">
        <v>0</v>
      </c>
      <c r="CE77" s="319">
        <v>49</v>
      </c>
      <c r="CF77" s="320"/>
      <c r="CG77" s="319">
        <v>11</v>
      </c>
      <c r="CH77" s="320"/>
      <c r="CI77" s="319">
        <v>0</v>
      </c>
      <c r="CJ77" s="320">
        <v>0</v>
      </c>
      <c r="CK77" s="319">
        <v>49</v>
      </c>
      <c r="CL77" s="320"/>
      <c r="CM77" s="319">
        <v>11</v>
      </c>
      <c r="CN77" s="320"/>
      <c r="CO77" s="319">
        <v>0</v>
      </c>
      <c r="CP77" s="320">
        <v>0</v>
      </c>
      <c r="CQ77" s="319">
        <v>49</v>
      </c>
      <c r="CR77" s="320"/>
      <c r="CS77" s="319">
        <v>11</v>
      </c>
      <c r="CT77" s="320"/>
      <c r="CU77" s="319">
        <v>0</v>
      </c>
      <c r="CV77" s="320">
        <v>0</v>
      </c>
      <c r="CW77" s="319">
        <v>49</v>
      </c>
      <c r="CX77" s="320"/>
      <c r="CY77" s="319">
        <v>11</v>
      </c>
      <c r="CZ77" s="320"/>
      <c r="DA77" s="319">
        <v>0</v>
      </c>
      <c r="DB77" s="320">
        <v>0</v>
      </c>
      <c r="DC77" s="319">
        <v>49</v>
      </c>
      <c r="DD77" s="320"/>
      <c r="DE77" s="319">
        <v>11</v>
      </c>
      <c r="DF77" s="320"/>
      <c r="DG77" s="319">
        <v>0</v>
      </c>
      <c r="DH77" s="320">
        <v>0</v>
      </c>
      <c r="DI77" s="319">
        <v>49</v>
      </c>
      <c r="DJ77" s="320"/>
      <c r="DK77" s="319">
        <v>11</v>
      </c>
      <c r="DL77" s="320"/>
      <c r="DM77" s="319">
        <v>0</v>
      </c>
      <c r="DN77" s="320">
        <v>0</v>
      </c>
      <c r="DO77" s="319">
        <v>49</v>
      </c>
      <c r="DP77" s="320"/>
      <c r="DQ77" s="319">
        <v>11</v>
      </c>
      <c r="DR77" s="320"/>
      <c r="DS77" s="319">
        <v>0</v>
      </c>
      <c r="DT77" s="320">
        <v>0</v>
      </c>
      <c r="DU77" s="319">
        <v>49</v>
      </c>
      <c r="DV77" s="320"/>
      <c r="DW77" s="319">
        <v>11</v>
      </c>
      <c r="DX77" s="320"/>
      <c r="DY77" s="319">
        <v>0</v>
      </c>
      <c r="DZ77" s="320">
        <v>0</v>
      </c>
      <c r="EA77" s="319">
        <v>49</v>
      </c>
      <c r="EB77" s="320"/>
      <c r="EC77" s="319">
        <v>11</v>
      </c>
      <c r="ED77" s="320"/>
      <c r="EE77" s="319">
        <v>0</v>
      </c>
      <c r="EF77" s="320">
        <v>0</v>
      </c>
      <c r="EG77" s="319">
        <v>49</v>
      </c>
      <c r="EH77" s="320"/>
      <c r="EI77" s="319">
        <v>11</v>
      </c>
      <c r="EJ77" s="320"/>
      <c r="EK77" s="319">
        <v>0</v>
      </c>
      <c r="EL77" s="320">
        <v>0</v>
      </c>
      <c r="EM77" s="319">
        <v>49</v>
      </c>
      <c r="EN77" s="320"/>
      <c r="EO77" s="319">
        <v>11</v>
      </c>
      <c r="EP77" s="320"/>
      <c r="EQ77" s="319">
        <v>0</v>
      </c>
      <c r="ER77" s="320">
        <v>0</v>
      </c>
      <c r="ES77" s="319">
        <v>49</v>
      </c>
      <c r="ET77" s="320"/>
      <c r="EU77" s="319">
        <v>11</v>
      </c>
      <c r="EV77" s="320"/>
      <c r="EW77" s="319">
        <v>0</v>
      </c>
      <c r="EX77" s="320">
        <v>0</v>
      </c>
      <c r="EY77" s="319">
        <v>49</v>
      </c>
      <c r="EZ77" s="320"/>
      <c r="FA77" s="319">
        <v>11</v>
      </c>
      <c r="FB77" s="320"/>
      <c r="FC77" s="319">
        <v>0</v>
      </c>
      <c r="FD77" s="320">
        <v>0</v>
      </c>
      <c r="FE77" s="319">
        <v>49</v>
      </c>
      <c r="FF77" s="320"/>
      <c r="FG77" s="319">
        <v>11</v>
      </c>
      <c r="FH77" s="320"/>
      <c r="FI77" s="319">
        <v>0</v>
      </c>
      <c r="FJ77" s="320">
        <v>0</v>
      </c>
      <c r="FK77" s="319">
        <v>49</v>
      </c>
      <c r="FL77" s="320"/>
      <c r="FM77" s="319">
        <v>11</v>
      </c>
      <c r="FN77" s="320"/>
      <c r="FO77" s="319">
        <v>0</v>
      </c>
      <c r="FP77" s="320">
        <v>0</v>
      </c>
      <c r="FQ77" s="319">
        <v>49</v>
      </c>
      <c r="FR77" s="320"/>
      <c r="FS77" s="319">
        <v>11</v>
      </c>
      <c r="FT77" s="320"/>
      <c r="FU77" s="319">
        <v>0</v>
      </c>
      <c r="FV77" s="320">
        <v>0</v>
      </c>
      <c r="FW77" s="319">
        <v>49</v>
      </c>
      <c r="FX77" s="320"/>
      <c r="FY77" s="319">
        <v>11</v>
      </c>
      <c r="FZ77" s="320"/>
      <c r="GA77" s="319">
        <v>0</v>
      </c>
      <c r="GB77" s="320">
        <v>0</v>
      </c>
      <c r="GC77" s="319">
        <v>49</v>
      </c>
      <c r="GD77" s="320"/>
      <c r="GE77" s="319">
        <v>11</v>
      </c>
      <c r="GF77" s="320"/>
      <c r="GG77" s="319">
        <v>0</v>
      </c>
      <c r="GH77" s="320">
        <v>0</v>
      </c>
      <c r="GI77" s="319">
        <v>49</v>
      </c>
      <c r="GJ77" s="320"/>
      <c r="GK77" s="319">
        <v>11</v>
      </c>
      <c r="GL77" s="320"/>
      <c r="GM77" s="319">
        <v>0</v>
      </c>
      <c r="GN77" s="320">
        <v>0</v>
      </c>
      <c r="GO77" s="319">
        <v>49</v>
      </c>
      <c r="GP77" s="320"/>
      <c r="GQ77" s="319">
        <v>11</v>
      </c>
      <c r="GR77" s="320"/>
      <c r="GS77" s="319">
        <v>0</v>
      </c>
      <c r="GT77" s="320">
        <v>0</v>
      </c>
      <c r="GU77" s="319">
        <v>49</v>
      </c>
      <c r="GV77" s="320"/>
      <c r="GW77" s="319">
        <v>11</v>
      </c>
      <c r="GX77" s="320"/>
      <c r="GY77" s="319">
        <v>0</v>
      </c>
      <c r="GZ77" s="320">
        <v>0</v>
      </c>
    </row>
    <row r="78" spans="1:208" s="89" customFormat="1" ht="22.5" customHeight="1" x14ac:dyDescent="0.2">
      <c r="A78" s="287" t="s">
        <v>3233</v>
      </c>
      <c r="B78" s="288" t="s">
        <v>3234</v>
      </c>
      <c r="C78" s="294" t="s">
        <v>3170</v>
      </c>
      <c r="D78" s="290" t="s">
        <v>3235</v>
      </c>
      <c r="E78" s="290" t="s">
        <v>3236</v>
      </c>
      <c r="F78" s="295" t="s">
        <v>3166</v>
      </c>
      <c r="G78" s="295" t="s">
        <v>3167</v>
      </c>
      <c r="H78" s="292" t="s">
        <v>1488</v>
      </c>
      <c r="I78" s="293" t="s">
        <v>1488</v>
      </c>
      <c r="J78" s="340" t="s">
        <v>3168</v>
      </c>
      <c r="K78" s="341" t="s">
        <v>3172</v>
      </c>
      <c r="L78" s="256">
        <f>CONTINUA!BV78</f>
        <v>0</v>
      </c>
      <c r="M78" s="256">
        <f>CONTINUA!BW78</f>
        <v>0</v>
      </c>
      <c r="N78" s="564"/>
      <c r="O78" s="565" t="s">
        <v>3346</v>
      </c>
      <c r="P78" s="566">
        <v>0</v>
      </c>
      <c r="Q78" s="319">
        <v>0</v>
      </c>
      <c r="R78" s="320"/>
      <c r="S78" s="319">
        <v>0</v>
      </c>
      <c r="T78" s="320"/>
      <c r="U78" s="319">
        <v>0</v>
      </c>
      <c r="V78" s="320">
        <v>0</v>
      </c>
      <c r="W78" s="319">
        <v>0</v>
      </c>
      <c r="X78" s="320"/>
      <c r="Y78" s="319">
        <v>0</v>
      </c>
      <c r="Z78" s="320"/>
      <c r="AA78" s="319">
        <v>0</v>
      </c>
      <c r="AB78" s="320">
        <v>0</v>
      </c>
      <c r="AC78" s="319">
        <v>0</v>
      </c>
      <c r="AD78" s="320"/>
      <c r="AE78" s="319">
        <v>0</v>
      </c>
      <c r="AF78" s="320"/>
      <c r="AG78" s="319">
        <v>0</v>
      </c>
      <c r="AH78" s="320">
        <v>0</v>
      </c>
      <c r="AI78" s="319">
        <v>0</v>
      </c>
      <c r="AJ78" s="320"/>
      <c r="AK78" s="319">
        <v>0</v>
      </c>
      <c r="AL78" s="320"/>
      <c r="AM78" s="319">
        <v>0</v>
      </c>
      <c r="AN78" s="320">
        <v>0</v>
      </c>
      <c r="AO78" s="319">
        <v>0</v>
      </c>
      <c r="AP78" s="320"/>
      <c r="AQ78" s="319">
        <v>0</v>
      </c>
      <c r="AR78" s="320"/>
      <c r="AS78" s="319">
        <v>0</v>
      </c>
      <c r="AT78" s="320">
        <v>0</v>
      </c>
      <c r="AU78" s="319">
        <v>0</v>
      </c>
      <c r="AV78" s="320"/>
      <c r="AW78" s="319">
        <v>0</v>
      </c>
      <c r="AX78" s="320"/>
      <c r="AY78" s="319">
        <v>0</v>
      </c>
      <c r="AZ78" s="320">
        <v>0</v>
      </c>
      <c r="BA78" s="319">
        <v>0</v>
      </c>
      <c r="BB78" s="320"/>
      <c r="BC78" s="319">
        <v>0</v>
      </c>
      <c r="BD78" s="320"/>
      <c r="BE78" s="319">
        <v>0</v>
      </c>
      <c r="BF78" s="320">
        <v>0</v>
      </c>
      <c r="BG78" s="319">
        <v>0</v>
      </c>
      <c r="BH78" s="320"/>
      <c r="BI78" s="319">
        <v>0</v>
      </c>
      <c r="BJ78" s="320"/>
      <c r="BK78" s="319">
        <v>0</v>
      </c>
      <c r="BL78" s="320">
        <v>0</v>
      </c>
      <c r="BM78" s="319">
        <v>0</v>
      </c>
      <c r="BN78" s="320"/>
      <c r="BO78" s="319">
        <v>0</v>
      </c>
      <c r="BP78" s="320"/>
      <c r="BQ78" s="319">
        <v>0</v>
      </c>
      <c r="BR78" s="320">
        <v>0</v>
      </c>
      <c r="BS78" s="319">
        <v>0</v>
      </c>
      <c r="BT78" s="320"/>
      <c r="BU78" s="319">
        <v>0</v>
      </c>
      <c r="BV78" s="320"/>
      <c r="BW78" s="319">
        <v>0</v>
      </c>
      <c r="BX78" s="320">
        <v>0</v>
      </c>
      <c r="BY78" s="319">
        <v>0</v>
      </c>
      <c r="BZ78" s="320"/>
      <c r="CA78" s="319">
        <v>0</v>
      </c>
      <c r="CB78" s="320"/>
      <c r="CC78" s="319">
        <v>0</v>
      </c>
      <c r="CD78" s="320">
        <v>0</v>
      </c>
      <c r="CE78" s="319">
        <v>0</v>
      </c>
      <c r="CF78" s="320"/>
      <c r="CG78" s="319">
        <v>0</v>
      </c>
      <c r="CH78" s="320"/>
      <c r="CI78" s="319">
        <v>0</v>
      </c>
      <c r="CJ78" s="320">
        <v>0</v>
      </c>
      <c r="CK78" s="319">
        <v>0</v>
      </c>
      <c r="CL78" s="320"/>
      <c r="CM78" s="319">
        <v>0</v>
      </c>
      <c r="CN78" s="320"/>
      <c r="CO78" s="319">
        <v>0</v>
      </c>
      <c r="CP78" s="320">
        <v>0</v>
      </c>
      <c r="CQ78" s="319">
        <v>0</v>
      </c>
      <c r="CR78" s="320"/>
      <c r="CS78" s="319">
        <v>0</v>
      </c>
      <c r="CT78" s="320"/>
      <c r="CU78" s="319">
        <v>0</v>
      </c>
      <c r="CV78" s="320">
        <v>0</v>
      </c>
      <c r="CW78" s="319">
        <v>0</v>
      </c>
      <c r="CX78" s="320"/>
      <c r="CY78" s="319">
        <v>0</v>
      </c>
      <c r="CZ78" s="320"/>
      <c r="DA78" s="319">
        <v>0</v>
      </c>
      <c r="DB78" s="320">
        <v>0</v>
      </c>
      <c r="DC78" s="319">
        <v>0</v>
      </c>
      <c r="DD78" s="320"/>
      <c r="DE78" s="319">
        <v>0</v>
      </c>
      <c r="DF78" s="320"/>
      <c r="DG78" s="319">
        <v>0</v>
      </c>
      <c r="DH78" s="320">
        <v>0</v>
      </c>
      <c r="DI78" s="319">
        <v>0</v>
      </c>
      <c r="DJ78" s="320"/>
      <c r="DK78" s="319">
        <v>0</v>
      </c>
      <c r="DL78" s="320"/>
      <c r="DM78" s="319">
        <v>0</v>
      </c>
      <c r="DN78" s="320">
        <v>0</v>
      </c>
      <c r="DO78" s="319">
        <v>0</v>
      </c>
      <c r="DP78" s="320"/>
      <c r="DQ78" s="319">
        <v>0</v>
      </c>
      <c r="DR78" s="320"/>
      <c r="DS78" s="319">
        <v>0</v>
      </c>
      <c r="DT78" s="320">
        <v>0</v>
      </c>
      <c r="DU78" s="319">
        <v>0</v>
      </c>
      <c r="DV78" s="320"/>
      <c r="DW78" s="319">
        <v>0</v>
      </c>
      <c r="DX78" s="320"/>
      <c r="DY78" s="319">
        <v>0</v>
      </c>
      <c r="DZ78" s="320">
        <v>0</v>
      </c>
      <c r="EA78" s="319">
        <v>0</v>
      </c>
      <c r="EB78" s="320"/>
      <c r="EC78" s="319">
        <v>0</v>
      </c>
      <c r="ED78" s="320"/>
      <c r="EE78" s="319">
        <v>0</v>
      </c>
      <c r="EF78" s="320">
        <v>0</v>
      </c>
      <c r="EG78" s="319">
        <v>0</v>
      </c>
      <c r="EH78" s="320"/>
      <c r="EI78" s="319">
        <v>0</v>
      </c>
      <c r="EJ78" s="320"/>
      <c r="EK78" s="319">
        <v>0</v>
      </c>
      <c r="EL78" s="320">
        <v>0</v>
      </c>
      <c r="EM78" s="319">
        <v>0</v>
      </c>
      <c r="EN78" s="320"/>
      <c r="EO78" s="319">
        <v>0</v>
      </c>
      <c r="EP78" s="320"/>
      <c r="EQ78" s="319">
        <v>0</v>
      </c>
      <c r="ER78" s="320">
        <v>0</v>
      </c>
      <c r="ES78" s="319">
        <v>0</v>
      </c>
      <c r="ET78" s="320"/>
      <c r="EU78" s="319">
        <v>0</v>
      </c>
      <c r="EV78" s="320"/>
      <c r="EW78" s="319">
        <v>0</v>
      </c>
      <c r="EX78" s="320">
        <v>0</v>
      </c>
      <c r="EY78" s="319">
        <v>0</v>
      </c>
      <c r="EZ78" s="320"/>
      <c r="FA78" s="319">
        <v>0</v>
      </c>
      <c r="FB78" s="320"/>
      <c r="FC78" s="319">
        <v>0</v>
      </c>
      <c r="FD78" s="320">
        <v>0</v>
      </c>
      <c r="FE78" s="319">
        <v>0</v>
      </c>
      <c r="FF78" s="320"/>
      <c r="FG78" s="319">
        <v>0</v>
      </c>
      <c r="FH78" s="320"/>
      <c r="FI78" s="319">
        <v>0</v>
      </c>
      <c r="FJ78" s="320">
        <v>0</v>
      </c>
      <c r="FK78" s="319">
        <v>0</v>
      </c>
      <c r="FL78" s="320"/>
      <c r="FM78" s="319">
        <v>0</v>
      </c>
      <c r="FN78" s="320"/>
      <c r="FO78" s="319">
        <v>0</v>
      </c>
      <c r="FP78" s="320">
        <v>0</v>
      </c>
      <c r="FQ78" s="319">
        <v>0</v>
      </c>
      <c r="FR78" s="320"/>
      <c r="FS78" s="319">
        <v>0</v>
      </c>
      <c r="FT78" s="320"/>
      <c r="FU78" s="319">
        <v>0</v>
      </c>
      <c r="FV78" s="320">
        <v>0</v>
      </c>
      <c r="FW78" s="319">
        <v>0</v>
      </c>
      <c r="FX78" s="320"/>
      <c r="FY78" s="319">
        <v>0</v>
      </c>
      <c r="FZ78" s="320"/>
      <c r="GA78" s="319">
        <v>0</v>
      </c>
      <c r="GB78" s="320">
        <v>0</v>
      </c>
      <c r="GC78" s="319">
        <v>0</v>
      </c>
      <c r="GD78" s="320"/>
      <c r="GE78" s="319">
        <v>0</v>
      </c>
      <c r="GF78" s="320"/>
      <c r="GG78" s="319">
        <v>0</v>
      </c>
      <c r="GH78" s="320">
        <v>0</v>
      </c>
      <c r="GI78" s="319">
        <v>0</v>
      </c>
      <c r="GJ78" s="320"/>
      <c r="GK78" s="319">
        <v>0</v>
      </c>
      <c r="GL78" s="320"/>
      <c r="GM78" s="319">
        <v>0</v>
      </c>
      <c r="GN78" s="320">
        <v>0</v>
      </c>
      <c r="GO78" s="319">
        <v>0</v>
      </c>
      <c r="GP78" s="320"/>
      <c r="GQ78" s="319">
        <v>0</v>
      </c>
      <c r="GR78" s="320"/>
      <c r="GS78" s="319">
        <v>0</v>
      </c>
      <c r="GT78" s="320">
        <v>0</v>
      </c>
      <c r="GU78" s="319">
        <v>0</v>
      </c>
      <c r="GV78" s="320"/>
      <c r="GW78" s="319">
        <v>0</v>
      </c>
      <c r="GX78" s="320"/>
      <c r="GY78" s="319">
        <v>0</v>
      </c>
      <c r="GZ78" s="320">
        <v>0</v>
      </c>
    </row>
    <row r="79" spans="1:208" s="89" customFormat="1" ht="22.5" customHeight="1" x14ac:dyDescent="0.2">
      <c r="A79" s="287" t="s">
        <v>3233</v>
      </c>
      <c r="B79" s="288" t="s">
        <v>3234</v>
      </c>
      <c r="C79" s="294" t="s">
        <v>3170</v>
      </c>
      <c r="D79" s="290" t="s">
        <v>3235</v>
      </c>
      <c r="E79" s="290" t="s">
        <v>3236</v>
      </c>
      <c r="F79" s="295" t="s">
        <v>3166</v>
      </c>
      <c r="G79" s="295" t="s">
        <v>3167</v>
      </c>
      <c r="H79" s="292" t="s">
        <v>1488</v>
      </c>
      <c r="I79" s="293" t="s">
        <v>1488</v>
      </c>
      <c r="J79" s="340" t="s">
        <v>3168</v>
      </c>
      <c r="K79" s="342" t="s">
        <v>3173</v>
      </c>
      <c r="L79" s="256">
        <f>CONTINUA!BV79</f>
        <v>0</v>
      </c>
      <c r="M79" s="256">
        <f>CONTINUA!BW79</f>
        <v>0</v>
      </c>
      <c r="N79" s="564"/>
      <c r="O79" s="565" t="s">
        <v>3346</v>
      </c>
      <c r="P79" s="566">
        <v>0</v>
      </c>
      <c r="Q79" s="319">
        <v>0</v>
      </c>
      <c r="R79" s="320"/>
      <c r="S79" s="319">
        <v>0</v>
      </c>
      <c r="T79" s="320"/>
      <c r="U79" s="319">
        <v>0</v>
      </c>
      <c r="V79" s="320">
        <v>0</v>
      </c>
      <c r="W79" s="319">
        <v>0</v>
      </c>
      <c r="X79" s="320"/>
      <c r="Y79" s="319">
        <v>0</v>
      </c>
      <c r="Z79" s="320"/>
      <c r="AA79" s="319">
        <v>0</v>
      </c>
      <c r="AB79" s="320">
        <v>0</v>
      </c>
      <c r="AC79" s="319">
        <v>0</v>
      </c>
      <c r="AD79" s="320"/>
      <c r="AE79" s="319">
        <v>0</v>
      </c>
      <c r="AF79" s="320"/>
      <c r="AG79" s="319">
        <v>0</v>
      </c>
      <c r="AH79" s="320">
        <v>0</v>
      </c>
      <c r="AI79" s="319">
        <v>0</v>
      </c>
      <c r="AJ79" s="320"/>
      <c r="AK79" s="319">
        <v>0</v>
      </c>
      <c r="AL79" s="320"/>
      <c r="AM79" s="319">
        <v>0</v>
      </c>
      <c r="AN79" s="320">
        <v>0</v>
      </c>
      <c r="AO79" s="319">
        <v>0</v>
      </c>
      <c r="AP79" s="320"/>
      <c r="AQ79" s="319">
        <v>0</v>
      </c>
      <c r="AR79" s="320"/>
      <c r="AS79" s="319">
        <v>0</v>
      </c>
      <c r="AT79" s="320">
        <v>0</v>
      </c>
      <c r="AU79" s="319">
        <v>0</v>
      </c>
      <c r="AV79" s="320"/>
      <c r="AW79" s="319">
        <v>0</v>
      </c>
      <c r="AX79" s="320"/>
      <c r="AY79" s="319">
        <v>0</v>
      </c>
      <c r="AZ79" s="320">
        <v>0</v>
      </c>
      <c r="BA79" s="319">
        <v>0</v>
      </c>
      <c r="BB79" s="320"/>
      <c r="BC79" s="319">
        <v>0</v>
      </c>
      <c r="BD79" s="320"/>
      <c r="BE79" s="319">
        <v>0</v>
      </c>
      <c r="BF79" s="320">
        <v>0</v>
      </c>
      <c r="BG79" s="319">
        <v>0</v>
      </c>
      <c r="BH79" s="320"/>
      <c r="BI79" s="319">
        <v>0</v>
      </c>
      <c r="BJ79" s="320"/>
      <c r="BK79" s="319">
        <v>0</v>
      </c>
      <c r="BL79" s="320">
        <v>0</v>
      </c>
      <c r="BM79" s="319">
        <v>0</v>
      </c>
      <c r="BN79" s="320"/>
      <c r="BO79" s="319">
        <v>0</v>
      </c>
      <c r="BP79" s="320"/>
      <c r="BQ79" s="319">
        <v>0</v>
      </c>
      <c r="BR79" s="320">
        <v>0</v>
      </c>
      <c r="BS79" s="319">
        <v>0</v>
      </c>
      <c r="BT79" s="320"/>
      <c r="BU79" s="319">
        <v>0</v>
      </c>
      <c r="BV79" s="320"/>
      <c r="BW79" s="319">
        <v>0</v>
      </c>
      <c r="BX79" s="320">
        <v>0</v>
      </c>
      <c r="BY79" s="319">
        <v>0</v>
      </c>
      <c r="BZ79" s="320"/>
      <c r="CA79" s="319">
        <v>0</v>
      </c>
      <c r="CB79" s="320"/>
      <c r="CC79" s="319">
        <v>0</v>
      </c>
      <c r="CD79" s="320">
        <v>0</v>
      </c>
      <c r="CE79" s="319">
        <v>0</v>
      </c>
      <c r="CF79" s="320"/>
      <c r="CG79" s="319">
        <v>0</v>
      </c>
      <c r="CH79" s="320"/>
      <c r="CI79" s="319">
        <v>0</v>
      </c>
      <c r="CJ79" s="320">
        <v>0</v>
      </c>
      <c r="CK79" s="319">
        <v>0</v>
      </c>
      <c r="CL79" s="320"/>
      <c r="CM79" s="319">
        <v>0</v>
      </c>
      <c r="CN79" s="320"/>
      <c r="CO79" s="319">
        <v>0</v>
      </c>
      <c r="CP79" s="320">
        <v>0</v>
      </c>
      <c r="CQ79" s="319">
        <v>0</v>
      </c>
      <c r="CR79" s="320"/>
      <c r="CS79" s="319">
        <v>0</v>
      </c>
      <c r="CT79" s="320"/>
      <c r="CU79" s="319">
        <v>0</v>
      </c>
      <c r="CV79" s="320">
        <v>0</v>
      </c>
      <c r="CW79" s="319">
        <v>0</v>
      </c>
      <c r="CX79" s="320"/>
      <c r="CY79" s="319">
        <v>0</v>
      </c>
      <c r="CZ79" s="320"/>
      <c r="DA79" s="319">
        <v>0</v>
      </c>
      <c r="DB79" s="320">
        <v>0</v>
      </c>
      <c r="DC79" s="319">
        <v>0</v>
      </c>
      <c r="DD79" s="320"/>
      <c r="DE79" s="319">
        <v>0</v>
      </c>
      <c r="DF79" s="320"/>
      <c r="DG79" s="319">
        <v>0</v>
      </c>
      <c r="DH79" s="320">
        <v>0</v>
      </c>
      <c r="DI79" s="319">
        <v>0</v>
      </c>
      <c r="DJ79" s="320"/>
      <c r="DK79" s="319">
        <v>0</v>
      </c>
      <c r="DL79" s="320"/>
      <c r="DM79" s="319">
        <v>0</v>
      </c>
      <c r="DN79" s="320">
        <v>0</v>
      </c>
      <c r="DO79" s="319">
        <v>0</v>
      </c>
      <c r="DP79" s="320"/>
      <c r="DQ79" s="319">
        <v>0</v>
      </c>
      <c r="DR79" s="320"/>
      <c r="DS79" s="319">
        <v>0</v>
      </c>
      <c r="DT79" s="320">
        <v>0</v>
      </c>
      <c r="DU79" s="319">
        <v>0</v>
      </c>
      <c r="DV79" s="320"/>
      <c r="DW79" s="319">
        <v>0</v>
      </c>
      <c r="DX79" s="320"/>
      <c r="DY79" s="319">
        <v>0</v>
      </c>
      <c r="DZ79" s="320">
        <v>0</v>
      </c>
      <c r="EA79" s="319">
        <v>0</v>
      </c>
      <c r="EB79" s="320"/>
      <c r="EC79" s="319">
        <v>0</v>
      </c>
      <c r="ED79" s="320"/>
      <c r="EE79" s="319">
        <v>0</v>
      </c>
      <c r="EF79" s="320">
        <v>0</v>
      </c>
      <c r="EG79" s="319">
        <v>0</v>
      </c>
      <c r="EH79" s="320"/>
      <c r="EI79" s="319">
        <v>0</v>
      </c>
      <c r="EJ79" s="320"/>
      <c r="EK79" s="319">
        <v>0</v>
      </c>
      <c r="EL79" s="320">
        <v>0</v>
      </c>
      <c r="EM79" s="319">
        <v>0</v>
      </c>
      <c r="EN79" s="320"/>
      <c r="EO79" s="319">
        <v>0</v>
      </c>
      <c r="EP79" s="320"/>
      <c r="EQ79" s="319">
        <v>0</v>
      </c>
      <c r="ER79" s="320">
        <v>0</v>
      </c>
      <c r="ES79" s="319">
        <v>0</v>
      </c>
      <c r="ET79" s="320"/>
      <c r="EU79" s="319">
        <v>0</v>
      </c>
      <c r="EV79" s="320"/>
      <c r="EW79" s="319">
        <v>0</v>
      </c>
      <c r="EX79" s="320">
        <v>0</v>
      </c>
      <c r="EY79" s="319">
        <v>0</v>
      </c>
      <c r="EZ79" s="320"/>
      <c r="FA79" s="319">
        <v>0</v>
      </c>
      <c r="FB79" s="320"/>
      <c r="FC79" s="319">
        <v>0</v>
      </c>
      <c r="FD79" s="320">
        <v>0</v>
      </c>
      <c r="FE79" s="319">
        <v>0</v>
      </c>
      <c r="FF79" s="320"/>
      <c r="FG79" s="319">
        <v>0</v>
      </c>
      <c r="FH79" s="320"/>
      <c r="FI79" s="319">
        <v>0</v>
      </c>
      <c r="FJ79" s="320">
        <v>0</v>
      </c>
      <c r="FK79" s="319">
        <v>0</v>
      </c>
      <c r="FL79" s="320"/>
      <c r="FM79" s="319">
        <v>0</v>
      </c>
      <c r="FN79" s="320"/>
      <c r="FO79" s="319">
        <v>0</v>
      </c>
      <c r="FP79" s="320">
        <v>0</v>
      </c>
      <c r="FQ79" s="319">
        <v>0</v>
      </c>
      <c r="FR79" s="320"/>
      <c r="FS79" s="319">
        <v>0</v>
      </c>
      <c r="FT79" s="320"/>
      <c r="FU79" s="319">
        <v>0</v>
      </c>
      <c r="FV79" s="320">
        <v>0</v>
      </c>
      <c r="FW79" s="319">
        <v>0</v>
      </c>
      <c r="FX79" s="320"/>
      <c r="FY79" s="319">
        <v>0</v>
      </c>
      <c r="FZ79" s="320"/>
      <c r="GA79" s="319">
        <v>0</v>
      </c>
      <c r="GB79" s="320">
        <v>0</v>
      </c>
      <c r="GC79" s="319">
        <v>0</v>
      </c>
      <c r="GD79" s="320"/>
      <c r="GE79" s="319">
        <v>0</v>
      </c>
      <c r="GF79" s="320"/>
      <c r="GG79" s="319">
        <v>0</v>
      </c>
      <c r="GH79" s="320">
        <v>0</v>
      </c>
      <c r="GI79" s="319">
        <v>0</v>
      </c>
      <c r="GJ79" s="320"/>
      <c r="GK79" s="319">
        <v>0</v>
      </c>
      <c r="GL79" s="320"/>
      <c r="GM79" s="319">
        <v>0</v>
      </c>
      <c r="GN79" s="320">
        <v>0</v>
      </c>
      <c r="GO79" s="319">
        <v>0</v>
      </c>
      <c r="GP79" s="320"/>
      <c r="GQ79" s="319">
        <v>0</v>
      </c>
      <c r="GR79" s="320"/>
      <c r="GS79" s="319">
        <v>0</v>
      </c>
      <c r="GT79" s="320">
        <v>0</v>
      </c>
      <c r="GU79" s="319">
        <v>0</v>
      </c>
      <c r="GV79" s="320"/>
      <c r="GW79" s="319">
        <v>0</v>
      </c>
      <c r="GX79" s="320"/>
      <c r="GY79" s="319">
        <v>0</v>
      </c>
      <c r="GZ79" s="320">
        <v>0</v>
      </c>
    </row>
    <row r="80" spans="1:208" s="89" customFormat="1" ht="22.5" customHeight="1" thickBot="1" x14ac:dyDescent="0.25">
      <c r="A80" s="296" t="s">
        <v>3233</v>
      </c>
      <c r="B80" s="297" t="s">
        <v>3234</v>
      </c>
      <c r="C80" s="298" t="s">
        <v>3170</v>
      </c>
      <c r="D80" s="299" t="s">
        <v>3235</v>
      </c>
      <c r="E80" s="299" t="s">
        <v>3236</v>
      </c>
      <c r="F80" s="300" t="s">
        <v>3166</v>
      </c>
      <c r="G80" s="300" t="s">
        <v>3167</v>
      </c>
      <c r="H80" s="301" t="s">
        <v>1488</v>
      </c>
      <c r="I80" s="302" t="s">
        <v>1488</v>
      </c>
      <c r="J80" s="340" t="s">
        <v>3168</v>
      </c>
      <c r="K80" s="343" t="s">
        <v>53</v>
      </c>
      <c r="L80" s="256">
        <f>CONTINUA!BV80</f>
        <v>0</v>
      </c>
      <c r="M80" s="256">
        <f>CONTINUA!BW80</f>
        <v>0</v>
      </c>
      <c r="N80" s="564"/>
      <c r="O80" s="565" t="s">
        <v>3346</v>
      </c>
      <c r="P80" s="566">
        <v>0</v>
      </c>
      <c r="Q80" s="319">
        <v>0</v>
      </c>
      <c r="R80" s="320"/>
      <c r="S80" s="319">
        <v>0</v>
      </c>
      <c r="T80" s="320"/>
      <c r="U80" s="321">
        <v>0</v>
      </c>
      <c r="V80" s="322">
        <v>0</v>
      </c>
      <c r="W80" s="319">
        <v>0</v>
      </c>
      <c r="X80" s="320"/>
      <c r="Y80" s="319">
        <v>0</v>
      </c>
      <c r="Z80" s="320"/>
      <c r="AA80" s="321">
        <v>0</v>
      </c>
      <c r="AB80" s="322">
        <v>0</v>
      </c>
      <c r="AC80" s="319">
        <v>0</v>
      </c>
      <c r="AD80" s="320"/>
      <c r="AE80" s="319">
        <v>0</v>
      </c>
      <c r="AF80" s="320"/>
      <c r="AG80" s="321">
        <v>0</v>
      </c>
      <c r="AH80" s="322">
        <v>0</v>
      </c>
      <c r="AI80" s="319">
        <v>0</v>
      </c>
      <c r="AJ80" s="320"/>
      <c r="AK80" s="319">
        <v>0</v>
      </c>
      <c r="AL80" s="320"/>
      <c r="AM80" s="321">
        <v>0</v>
      </c>
      <c r="AN80" s="322">
        <v>0</v>
      </c>
      <c r="AO80" s="319">
        <v>0</v>
      </c>
      <c r="AP80" s="320"/>
      <c r="AQ80" s="319">
        <v>0</v>
      </c>
      <c r="AR80" s="320"/>
      <c r="AS80" s="321">
        <v>0</v>
      </c>
      <c r="AT80" s="322">
        <v>0</v>
      </c>
      <c r="AU80" s="319">
        <v>0</v>
      </c>
      <c r="AV80" s="320"/>
      <c r="AW80" s="319">
        <v>0</v>
      </c>
      <c r="AX80" s="320"/>
      <c r="AY80" s="321">
        <v>0</v>
      </c>
      <c r="AZ80" s="322">
        <v>0</v>
      </c>
      <c r="BA80" s="319">
        <v>0</v>
      </c>
      <c r="BB80" s="320"/>
      <c r="BC80" s="319">
        <v>0</v>
      </c>
      <c r="BD80" s="320"/>
      <c r="BE80" s="321">
        <v>0</v>
      </c>
      <c r="BF80" s="322">
        <v>0</v>
      </c>
      <c r="BG80" s="319">
        <v>0</v>
      </c>
      <c r="BH80" s="320"/>
      <c r="BI80" s="319">
        <v>0</v>
      </c>
      <c r="BJ80" s="320"/>
      <c r="BK80" s="321">
        <v>0</v>
      </c>
      <c r="BL80" s="322">
        <v>0</v>
      </c>
      <c r="BM80" s="319">
        <v>0</v>
      </c>
      <c r="BN80" s="320"/>
      <c r="BO80" s="319">
        <v>0</v>
      </c>
      <c r="BP80" s="320"/>
      <c r="BQ80" s="321">
        <v>0</v>
      </c>
      <c r="BR80" s="322">
        <v>0</v>
      </c>
      <c r="BS80" s="319">
        <v>0</v>
      </c>
      <c r="BT80" s="320"/>
      <c r="BU80" s="319">
        <v>0</v>
      </c>
      <c r="BV80" s="320"/>
      <c r="BW80" s="321">
        <v>0</v>
      </c>
      <c r="BX80" s="322">
        <v>0</v>
      </c>
      <c r="BY80" s="319">
        <v>0</v>
      </c>
      <c r="BZ80" s="320"/>
      <c r="CA80" s="319">
        <v>0</v>
      </c>
      <c r="CB80" s="320"/>
      <c r="CC80" s="321">
        <v>0</v>
      </c>
      <c r="CD80" s="322">
        <v>0</v>
      </c>
      <c r="CE80" s="319">
        <v>0</v>
      </c>
      <c r="CF80" s="320"/>
      <c r="CG80" s="319">
        <v>0</v>
      </c>
      <c r="CH80" s="320"/>
      <c r="CI80" s="321">
        <v>0</v>
      </c>
      <c r="CJ80" s="322">
        <v>0</v>
      </c>
      <c r="CK80" s="319">
        <v>0</v>
      </c>
      <c r="CL80" s="320"/>
      <c r="CM80" s="319">
        <v>0</v>
      </c>
      <c r="CN80" s="320"/>
      <c r="CO80" s="321">
        <v>0</v>
      </c>
      <c r="CP80" s="322">
        <v>0</v>
      </c>
      <c r="CQ80" s="319">
        <v>0</v>
      </c>
      <c r="CR80" s="320"/>
      <c r="CS80" s="319">
        <v>0</v>
      </c>
      <c r="CT80" s="320"/>
      <c r="CU80" s="321">
        <v>0</v>
      </c>
      <c r="CV80" s="322">
        <v>0</v>
      </c>
      <c r="CW80" s="319">
        <v>0</v>
      </c>
      <c r="CX80" s="320"/>
      <c r="CY80" s="319">
        <v>0</v>
      </c>
      <c r="CZ80" s="320"/>
      <c r="DA80" s="321">
        <v>0</v>
      </c>
      <c r="DB80" s="322">
        <v>0</v>
      </c>
      <c r="DC80" s="319">
        <v>0</v>
      </c>
      <c r="DD80" s="320"/>
      <c r="DE80" s="319">
        <v>0</v>
      </c>
      <c r="DF80" s="320"/>
      <c r="DG80" s="321">
        <v>0</v>
      </c>
      <c r="DH80" s="322">
        <v>0</v>
      </c>
      <c r="DI80" s="319">
        <v>0</v>
      </c>
      <c r="DJ80" s="320"/>
      <c r="DK80" s="319">
        <v>0</v>
      </c>
      <c r="DL80" s="320"/>
      <c r="DM80" s="321">
        <v>0</v>
      </c>
      <c r="DN80" s="322">
        <v>0</v>
      </c>
      <c r="DO80" s="319">
        <v>0</v>
      </c>
      <c r="DP80" s="320"/>
      <c r="DQ80" s="319">
        <v>0</v>
      </c>
      <c r="DR80" s="320"/>
      <c r="DS80" s="321">
        <v>0</v>
      </c>
      <c r="DT80" s="322">
        <v>0</v>
      </c>
      <c r="DU80" s="319">
        <v>0</v>
      </c>
      <c r="DV80" s="320"/>
      <c r="DW80" s="319">
        <v>0</v>
      </c>
      <c r="DX80" s="320"/>
      <c r="DY80" s="321">
        <v>0</v>
      </c>
      <c r="DZ80" s="322">
        <v>0</v>
      </c>
      <c r="EA80" s="319">
        <v>0</v>
      </c>
      <c r="EB80" s="320"/>
      <c r="EC80" s="319">
        <v>0</v>
      </c>
      <c r="ED80" s="320"/>
      <c r="EE80" s="321">
        <v>0</v>
      </c>
      <c r="EF80" s="322">
        <v>0</v>
      </c>
      <c r="EG80" s="319">
        <v>0</v>
      </c>
      <c r="EH80" s="320"/>
      <c r="EI80" s="319">
        <v>0</v>
      </c>
      <c r="EJ80" s="320"/>
      <c r="EK80" s="321">
        <v>0</v>
      </c>
      <c r="EL80" s="322">
        <v>0</v>
      </c>
      <c r="EM80" s="319">
        <v>0</v>
      </c>
      <c r="EN80" s="320"/>
      <c r="EO80" s="319">
        <v>0</v>
      </c>
      <c r="EP80" s="320"/>
      <c r="EQ80" s="321">
        <v>0</v>
      </c>
      <c r="ER80" s="322">
        <v>0</v>
      </c>
      <c r="ES80" s="319">
        <v>0</v>
      </c>
      <c r="ET80" s="320"/>
      <c r="EU80" s="319">
        <v>0</v>
      </c>
      <c r="EV80" s="320"/>
      <c r="EW80" s="321">
        <v>0</v>
      </c>
      <c r="EX80" s="322">
        <v>0</v>
      </c>
      <c r="EY80" s="319">
        <v>0</v>
      </c>
      <c r="EZ80" s="320"/>
      <c r="FA80" s="319">
        <v>0</v>
      </c>
      <c r="FB80" s="320"/>
      <c r="FC80" s="321">
        <v>0</v>
      </c>
      <c r="FD80" s="322">
        <v>0</v>
      </c>
      <c r="FE80" s="319">
        <v>0</v>
      </c>
      <c r="FF80" s="320"/>
      <c r="FG80" s="319">
        <v>0</v>
      </c>
      <c r="FH80" s="320"/>
      <c r="FI80" s="321">
        <v>0</v>
      </c>
      <c r="FJ80" s="322">
        <v>0</v>
      </c>
      <c r="FK80" s="319">
        <v>0</v>
      </c>
      <c r="FL80" s="320"/>
      <c r="FM80" s="319">
        <v>0</v>
      </c>
      <c r="FN80" s="320"/>
      <c r="FO80" s="321">
        <v>0</v>
      </c>
      <c r="FP80" s="322">
        <v>0</v>
      </c>
      <c r="FQ80" s="319">
        <v>0</v>
      </c>
      <c r="FR80" s="320"/>
      <c r="FS80" s="319">
        <v>0</v>
      </c>
      <c r="FT80" s="320"/>
      <c r="FU80" s="321">
        <v>0</v>
      </c>
      <c r="FV80" s="322">
        <v>0</v>
      </c>
      <c r="FW80" s="319">
        <v>0</v>
      </c>
      <c r="FX80" s="320"/>
      <c r="FY80" s="319">
        <v>0</v>
      </c>
      <c r="FZ80" s="320"/>
      <c r="GA80" s="321">
        <v>0</v>
      </c>
      <c r="GB80" s="322">
        <v>0</v>
      </c>
      <c r="GC80" s="319">
        <v>0</v>
      </c>
      <c r="GD80" s="320"/>
      <c r="GE80" s="319">
        <v>0</v>
      </c>
      <c r="GF80" s="320"/>
      <c r="GG80" s="321">
        <v>0</v>
      </c>
      <c r="GH80" s="322">
        <v>0</v>
      </c>
      <c r="GI80" s="319">
        <v>0</v>
      </c>
      <c r="GJ80" s="320"/>
      <c r="GK80" s="319">
        <v>0</v>
      </c>
      <c r="GL80" s="320"/>
      <c r="GM80" s="321">
        <v>0</v>
      </c>
      <c r="GN80" s="322">
        <v>0</v>
      </c>
      <c r="GO80" s="319">
        <v>0</v>
      </c>
      <c r="GP80" s="320"/>
      <c r="GQ80" s="319">
        <v>0</v>
      </c>
      <c r="GR80" s="320"/>
      <c r="GS80" s="321">
        <v>0</v>
      </c>
      <c r="GT80" s="322">
        <v>0</v>
      </c>
      <c r="GU80" s="319">
        <v>0</v>
      </c>
      <c r="GV80" s="320"/>
      <c r="GW80" s="319">
        <v>0</v>
      </c>
      <c r="GX80" s="320"/>
      <c r="GY80" s="321">
        <v>0</v>
      </c>
      <c r="GZ80" s="322">
        <v>0</v>
      </c>
    </row>
    <row r="81" spans="1:208" s="89" customFormat="1" ht="22.5" customHeight="1" x14ac:dyDescent="0.2">
      <c r="A81" t="s">
        <v>3237</v>
      </c>
      <c r="B81" s="429" t="s">
        <v>3238</v>
      </c>
      <c r="C81" s="430">
        <v>1</v>
      </c>
      <c r="D81" s="431" t="s">
        <v>3239</v>
      </c>
      <c r="E81" s="431" t="s">
        <v>3240</v>
      </c>
      <c r="F81" s="432" t="s">
        <v>3166</v>
      </c>
      <c r="G81" s="432" t="s">
        <v>3167</v>
      </c>
      <c r="H81" s="270" t="s">
        <v>1491</v>
      </c>
      <c r="I81" s="271" t="s">
        <v>1491</v>
      </c>
      <c r="J81" s="328" t="s">
        <v>3168</v>
      </c>
      <c r="K81" s="329" t="s">
        <v>3169</v>
      </c>
      <c r="L81" s="256">
        <f>CONTINUA!BV81</f>
        <v>0</v>
      </c>
      <c r="M81" s="256">
        <f>CONTINUA!BW81</f>
        <v>0</v>
      </c>
      <c r="N81" s="564"/>
      <c r="O81" s="565" t="s">
        <v>3347</v>
      </c>
      <c r="P81" s="566">
        <v>0</v>
      </c>
      <c r="Q81" s="319">
        <v>0</v>
      </c>
      <c r="R81" s="320"/>
      <c r="S81" s="319">
        <v>0</v>
      </c>
      <c r="T81" s="320"/>
      <c r="U81" s="321">
        <v>0</v>
      </c>
      <c r="V81" s="322">
        <v>0</v>
      </c>
      <c r="W81" s="319">
        <v>0</v>
      </c>
      <c r="X81" s="320"/>
      <c r="Y81" s="319">
        <v>0</v>
      </c>
      <c r="Z81" s="320"/>
      <c r="AA81" s="321">
        <v>0</v>
      </c>
      <c r="AB81" s="322">
        <v>0</v>
      </c>
      <c r="AC81" s="319">
        <v>0</v>
      </c>
      <c r="AD81" s="320"/>
      <c r="AE81" s="319">
        <v>0</v>
      </c>
      <c r="AF81" s="320"/>
      <c r="AG81" s="321">
        <v>0</v>
      </c>
      <c r="AH81" s="322">
        <v>0</v>
      </c>
      <c r="AI81" s="319">
        <v>0</v>
      </c>
      <c r="AJ81" s="320"/>
      <c r="AK81" s="319">
        <v>0</v>
      </c>
      <c r="AL81" s="320"/>
      <c r="AM81" s="321">
        <v>0</v>
      </c>
      <c r="AN81" s="322">
        <v>0</v>
      </c>
      <c r="AO81" s="319">
        <v>0</v>
      </c>
      <c r="AP81" s="320"/>
      <c r="AQ81" s="319">
        <v>0</v>
      </c>
      <c r="AR81" s="320"/>
      <c r="AS81" s="321">
        <v>0</v>
      </c>
      <c r="AT81" s="322">
        <v>0</v>
      </c>
      <c r="AU81" s="319">
        <v>0</v>
      </c>
      <c r="AV81" s="320"/>
      <c r="AW81" s="319">
        <v>0</v>
      </c>
      <c r="AX81" s="320"/>
      <c r="AY81" s="321">
        <v>0</v>
      </c>
      <c r="AZ81" s="322">
        <v>0</v>
      </c>
      <c r="BA81" s="319">
        <v>0</v>
      </c>
      <c r="BB81" s="320"/>
      <c r="BC81" s="319">
        <v>0</v>
      </c>
      <c r="BD81" s="320"/>
      <c r="BE81" s="321">
        <v>0</v>
      </c>
      <c r="BF81" s="322">
        <v>0</v>
      </c>
      <c r="BG81" s="319">
        <v>0</v>
      </c>
      <c r="BH81" s="320"/>
      <c r="BI81" s="319">
        <v>0</v>
      </c>
      <c r="BJ81" s="320"/>
      <c r="BK81" s="321">
        <v>0</v>
      </c>
      <c r="BL81" s="322">
        <v>0</v>
      </c>
      <c r="BM81" s="319">
        <v>0</v>
      </c>
      <c r="BN81" s="320"/>
      <c r="BO81" s="319">
        <v>0</v>
      </c>
      <c r="BP81" s="320"/>
      <c r="BQ81" s="321">
        <v>0</v>
      </c>
      <c r="BR81" s="322">
        <v>0</v>
      </c>
      <c r="BS81" s="319">
        <v>0</v>
      </c>
      <c r="BT81" s="320"/>
      <c r="BU81" s="319">
        <v>0</v>
      </c>
      <c r="BV81" s="320"/>
      <c r="BW81" s="321">
        <v>0</v>
      </c>
      <c r="BX81" s="322">
        <v>0</v>
      </c>
      <c r="BY81" s="319">
        <v>0</v>
      </c>
      <c r="BZ81" s="320"/>
      <c r="CA81" s="319">
        <v>0</v>
      </c>
      <c r="CB81" s="320"/>
      <c r="CC81" s="321">
        <v>0</v>
      </c>
      <c r="CD81" s="322">
        <v>0</v>
      </c>
      <c r="CE81" s="319">
        <v>0</v>
      </c>
      <c r="CF81" s="320"/>
      <c r="CG81" s="319">
        <v>0</v>
      </c>
      <c r="CH81" s="320"/>
      <c r="CI81" s="321">
        <v>0</v>
      </c>
      <c r="CJ81" s="322">
        <v>0</v>
      </c>
      <c r="CK81" s="319">
        <v>0</v>
      </c>
      <c r="CL81" s="320"/>
      <c r="CM81" s="319">
        <v>0</v>
      </c>
      <c r="CN81" s="320"/>
      <c r="CO81" s="321">
        <v>0</v>
      </c>
      <c r="CP81" s="322">
        <v>0</v>
      </c>
      <c r="CQ81" s="319">
        <v>0</v>
      </c>
      <c r="CR81" s="320"/>
      <c r="CS81" s="319">
        <v>0</v>
      </c>
      <c r="CT81" s="320"/>
      <c r="CU81" s="321">
        <v>0</v>
      </c>
      <c r="CV81" s="322">
        <v>0</v>
      </c>
      <c r="CW81" s="319">
        <v>0</v>
      </c>
      <c r="CX81" s="320"/>
      <c r="CY81" s="319">
        <v>0</v>
      </c>
      <c r="CZ81" s="320"/>
      <c r="DA81" s="321">
        <v>0</v>
      </c>
      <c r="DB81" s="322">
        <v>0</v>
      </c>
      <c r="DC81" s="319">
        <v>0</v>
      </c>
      <c r="DD81" s="320"/>
      <c r="DE81" s="319">
        <v>0</v>
      </c>
      <c r="DF81" s="320"/>
      <c r="DG81" s="321">
        <v>0</v>
      </c>
      <c r="DH81" s="322">
        <v>0</v>
      </c>
      <c r="DI81" s="319">
        <v>0</v>
      </c>
      <c r="DJ81" s="320"/>
      <c r="DK81" s="319">
        <v>0</v>
      </c>
      <c r="DL81" s="320"/>
      <c r="DM81" s="321">
        <v>0</v>
      </c>
      <c r="DN81" s="322">
        <v>0</v>
      </c>
      <c r="DO81" s="319">
        <v>0</v>
      </c>
      <c r="DP81" s="320"/>
      <c r="DQ81" s="319">
        <v>0</v>
      </c>
      <c r="DR81" s="320"/>
      <c r="DS81" s="321">
        <v>0</v>
      </c>
      <c r="DT81" s="322">
        <v>0</v>
      </c>
      <c r="DU81" s="319">
        <v>0</v>
      </c>
      <c r="DV81" s="320"/>
      <c r="DW81" s="319">
        <v>0</v>
      </c>
      <c r="DX81" s="320"/>
      <c r="DY81" s="321">
        <v>0</v>
      </c>
      <c r="DZ81" s="322">
        <v>0</v>
      </c>
      <c r="EA81" s="319">
        <v>0</v>
      </c>
      <c r="EB81" s="320"/>
      <c r="EC81" s="319">
        <v>0</v>
      </c>
      <c r="ED81" s="320"/>
      <c r="EE81" s="321">
        <v>0</v>
      </c>
      <c r="EF81" s="322">
        <v>0</v>
      </c>
      <c r="EG81" s="319">
        <v>0</v>
      </c>
      <c r="EH81" s="320"/>
      <c r="EI81" s="319">
        <v>0</v>
      </c>
      <c r="EJ81" s="320"/>
      <c r="EK81" s="321">
        <v>0</v>
      </c>
      <c r="EL81" s="322">
        <v>0</v>
      </c>
      <c r="EM81" s="319">
        <v>0</v>
      </c>
      <c r="EN81" s="320"/>
      <c r="EO81" s="319">
        <v>0</v>
      </c>
      <c r="EP81" s="320"/>
      <c r="EQ81" s="321">
        <v>0</v>
      </c>
      <c r="ER81" s="322">
        <v>0</v>
      </c>
      <c r="ES81" s="319">
        <v>0</v>
      </c>
      <c r="ET81" s="320"/>
      <c r="EU81" s="319">
        <v>0</v>
      </c>
      <c r="EV81" s="320"/>
      <c r="EW81" s="321">
        <v>0</v>
      </c>
      <c r="EX81" s="322">
        <v>0</v>
      </c>
      <c r="EY81" s="319">
        <v>0</v>
      </c>
      <c r="EZ81" s="320"/>
      <c r="FA81" s="319">
        <v>0</v>
      </c>
      <c r="FB81" s="320"/>
      <c r="FC81" s="321">
        <v>0</v>
      </c>
      <c r="FD81" s="322">
        <v>0</v>
      </c>
      <c r="FE81" s="319">
        <v>0</v>
      </c>
      <c r="FF81" s="320"/>
      <c r="FG81" s="319">
        <v>0</v>
      </c>
      <c r="FH81" s="320"/>
      <c r="FI81" s="321">
        <v>0</v>
      </c>
      <c r="FJ81" s="322">
        <v>0</v>
      </c>
      <c r="FK81" s="319">
        <v>0</v>
      </c>
      <c r="FL81" s="320"/>
      <c r="FM81" s="319">
        <v>0</v>
      </c>
      <c r="FN81" s="320"/>
      <c r="FO81" s="321">
        <v>0</v>
      </c>
      <c r="FP81" s="322">
        <v>0</v>
      </c>
      <c r="FQ81" s="319">
        <v>0</v>
      </c>
      <c r="FR81" s="320"/>
      <c r="FS81" s="319">
        <v>0</v>
      </c>
      <c r="FT81" s="320"/>
      <c r="FU81" s="321">
        <v>0</v>
      </c>
      <c r="FV81" s="322">
        <v>0</v>
      </c>
      <c r="FW81" s="319">
        <v>0</v>
      </c>
      <c r="FX81" s="320"/>
      <c r="FY81" s="319">
        <v>0</v>
      </c>
      <c r="FZ81" s="320"/>
      <c r="GA81" s="321">
        <v>0</v>
      </c>
      <c r="GB81" s="322">
        <v>0</v>
      </c>
      <c r="GC81" s="319">
        <v>0</v>
      </c>
      <c r="GD81" s="320"/>
      <c r="GE81" s="319">
        <v>0</v>
      </c>
      <c r="GF81" s="320"/>
      <c r="GG81" s="321">
        <v>0</v>
      </c>
      <c r="GH81" s="322">
        <v>0</v>
      </c>
      <c r="GI81" s="319">
        <v>0</v>
      </c>
      <c r="GJ81" s="320"/>
      <c r="GK81" s="319">
        <v>0</v>
      </c>
      <c r="GL81" s="320"/>
      <c r="GM81" s="321">
        <v>0</v>
      </c>
      <c r="GN81" s="322">
        <v>0</v>
      </c>
      <c r="GO81" s="319">
        <v>0</v>
      </c>
      <c r="GP81" s="320"/>
      <c r="GQ81" s="319">
        <v>0</v>
      </c>
      <c r="GR81" s="320"/>
      <c r="GS81" s="321">
        <v>0</v>
      </c>
      <c r="GT81" s="322">
        <v>0</v>
      </c>
      <c r="GU81" s="319">
        <v>0</v>
      </c>
      <c r="GV81" s="320"/>
      <c r="GW81" s="319">
        <v>0</v>
      </c>
      <c r="GX81" s="320"/>
      <c r="GY81" s="321">
        <v>0</v>
      </c>
      <c r="GZ81" s="322">
        <v>0</v>
      </c>
    </row>
    <row r="82" spans="1:208" s="89" customFormat="1" ht="22.5" customHeight="1" x14ac:dyDescent="0.2">
      <c r="A82" s="287" t="s">
        <v>3237</v>
      </c>
      <c r="B82" s="288" t="s">
        <v>3238</v>
      </c>
      <c r="C82" s="289" t="s">
        <v>3170</v>
      </c>
      <c r="D82" s="290" t="s">
        <v>3239</v>
      </c>
      <c r="E82" s="290" t="s">
        <v>3240</v>
      </c>
      <c r="F82" s="291" t="s">
        <v>3166</v>
      </c>
      <c r="G82" s="291" t="s">
        <v>3167</v>
      </c>
      <c r="H82" s="292" t="s">
        <v>1491</v>
      </c>
      <c r="I82" s="293" t="s">
        <v>1491</v>
      </c>
      <c r="J82" s="340" t="s">
        <v>3168</v>
      </c>
      <c r="K82" s="340" t="s">
        <v>3171</v>
      </c>
      <c r="L82" s="256">
        <f>CONTINUA!BV82</f>
        <v>0</v>
      </c>
      <c r="M82" s="256">
        <f>CONTINUA!BW82</f>
        <v>0</v>
      </c>
      <c r="N82" s="564"/>
      <c r="O82" s="565" t="s">
        <v>3347</v>
      </c>
      <c r="P82" s="566">
        <v>0</v>
      </c>
      <c r="Q82" s="319">
        <v>38</v>
      </c>
      <c r="R82" s="320"/>
      <c r="S82" s="319">
        <v>8</v>
      </c>
      <c r="T82" s="320"/>
      <c r="U82" s="319">
        <v>0</v>
      </c>
      <c r="V82" s="320">
        <v>0</v>
      </c>
      <c r="W82" s="319">
        <v>38</v>
      </c>
      <c r="X82" s="320"/>
      <c r="Y82" s="319">
        <v>8</v>
      </c>
      <c r="Z82" s="320"/>
      <c r="AA82" s="319">
        <v>0</v>
      </c>
      <c r="AB82" s="320">
        <v>0</v>
      </c>
      <c r="AC82" s="319">
        <v>38</v>
      </c>
      <c r="AD82" s="320"/>
      <c r="AE82" s="319">
        <v>8</v>
      </c>
      <c r="AF82" s="320"/>
      <c r="AG82" s="319">
        <v>0</v>
      </c>
      <c r="AH82" s="320">
        <v>0</v>
      </c>
      <c r="AI82" s="319">
        <v>38</v>
      </c>
      <c r="AJ82" s="320"/>
      <c r="AK82" s="319">
        <v>8</v>
      </c>
      <c r="AL82" s="320"/>
      <c r="AM82" s="319">
        <v>0</v>
      </c>
      <c r="AN82" s="320">
        <v>0</v>
      </c>
      <c r="AO82" s="319">
        <v>38</v>
      </c>
      <c r="AP82" s="320"/>
      <c r="AQ82" s="319">
        <v>8</v>
      </c>
      <c r="AR82" s="320"/>
      <c r="AS82" s="319">
        <v>0</v>
      </c>
      <c r="AT82" s="320">
        <v>0</v>
      </c>
      <c r="AU82" s="319">
        <v>38</v>
      </c>
      <c r="AV82" s="320"/>
      <c r="AW82" s="319">
        <v>8</v>
      </c>
      <c r="AX82" s="320"/>
      <c r="AY82" s="319">
        <v>0</v>
      </c>
      <c r="AZ82" s="320">
        <v>0</v>
      </c>
      <c r="BA82" s="319">
        <v>38</v>
      </c>
      <c r="BB82" s="320"/>
      <c r="BC82" s="319">
        <v>8</v>
      </c>
      <c r="BD82" s="320"/>
      <c r="BE82" s="319">
        <v>0</v>
      </c>
      <c r="BF82" s="320">
        <v>0</v>
      </c>
      <c r="BG82" s="319">
        <v>38</v>
      </c>
      <c r="BH82" s="320"/>
      <c r="BI82" s="319">
        <v>8</v>
      </c>
      <c r="BJ82" s="320"/>
      <c r="BK82" s="319">
        <v>0</v>
      </c>
      <c r="BL82" s="320">
        <v>0</v>
      </c>
      <c r="BM82" s="319">
        <v>38</v>
      </c>
      <c r="BN82" s="320"/>
      <c r="BO82" s="319">
        <v>8</v>
      </c>
      <c r="BP82" s="320"/>
      <c r="BQ82" s="319">
        <v>0</v>
      </c>
      <c r="BR82" s="320">
        <v>0</v>
      </c>
      <c r="BS82" s="319">
        <v>38</v>
      </c>
      <c r="BT82" s="320"/>
      <c r="BU82" s="319">
        <v>8</v>
      </c>
      <c r="BV82" s="320"/>
      <c r="BW82" s="319">
        <v>0</v>
      </c>
      <c r="BX82" s="320">
        <v>0</v>
      </c>
      <c r="BY82" s="319">
        <v>38</v>
      </c>
      <c r="BZ82" s="320"/>
      <c r="CA82" s="319">
        <v>8</v>
      </c>
      <c r="CB82" s="320"/>
      <c r="CC82" s="319">
        <v>0</v>
      </c>
      <c r="CD82" s="320">
        <v>0</v>
      </c>
      <c r="CE82" s="319">
        <v>38</v>
      </c>
      <c r="CF82" s="320"/>
      <c r="CG82" s="319">
        <v>8</v>
      </c>
      <c r="CH82" s="320"/>
      <c r="CI82" s="319">
        <v>0</v>
      </c>
      <c r="CJ82" s="320">
        <v>0</v>
      </c>
      <c r="CK82" s="319">
        <v>38</v>
      </c>
      <c r="CL82" s="320"/>
      <c r="CM82" s="319">
        <v>8</v>
      </c>
      <c r="CN82" s="320"/>
      <c r="CO82" s="319">
        <v>0</v>
      </c>
      <c r="CP82" s="320">
        <v>0</v>
      </c>
      <c r="CQ82" s="319">
        <v>38</v>
      </c>
      <c r="CR82" s="320"/>
      <c r="CS82" s="319">
        <v>8</v>
      </c>
      <c r="CT82" s="320"/>
      <c r="CU82" s="319">
        <v>0</v>
      </c>
      <c r="CV82" s="320">
        <v>0</v>
      </c>
      <c r="CW82" s="319">
        <v>38</v>
      </c>
      <c r="CX82" s="320"/>
      <c r="CY82" s="319">
        <v>8</v>
      </c>
      <c r="CZ82" s="320"/>
      <c r="DA82" s="319">
        <v>0</v>
      </c>
      <c r="DB82" s="320">
        <v>0</v>
      </c>
      <c r="DC82" s="319">
        <v>38</v>
      </c>
      <c r="DD82" s="320"/>
      <c r="DE82" s="319">
        <v>8</v>
      </c>
      <c r="DF82" s="320"/>
      <c r="DG82" s="319">
        <v>0</v>
      </c>
      <c r="DH82" s="320">
        <v>0</v>
      </c>
      <c r="DI82" s="319">
        <v>38</v>
      </c>
      <c r="DJ82" s="320"/>
      <c r="DK82" s="319">
        <v>8</v>
      </c>
      <c r="DL82" s="320"/>
      <c r="DM82" s="319">
        <v>0</v>
      </c>
      <c r="DN82" s="320">
        <v>0</v>
      </c>
      <c r="DO82" s="319">
        <v>38</v>
      </c>
      <c r="DP82" s="320"/>
      <c r="DQ82" s="319">
        <v>8</v>
      </c>
      <c r="DR82" s="320"/>
      <c r="DS82" s="319">
        <v>0</v>
      </c>
      <c r="DT82" s="320">
        <v>0</v>
      </c>
      <c r="DU82" s="319">
        <v>38</v>
      </c>
      <c r="DV82" s="320"/>
      <c r="DW82" s="319">
        <v>8</v>
      </c>
      <c r="DX82" s="320"/>
      <c r="DY82" s="319">
        <v>0</v>
      </c>
      <c r="DZ82" s="320">
        <v>0</v>
      </c>
      <c r="EA82" s="319">
        <v>38</v>
      </c>
      <c r="EB82" s="320"/>
      <c r="EC82" s="319">
        <v>8</v>
      </c>
      <c r="ED82" s="320"/>
      <c r="EE82" s="319">
        <v>0</v>
      </c>
      <c r="EF82" s="320">
        <v>0</v>
      </c>
      <c r="EG82" s="319">
        <v>38</v>
      </c>
      <c r="EH82" s="320"/>
      <c r="EI82" s="319">
        <v>8</v>
      </c>
      <c r="EJ82" s="320"/>
      <c r="EK82" s="319">
        <v>0</v>
      </c>
      <c r="EL82" s="320">
        <v>0</v>
      </c>
      <c r="EM82" s="319">
        <v>38</v>
      </c>
      <c r="EN82" s="320"/>
      <c r="EO82" s="319">
        <v>8</v>
      </c>
      <c r="EP82" s="320"/>
      <c r="EQ82" s="319">
        <v>0</v>
      </c>
      <c r="ER82" s="320">
        <v>0</v>
      </c>
      <c r="ES82" s="319">
        <v>38</v>
      </c>
      <c r="ET82" s="320"/>
      <c r="EU82" s="319">
        <v>8</v>
      </c>
      <c r="EV82" s="320"/>
      <c r="EW82" s="319">
        <v>0</v>
      </c>
      <c r="EX82" s="320">
        <v>0</v>
      </c>
      <c r="EY82" s="319">
        <v>38</v>
      </c>
      <c r="EZ82" s="320"/>
      <c r="FA82" s="319">
        <v>8</v>
      </c>
      <c r="FB82" s="320"/>
      <c r="FC82" s="319">
        <v>0</v>
      </c>
      <c r="FD82" s="320">
        <v>0</v>
      </c>
      <c r="FE82" s="319">
        <v>38</v>
      </c>
      <c r="FF82" s="320"/>
      <c r="FG82" s="319">
        <v>8</v>
      </c>
      <c r="FH82" s="320"/>
      <c r="FI82" s="319">
        <v>0</v>
      </c>
      <c r="FJ82" s="320">
        <v>0</v>
      </c>
      <c r="FK82" s="319">
        <v>38</v>
      </c>
      <c r="FL82" s="320"/>
      <c r="FM82" s="319">
        <v>8</v>
      </c>
      <c r="FN82" s="320"/>
      <c r="FO82" s="319">
        <v>0</v>
      </c>
      <c r="FP82" s="320">
        <v>0</v>
      </c>
      <c r="FQ82" s="319">
        <v>38</v>
      </c>
      <c r="FR82" s="320"/>
      <c r="FS82" s="319">
        <v>8</v>
      </c>
      <c r="FT82" s="320"/>
      <c r="FU82" s="319">
        <v>0</v>
      </c>
      <c r="FV82" s="320">
        <v>0</v>
      </c>
      <c r="FW82" s="319">
        <v>38</v>
      </c>
      <c r="FX82" s="320"/>
      <c r="FY82" s="319">
        <v>8</v>
      </c>
      <c r="FZ82" s="320"/>
      <c r="GA82" s="319">
        <v>0</v>
      </c>
      <c r="GB82" s="320">
        <v>0</v>
      </c>
      <c r="GC82" s="319">
        <v>38</v>
      </c>
      <c r="GD82" s="320"/>
      <c r="GE82" s="319">
        <v>8</v>
      </c>
      <c r="GF82" s="320"/>
      <c r="GG82" s="319">
        <v>0</v>
      </c>
      <c r="GH82" s="320">
        <v>0</v>
      </c>
      <c r="GI82" s="319">
        <v>38</v>
      </c>
      <c r="GJ82" s="320"/>
      <c r="GK82" s="319">
        <v>8</v>
      </c>
      <c r="GL82" s="320"/>
      <c r="GM82" s="319">
        <v>0</v>
      </c>
      <c r="GN82" s="320">
        <v>0</v>
      </c>
      <c r="GO82" s="319">
        <v>38</v>
      </c>
      <c r="GP82" s="320"/>
      <c r="GQ82" s="319">
        <v>8</v>
      </c>
      <c r="GR82" s="320"/>
      <c r="GS82" s="319">
        <v>0</v>
      </c>
      <c r="GT82" s="320">
        <v>0</v>
      </c>
      <c r="GU82" s="319">
        <v>38</v>
      </c>
      <c r="GV82" s="320"/>
      <c r="GW82" s="319">
        <v>8</v>
      </c>
      <c r="GX82" s="320"/>
      <c r="GY82" s="319">
        <v>0</v>
      </c>
      <c r="GZ82" s="320">
        <v>0</v>
      </c>
    </row>
    <row r="83" spans="1:208" s="89" customFormat="1" ht="22.5" customHeight="1" x14ac:dyDescent="0.2">
      <c r="A83" s="287" t="s">
        <v>3237</v>
      </c>
      <c r="B83" s="288" t="s">
        <v>3238</v>
      </c>
      <c r="C83" s="294" t="s">
        <v>3170</v>
      </c>
      <c r="D83" s="290" t="s">
        <v>3239</v>
      </c>
      <c r="E83" s="290" t="s">
        <v>3240</v>
      </c>
      <c r="F83" s="295" t="s">
        <v>3166</v>
      </c>
      <c r="G83" s="295" t="s">
        <v>3167</v>
      </c>
      <c r="H83" s="292" t="s">
        <v>1491</v>
      </c>
      <c r="I83" s="293" t="s">
        <v>1491</v>
      </c>
      <c r="J83" s="340" t="s">
        <v>3168</v>
      </c>
      <c r="K83" s="341" t="s">
        <v>3172</v>
      </c>
      <c r="L83" s="256">
        <f>CONTINUA!BV83</f>
        <v>0</v>
      </c>
      <c r="M83" s="256">
        <f>CONTINUA!BW83</f>
        <v>0</v>
      </c>
      <c r="N83" s="564"/>
      <c r="O83" s="565" t="s">
        <v>3347</v>
      </c>
      <c r="P83" s="566">
        <v>0</v>
      </c>
      <c r="Q83" s="319">
        <v>0</v>
      </c>
      <c r="R83" s="320"/>
      <c r="S83" s="319">
        <v>0</v>
      </c>
      <c r="T83" s="320"/>
      <c r="U83" s="319">
        <v>0</v>
      </c>
      <c r="V83" s="320">
        <v>0</v>
      </c>
      <c r="W83" s="319">
        <v>0</v>
      </c>
      <c r="X83" s="320"/>
      <c r="Y83" s="319">
        <v>0</v>
      </c>
      <c r="Z83" s="320"/>
      <c r="AA83" s="319">
        <v>0</v>
      </c>
      <c r="AB83" s="320">
        <v>0</v>
      </c>
      <c r="AC83" s="319">
        <v>0</v>
      </c>
      <c r="AD83" s="320"/>
      <c r="AE83" s="319">
        <v>0</v>
      </c>
      <c r="AF83" s="320"/>
      <c r="AG83" s="319">
        <v>0</v>
      </c>
      <c r="AH83" s="320">
        <v>0</v>
      </c>
      <c r="AI83" s="319">
        <v>0</v>
      </c>
      <c r="AJ83" s="320"/>
      <c r="AK83" s="319">
        <v>0</v>
      </c>
      <c r="AL83" s="320"/>
      <c r="AM83" s="319">
        <v>0</v>
      </c>
      <c r="AN83" s="320">
        <v>0</v>
      </c>
      <c r="AO83" s="319">
        <v>0</v>
      </c>
      <c r="AP83" s="320"/>
      <c r="AQ83" s="319">
        <v>0</v>
      </c>
      <c r="AR83" s="320"/>
      <c r="AS83" s="319">
        <v>0</v>
      </c>
      <c r="AT83" s="320">
        <v>0</v>
      </c>
      <c r="AU83" s="319">
        <v>0</v>
      </c>
      <c r="AV83" s="320"/>
      <c r="AW83" s="319">
        <v>0</v>
      </c>
      <c r="AX83" s="320"/>
      <c r="AY83" s="319">
        <v>0</v>
      </c>
      <c r="AZ83" s="320">
        <v>0</v>
      </c>
      <c r="BA83" s="319">
        <v>0</v>
      </c>
      <c r="BB83" s="320"/>
      <c r="BC83" s="319">
        <v>0</v>
      </c>
      <c r="BD83" s="320"/>
      <c r="BE83" s="319">
        <v>0</v>
      </c>
      <c r="BF83" s="320">
        <v>0</v>
      </c>
      <c r="BG83" s="319">
        <v>0</v>
      </c>
      <c r="BH83" s="320"/>
      <c r="BI83" s="319">
        <v>0</v>
      </c>
      <c r="BJ83" s="320"/>
      <c r="BK83" s="319">
        <v>0</v>
      </c>
      <c r="BL83" s="320">
        <v>0</v>
      </c>
      <c r="BM83" s="319">
        <v>0</v>
      </c>
      <c r="BN83" s="320"/>
      <c r="BO83" s="319">
        <v>0</v>
      </c>
      <c r="BP83" s="320"/>
      <c r="BQ83" s="319">
        <v>0</v>
      </c>
      <c r="BR83" s="320">
        <v>0</v>
      </c>
      <c r="BS83" s="319">
        <v>0</v>
      </c>
      <c r="BT83" s="320"/>
      <c r="BU83" s="319">
        <v>0</v>
      </c>
      <c r="BV83" s="320"/>
      <c r="BW83" s="319">
        <v>0</v>
      </c>
      <c r="BX83" s="320">
        <v>0</v>
      </c>
      <c r="BY83" s="319">
        <v>0</v>
      </c>
      <c r="BZ83" s="320"/>
      <c r="CA83" s="319">
        <v>0</v>
      </c>
      <c r="CB83" s="320"/>
      <c r="CC83" s="319">
        <v>0</v>
      </c>
      <c r="CD83" s="320">
        <v>0</v>
      </c>
      <c r="CE83" s="319">
        <v>0</v>
      </c>
      <c r="CF83" s="320"/>
      <c r="CG83" s="319">
        <v>0</v>
      </c>
      <c r="CH83" s="320"/>
      <c r="CI83" s="319">
        <v>0</v>
      </c>
      <c r="CJ83" s="320">
        <v>0</v>
      </c>
      <c r="CK83" s="319">
        <v>0</v>
      </c>
      <c r="CL83" s="320"/>
      <c r="CM83" s="319">
        <v>0</v>
      </c>
      <c r="CN83" s="320"/>
      <c r="CO83" s="319">
        <v>0</v>
      </c>
      <c r="CP83" s="320">
        <v>0</v>
      </c>
      <c r="CQ83" s="319">
        <v>0</v>
      </c>
      <c r="CR83" s="320"/>
      <c r="CS83" s="319">
        <v>0</v>
      </c>
      <c r="CT83" s="320"/>
      <c r="CU83" s="319">
        <v>0</v>
      </c>
      <c r="CV83" s="320">
        <v>0</v>
      </c>
      <c r="CW83" s="319">
        <v>0</v>
      </c>
      <c r="CX83" s="320"/>
      <c r="CY83" s="319">
        <v>0</v>
      </c>
      <c r="CZ83" s="320"/>
      <c r="DA83" s="319">
        <v>0</v>
      </c>
      <c r="DB83" s="320">
        <v>0</v>
      </c>
      <c r="DC83" s="319">
        <v>0</v>
      </c>
      <c r="DD83" s="320"/>
      <c r="DE83" s="319">
        <v>0</v>
      </c>
      <c r="DF83" s="320"/>
      <c r="DG83" s="319">
        <v>0</v>
      </c>
      <c r="DH83" s="320">
        <v>0</v>
      </c>
      <c r="DI83" s="319">
        <v>0</v>
      </c>
      <c r="DJ83" s="320"/>
      <c r="DK83" s="319">
        <v>0</v>
      </c>
      <c r="DL83" s="320"/>
      <c r="DM83" s="319">
        <v>0</v>
      </c>
      <c r="DN83" s="320">
        <v>0</v>
      </c>
      <c r="DO83" s="319">
        <v>0</v>
      </c>
      <c r="DP83" s="320"/>
      <c r="DQ83" s="319">
        <v>0</v>
      </c>
      <c r="DR83" s="320"/>
      <c r="DS83" s="319">
        <v>0</v>
      </c>
      <c r="DT83" s="320">
        <v>0</v>
      </c>
      <c r="DU83" s="319">
        <v>0</v>
      </c>
      <c r="DV83" s="320"/>
      <c r="DW83" s="319">
        <v>0</v>
      </c>
      <c r="DX83" s="320"/>
      <c r="DY83" s="319">
        <v>0</v>
      </c>
      <c r="DZ83" s="320">
        <v>0</v>
      </c>
      <c r="EA83" s="319">
        <v>0</v>
      </c>
      <c r="EB83" s="320"/>
      <c r="EC83" s="319">
        <v>0</v>
      </c>
      <c r="ED83" s="320"/>
      <c r="EE83" s="319">
        <v>0</v>
      </c>
      <c r="EF83" s="320">
        <v>0</v>
      </c>
      <c r="EG83" s="319">
        <v>0</v>
      </c>
      <c r="EH83" s="320"/>
      <c r="EI83" s="319">
        <v>0</v>
      </c>
      <c r="EJ83" s="320"/>
      <c r="EK83" s="319">
        <v>0</v>
      </c>
      <c r="EL83" s="320">
        <v>0</v>
      </c>
      <c r="EM83" s="319">
        <v>0</v>
      </c>
      <c r="EN83" s="320"/>
      <c r="EO83" s="319">
        <v>0</v>
      </c>
      <c r="EP83" s="320"/>
      <c r="EQ83" s="319">
        <v>0</v>
      </c>
      <c r="ER83" s="320">
        <v>0</v>
      </c>
      <c r="ES83" s="319">
        <v>0</v>
      </c>
      <c r="ET83" s="320"/>
      <c r="EU83" s="319">
        <v>0</v>
      </c>
      <c r="EV83" s="320"/>
      <c r="EW83" s="319">
        <v>0</v>
      </c>
      <c r="EX83" s="320">
        <v>0</v>
      </c>
      <c r="EY83" s="319">
        <v>0</v>
      </c>
      <c r="EZ83" s="320"/>
      <c r="FA83" s="319">
        <v>0</v>
      </c>
      <c r="FB83" s="320"/>
      <c r="FC83" s="319">
        <v>0</v>
      </c>
      <c r="FD83" s="320">
        <v>0</v>
      </c>
      <c r="FE83" s="319">
        <v>0</v>
      </c>
      <c r="FF83" s="320"/>
      <c r="FG83" s="319">
        <v>0</v>
      </c>
      <c r="FH83" s="320"/>
      <c r="FI83" s="319">
        <v>0</v>
      </c>
      <c r="FJ83" s="320">
        <v>0</v>
      </c>
      <c r="FK83" s="319">
        <v>0</v>
      </c>
      <c r="FL83" s="320"/>
      <c r="FM83" s="319">
        <v>0</v>
      </c>
      <c r="FN83" s="320"/>
      <c r="FO83" s="319">
        <v>0</v>
      </c>
      <c r="FP83" s="320">
        <v>0</v>
      </c>
      <c r="FQ83" s="319">
        <v>0</v>
      </c>
      <c r="FR83" s="320"/>
      <c r="FS83" s="319">
        <v>0</v>
      </c>
      <c r="FT83" s="320"/>
      <c r="FU83" s="319">
        <v>0</v>
      </c>
      <c r="FV83" s="320">
        <v>0</v>
      </c>
      <c r="FW83" s="319">
        <v>0</v>
      </c>
      <c r="FX83" s="320"/>
      <c r="FY83" s="319">
        <v>0</v>
      </c>
      <c r="FZ83" s="320"/>
      <c r="GA83" s="319">
        <v>0</v>
      </c>
      <c r="GB83" s="320">
        <v>0</v>
      </c>
      <c r="GC83" s="319">
        <v>0</v>
      </c>
      <c r="GD83" s="320"/>
      <c r="GE83" s="319">
        <v>0</v>
      </c>
      <c r="GF83" s="320"/>
      <c r="GG83" s="319">
        <v>0</v>
      </c>
      <c r="GH83" s="320">
        <v>0</v>
      </c>
      <c r="GI83" s="319">
        <v>0</v>
      </c>
      <c r="GJ83" s="320"/>
      <c r="GK83" s="319">
        <v>0</v>
      </c>
      <c r="GL83" s="320"/>
      <c r="GM83" s="319">
        <v>0</v>
      </c>
      <c r="GN83" s="320">
        <v>0</v>
      </c>
      <c r="GO83" s="319">
        <v>0</v>
      </c>
      <c r="GP83" s="320"/>
      <c r="GQ83" s="319">
        <v>0</v>
      </c>
      <c r="GR83" s="320"/>
      <c r="GS83" s="319">
        <v>0</v>
      </c>
      <c r="GT83" s="320">
        <v>0</v>
      </c>
      <c r="GU83" s="319">
        <v>0</v>
      </c>
      <c r="GV83" s="320"/>
      <c r="GW83" s="319">
        <v>0</v>
      </c>
      <c r="GX83" s="320"/>
      <c r="GY83" s="319">
        <v>0</v>
      </c>
      <c r="GZ83" s="320">
        <v>0</v>
      </c>
    </row>
    <row r="84" spans="1:208" s="89" customFormat="1" ht="22.5" customHeight="1" x14ac:dyDescent="0.2">
      <c r="A84" s="287" t="s">
        <v>3237</v>
      </c>
      <c r="B84" s="288" t="s">
        <v>3238</v>
      </c>
      <c r="C84" s="294" t="s">
        <v>3170</v>
      </c>
      <c r="D84" s="290" t="s">
        <v>3239</v>
      </c>
      <c r="E84" s="290" t="s">
        <v>3240</v>
      </c>
      <c r="F84" s="295" t="s">
        <v>3166</v>
      </c>
      <c r="G84" s="295" t="s">
        <v>3167</v>
      </c>
      <c r="H84" s="292" t="s">
        <v>1491</v>
      </c>
      <c r="I84" s="293" t="s">
        <v>1491</v>
      </c>
      <c r="J84" s="340" t="s">
        <v>3168</v>
      </c>
      <c r="K84" s="342" t="s">
        <v>3173</v>
      </c>
      <c r="L84" s="256">
        <f>CONTINUA!BV84</f>
        <v>0</v>
      </c>
      <c r="M84" s="256">
        <f>CONTINUA!BW84</f>
        <v>0</v>
      </c>
      <c r="N84" s="564"/>
      <c r="O84" s="565" t="s">
        <v>3347</v>
      </c>
      <c r="P84" s="566">
        <v>0</v>
      </c>
      <c r="Q84" s="319">
        <v>0</v>
      </c>
      <c r="R84" s="320"/>
      <c r="S84" s="319">
        <v>0</v>
      </c>
      <c r="T84" s="320"/>
      <c r="U84" s="319">
        <v>0</v>
      </c>
      <c r="V84" s="320">
        <v>0</v>
      </c>
      <c r="W84" s="319">
        <v>0</v>
      </c>
      <c r="X84" s="320"/>
      <c r="Y84" s="319">
        <v>0</v>
      </c>
      <c r="Z84" s="320"/>
      <c r="AA84" s="319">
        <v>0</v>
      </c>
      <c r="AB84" s="320">
        <v>0</v>
      </c>
      <c r="AC84" s="319">
        <v>0</v>
      </c>
      <c r="AD84" s="320"/>
      <c r="AE84" s="319">
        <v>0</v>
      </c>
      <c r="AF84" s="320"/>
      <c r="AG84" s="319">
        <v>0</v>
      </c>
      <c r="AH84" s="320">
        <v>0</v>
      </c>
      <c r="AI84" s="319">
        <v>0</v>
      </c>
      <c r="AJ84" s="320"/>
      <c r="AK84" s="319">
        <v>0</v>
      </c>
      <c r="AL84" s="320"/>
      <c r="AM84" s="319">
        <v>0</v>
      </c>
      <c r="AN84" s="320">
        <v>0</v>
      </c>
      <c r="AO84" s="319">
        <v>0</v>
      </c>
      <c r="AP84" s="320"/>
      <c r="AQ84" s="319">
        <v>0</v>
      </c>
      <c r="AR84" s="320"/>
      <c r="AS84" s="319">
        <v>0</v>
      </c>
      <c r="AT84" s="320">
        <v>0</v>
      </c>
      <c r="AU84" s="319">
        <v>0</v>
      </c>
      <c r="AV84" s="320"/>
      <c r="AW84" s="319">
        <v>0</v>
      </c>
      <c r="AX84" s="320"/>
      <c r="AY84" s="319">
        <v>0</v>
      </c>
      <c r="AZ84" s="320">
        <v>0</v>
      </c>
      <c r="BA84" s="319">
        <v>0</v>
      </c>
      <c r="BB84" s="320"/>
      <c r="BC84" s="319">
        <v>0</v>
      </c>
      <c r="BD84" s="320"/>
      <c r="BE84" s="319">
        <v>0</v>
      </c>
      <c r="BF84" s="320">
        <v>0</v>
      </c>
      <c r="BG84" s="319">
        <v>0</v>
      </c>
      <c r="BH84" s="320"/>
      <c r="BI84" s="319">
        <v>0</v>
      </c>
      <c r="BJ84" s="320"/>
      <c r="BK84" s="319">
        <v>0</v>
      </c>
      <c r="BL84" s="320">
        <v>0</v>
      </c>
      <c r="BM84" s="319">
        <v>0</v>
      </c>
      <c r="BN84" s="320"/>
      <c r="BO84" s="319">
        <v>0</v>
      </c>
      <c r="BP84" s="320"/>
      <c r="BQ84" s="319">
        <v>0</v>
      </c>
      <c r="BR84" s="320">
        <v>0</v>
      </c>
      <c r="BS84" s="319">
        <v>0</v>
      </c>
      <c r="BT84" s="320"/>
      <c r="BU84" s="319">
        <v>0</v>
      </c>
      <c r="BV84" s="320"/>
      <c r="BW84" s="319">
        <v>0</v>
      </c>
      <c r="BX84" s="320">
        <v>0</v>
      </c>
      <c r="BY84" s="319">
        <v>0</v>
      </c>
      <c r="BZ84" s="320"/>
      <c r="CA84" s="319">
        <v>0</v>
      </c>
      <c r="CB84" s="320"/>
      <c r="CC84" s="319">
        <v>0</v>
      </c>
      <c r="CD84" s="320">
        <v>0</v>
      </c>
      <c r="CE84" s="319">
        <v>0</v>
      </c>
      <c r="CF84" s="320"/>
      <c r="CG84" s="319">
        <v>0</v>
      </c>
      <c r="CH84" s="320"/>
      <c r="CI84" s="319">
        <v>0</v>
      </c>
      <c r="CJ84" s="320">
        <v>0</v>
      </c>
      <c r="CK84" s="319">
        <v>0</v>
      </c>
      <c r="CL84" s="320"/>
      <c r="CM84" s="319">
        <v>0</v>
      </c>
      <c r="CN84" s="320"/>
      <c r="CO84" s="319">
        <v>0</v>
      </c>
      <c r="CP84" s="320">
        <v>0</v>
      </c>
      <c r="CQ84" s="319">
        <v>0</v>
      </c>
      <c r="CR84" s="320"/>
      <c r="CS84" s="319">
        <v>0</v>
      </c>
      <c r="CT84" s="320"/>
      <c r="CU84" s="319">
        <v>0</v>
      </c>
      <c r="CV84" s="320">
        <v>0</v>
      </c>
      <c r="CW84" s="319">
        <v>0</v>
      </c>
      <c r="CX84" s="320"/>
      <c r="CY84" s="319">
        <v>0</v>
      </c>
      <c r="CZ84" s="320"/>
      <c r="DA84" s="319">
        <v>0</v>
      </c>
      <c r="DB84" s="320">
        <v>0</v>
      </c>
      <c r="DC84" s="319">
        <v>0</v>
      </c>
      <c r="DD84" s="320"/>
      <c r="DE84" s="319">
        <v>0</v>
      </c>
      <c r="DF84" s="320"/>
      <c r="DG84" s="319">
        <v>0</v>
      </c>
      <c r="DH84" s="320">
        <v>0</v>
      </c>
      <c r="DI84" s="319">
        <v>0</v>
      </c>
      <c r="DJ84" s="320"/>
      <c r="DK84" s="319">
        <v>0</v>
      </c>
      <c r="DL84" s="320"/>
      <c r="DM84" s="319">
        <v>0</v>
      </c>
      <c r="DN84" s="320">
        <v>0</v>
      </c>
      <c r="DO84" s="319">
        <v>0</v>
      </c>
      <c r="DP84" s="320"/>
      <c r="DQ84" s="319">
        <v>0</v>
      </c>
      <c r="DR84" s="320"/>
      <c r="DS84" s="319">
        <v>0</v>
      </c>
      <c r="DT84" s="320">
        <v>0</v>
      </c>
      <c r="DU84" s="319">
        <v>0</v>
      </c>
      <c r="DV84" s="320"/>
      <c r="DW84" s="319">
        <v>0</v>
      </c>
      <c r="DX84" s="320"/>
      <c r="DY84" s="319">
        <v>0</v>
      </c>
      <c r="DZ84" s="320">
        <v>0</v>
      </c>
      <c r="EA84" s="319">
        <v>0</v>
      </c>
      <c r="EB84" s="320"/>
      <c r="EC84" s="319">
        <v>0</v>
      </c>
      <c r="ED84" s="320"/>
      <c r="EE84" s="319">
        <v>0</v>
      </c>
      <c r="EF84" s="320">
        <v>0</v>
      </c>
      <c r="EG84" s="319">
        <v>0</v>
      </c>
      <c r="EH84" s="320"/>
      <c r="EI84" s="319">
        <v>0</v>
      </c>
      <c r="EJ84" s="320"/>
      <c r="EK84" s="319">
        <v>0</v>
      </c>
      <c r="EL84" s="320">
        <v>0</v>
      </c>
      <c r="EM84" s="319">
        <v>0</v>
      </c>
      <c r="EN84" s="320"/>
      <c r="EO84" s="319">
        <v>0</v>
      </c>
      <c r="EP84" s="320"/>
      <c r="EQ84" s="319">
        <v>0</v>
      </c>
      <c r="ER84" s="320">
        <v>0</v>
      </c>
      <c r="ES84" s="319">
        <v>0</v>
      </c>
      <c r="ET84" s="320"/>
      <c r="EU84" s="319">
        <v>0</v>
      </c>
      <c r="EV84" s="320"/>
      <c r="EW84" s="319">
        <v>0</v>
      </c>
      <c r="EX84" s="320">
        <v>0</v>
      </c>
      <c r="EY84" s="319">
        <v>0</v>
      </c>
      <c r="EZ84" s="320"/>
      <c r="FA84" s="319">
        <v>0</v>
      </c>
      <c r="FB84" s="320"/>
      <c r="FC84" s="319">
        <v>0</v>
      </c>
      <c r="FD84" s="320">
        <v>0</v>
      </c>
      <c r="FE84" s="319">
        <v>0</v>
      </c>
      <c r="FF84" s="320"/>
      <c r="FG84" s="319">
        <v>0</v>
      </c>
      <c r="FH84" s="320"/>
      <c r="FI84" s="319">
        <v>0</v>
      </c>
      <c r="FJ84" s="320">
        <v>0</v>
      </c>
      <c r="FK84" s="319">
        <v>0</v>
      </c>
      <c r="FL84" s="320"/>
      <c r="FM84" s="319">
        <v>0</v>
      </c>
      <c r="FN84" s="320"/>
      <c r="FO84" s="319">
        <v>0</v>
      </c>
      <c r="FP84" s="320">
        <v>0</v>
      </c>
      <c r="FQ84" s="319">
        <v>0</v>
      </c>
      <c r="FR84" s="320"/>
      <c r="FS84" s="319">
        <v>0</v>
      </c>
      <c r="FT84" s="320"/>
      <c r="FU84" s="319">
        <v>0</v>
      </c>
      <c r="FV84" s="320">
        <v>0</v>
      </c>
      <c r="FW84" s="319">
        <v>0</v>
      </c>
      <c r="FX84" s="320"/>
      <c r="FY84" s="319">
        <v>0</v>
      </c>
      <c r="FZ84" s="320"/>
      <c r="GA84" s="319">
        <v>0</v>
      </c>
      <c r="GB84" s="320">
        <v>0</v>
      </c>
      <c r="GC84" s="319">
        <v>0</v>
      </c>
      <c r="GD84" s="320"/>
      <c r="GE84" s="319">
        <v>0</v>
      </c>
      <c r="GF84" s="320"/>
      <c r="GG84" s="319">
        <v>0</v>
      </c>
      <c r="GH84" s="320">
        <v>0</v>
      </c>
      <c r="GI84" s="319">
        <v>0</v>
      </c>
      <c r="GJ84" s="320"/>
      <c r="GK84" s="319">
        <v>0</v>
      </c>
      <c r="GL84" s="320"/>
      <c r="GM84" s="319">
        <v>0</v>
      </c>
      <c r="GN84" s="320">
        <v>0</v>
      </c>
      <c r="GO84" s="319">
        <v>0</v>
      </c>
      <c r="GP84" s="320"/>
      <c r="GQ84" s="319">
        <v>0</v>
      </c>
      <c r="GR84" s="320"/>
      <c r="GS84" s="319">
        <v>0</v>
      </c>
      <c r="GT84" s="320">
        <v>0</v>
      </c>
      <c r="GU84" s="319">
        <v>0</v>
      </c>
      <c r="GV84" s="320"/>
      <c r="GW84" s="319">
        <v>0</v>
      </c>
      <c r="GX84" s="320"/>
      <c r="GY84" s="319">
        <v>0</v>
      </c>
      <c r="GZ84" s="320">
        <v>0</v>
      </c>
    </row>
    <row r="85" spans="1:208" s="89" customFormat="1" ht="22.5" customHeight="1" thickBot="1" x14ac:dyDescent="0.25">
      <c r="A85" s="296" t="s">
        <v>3237</v>
      </c>
      <c r="B85" s="297" t="s">
        <v>3238</v>
      </c>
      <c r="C85" s="298" t="s">
        <v>3170</v>
      </c>
      <c r="D85" s="299" t="s">
        <v>3239</v>
      </c>
      <c r="E85" s="299" t="s">
        <v>3240</v>
      </c>
      <c r="F85" s="300" t="s">
        <v>3166</v>
      </c>
      <c r="G85" s="300" t="s">
        <v>3167</v>
      </c>
      <c r="H85" s="301" t="s">
        <v>1491</v>
      </c>
      <c r="I85" s="302" t="s">
        <v>1491</v>
      </c>
      <c r="J85" s="340" t="s">
        <v>3168</v>
      </c>
      <c r="K85" s="343" t="s">
        <v>53</v>
      </c>
      <c r="L85" s="256">
        <f>CONTINUA!BV85</f>
        <v>0</v>
      </c>
      <c r="M85" s="256">
        <f>CONTINUA!BW85</f>
        <v>0</v>
      </c>
      <c r="N85" s="564"/>
      <c r="O85" s="565" t="s">
        <v>3347</v>
      </c>
      <c r="P85" s="566">
        <v>0</v>
      </c>
      <c r="Q85" s="319">
        <v>0</v>
      </c>
      <c r="R85" s="320"/>
      <c r="S85" s="319">
        <v>0</v>
      </c>
      <c r="T85" s="320"/>
      <c r="U85" s="321">
        <v>0</v>
      </c>
      <c r="V85" s="322">
        <v>0</v>
      </c>
      <c r="W85" s="319">
        <v>0</v>
      </c>
      <c r="X85" s="320"/>
      <c r="Y85" s="319">
        <v>0</v>
      </c>
      <c r="Z85" s="320"/>
      <c r="AA85" s="321">
        <v>0</v>
      </c>
      <c r="AB85" s="322">
        <v>0</v>
      </c>
      <c r="AC85" s="319">
        <v>0</v>
      </c>
      <c r="AD85" s="320"/>
      <c r="AE85" s="319">
        <v>0</v>
      </c>
      <c r="AF85" s="320"/>
      <c r="AG85" s="321">
        <v>0</v>
      </c>
      <c r="AH85" s="322">
        <v>0</v>
      </c>
      <c r="AI85" s="319">
        <v>0</v>
      </c>
      <c r="AJ85" s="320"/>
      <c r="AK85" s="319">
        <v>0</v>
      </c>
      <c r="AL85" s="320"/>
      <c r="AM85" s="321">
        <v>0</v>
      </c>
      <c r="AN85" s="322">
        <v>0</v>
      </c>
      <c r="AO85" s="319">
        <v>0</v>
      </c>
      <c r="AP85" s="320"/>
      <c r="AQ85" s="319">
        <v>0</v>
      </c>
      <c r="AR85" s="320"/>
      <c r="AS85" s="321">
        <v>0</v>
      </c>
      <c r="AT85" s="322">
        <v>0</v>
      </c>
      <c r="AU85" s="319">
        <v>0</v>
      </c>
      <c r="AV85" s="320"/>
      <c r="AW85" s="319">
        <v>0</v>
      </c>
      <c r="AX85" s="320"/>
      <c r="AY85" s="321">
        <v>0</v>
      </c>
      <c r="AZ85" s="322">
        <v>0</v>
      </c>
      <c r="BA85" s="319">
        <v>0</v>
      </c>
      <c r="BB85" s="320"/>
      <c r="BC85" s="319">
        <v>0</v>
      </c>
      <c r="BD85" s="320"/>
      <c r="BE85" s="321">
        <v>0</v>
      </c>
      <c r="BF85" s="322">
        <v>0</v>
      </c>
      <c r="BG85" s="319">
        <v>0</v>
      </c>
      <c r="BH85" s="320"/>
      <c r="BI85" s="319">
        <v>0</v>
      </c>
      <c r="BJ85" s="320"/>
      <c r="BK85" s="321">
        <v>0</v>
      </c>
      <c r="BL85" s="322">
        <v>0</v>
      </c>
      <c r="BM85" s="319">
        <v>0</v>
      </c>
      <c r="BN85" s="320"/>
      <c r="BO85" s="319">
        <v>0</v>
      </c>
      <c r="BP85" s="320"/>
      <c r="BQ85" s="321">
        <v>0</v>
      </c>
      <c r="BR85" s="322">
        <v>0</v>
      </c>
      <c r="BS85" s="319">
        <v>0</v>
      </c>
      <c r="BT85" s="320"/>
      <c r="BU85" s="319">
        <v>0</v>
      </c>
      <c r="BV85" s="320"/>
      <c r="BW85" s="321">
        <v>0</v>
      </c>
      <c r="BX85" s="322">
        <v>0</v>
      </c>
      <c r="BY85" s="319">
        <v>0</v>
      </c>
      <c r="BZ85" s="320"/>
      <c r="CA85" s="319">
        <v>0</v>
      </c>
      <c r="CB85" s="320"/>
      <c r="CC85" s="321">
        <v>0</v>
      </c>
      <c r="CD85" s="322">
        <v>0</v>
      </c>
      <c r="CE85" s="319">
        <v>0</v>
      </c>
      <c r="CF85" s="320"/>
      <c r="CG85" s="319">
        <v>0</v>
      </c>
      <c r="CH85" s="320"/>
      <c r="CI85" s="321">
        <v>0</v>
      </c>
      <c r="CJ85" s="322">
        <v>0</v>
      </c>
      <c r="CK85" s="319">
        <v>0</v>
      </c>
      <c r="CL85" s="320"/>
      <c r="CM85" s="319">
        <v>0</v>
      </c>
      <c r="CN85" s="320"/>
      <c r="CO85" s="321">
        <v>0</v>
      </c>
      <c r="CP85" s="322">
        <v>0</v>
      </c>
      <c r="CQ85" s="319">
        <v>0</v>
      </c>
      <c r="CR85" s="320"/>
      <c r="CS85" s="319">
        <v>0</v>
      </c>
      <c r="CT85" s="320"/>
      <c r="CU85" s="321">
        <v>0</v>
      </c>
      <c r="CV85" s="322">
        <v>0</v>
      </c>
      <c r="CW85" s="319">
        <v>0</v>
      </c>
      <c r="CX85" s="320"/>
      <c r="CY85" s="319">
        <v>0</v>
      </c>
      <c r="CZ85" s="320"/>
      <c r="DA85" s="321">
        <v>0</v>
      </c>
      <c r="DB85" s="322">
        <v>0</v>
      </c>
      <c r="DC85" s="319">
        <v>0</v>
      </c>
      <c r="DD85" s="320"/>
      <c r="DE85" s="319">
        <v>0</v>
      </c>
      <c r="DF85" s="320"/>
      <c r="DG85" s="321">
        <v>0</v>
      </c>
      <c r="DH85" s="322">
        <v>0</v>
      </c>
      <c r="DI85" s="319">
        <v>0</v>
      </c>
      <c r="DJ85" s="320"/>
      <c r="DK85" s="319">
        <v>0</v>
      </c>
      <c r="DL85" s="320"/>
      <c r="DM85" s="321">
        <v>0</v>
      </c>
      <c r="DN85" s="322">
        <v>0</v>
      </c>
      <c r="DO85" s="319">
        <v>0</v>
      </c>
      <c r="DP85" s="320"/>
      <c r="DQ85" s="319">
        <v>0</v>
      </c>
      <c r="DR85" s="320"/>
      <c r="DS85" s="321">
        <v>0</v>
      </c>
      <c r="DT85" s="322">
        <v>0</v>
      </c>
      <c r="DU85" s="319">
        <v>0</v>
      </c>
      <c r="DV85" s="320"/>
      <c r="DW85" s="319">
        <v>0</v>
      </c>
      <c r="DX85" s="320"/>
      <c r="DY85" s="321">
        <v>0</v>
      </c>
      <c r="DZ85" s="322">
        <v>0</v>
      </c>
      <c r="EA85" s="319">
        <v>0</v>
      </c>
      <c r="EB85" s="320"/>
      <c r="EC85" s="319">
        <v>0</v>
      </c>
      <c r="ED85" s="320"/>
      <c r="EE85" s="321">
        <v>0</v>
      </c>
      <c r="EF85" s="322">
        <v>0</v>
      </c>
      <c r="EG85" s="319">
        <v>0</v>
      </c>
      <c r="EH85" s="320"/>
      <c r="EI85" s="319">
        <v>0</v>
      </c>
      <c r="EJ85" s="320"/>
      <c r="EK85" s="321">
        <v>0</v>
      </c>
      <c r="EL85" s="322">
        <v>0</v>
      </c>
      <c r="EM85" s="319">
        <v>0</v>
      </c>
      <c r="EN85" s="320"/>
      <c r="EO85" s="319">
        <v>0</v>
      </c>
      <c r="EP85" s="320"/>
      <c r="EQ85" s="321">
        <v>0</v>
      </c>
      <c r="ER85" s="322">
        <v>0</v>
      </c>
      <c r="ES85" s="319">
        <v>0</v>
      </c>
      <c r="ET85" s="320"/>
      <c r="EU85" s="319">
        <v>0</v>
      </c>
      <c r="EV85" s="320"/>
      <c r="EW85" s="321">
        <v>0</v>
      </c>
      <c r="EX85" s="322">
        <v>0</v>
      </c>
      <c r="EY85" s="319">
        <v>0</v>
      </c>
      <c r="EZ85" s="320"/>
      <c r="FA85" s="319">
        <v>0</v>
      </c>
      <c r="FB85" s="320"/>
      <c r="FC85" s="321">
        <v>0</v>
      </c>
      <c r="FD85" s="322">
        <v>0</v>
      </c>
      <c r="FE85" s="319">
        <v>0</v>
      </c>
      <c r="FF85" s="320"/>
      <c r="FG85" s="319">
        <v>0</v>
      </c>
      <c r="FH85" s="320"/>
      <c r="FI85" s="321">
        <v>0</v>
      </c>
      <c r="FJ85" s="322">
        <v>0</v>
      </c>
      <c r="FK85" s="319">
        <v>0</v>
      </c>
      <c r="FL85" s="320"/>
      <c r="FM85" s="319">
        <v>0</v>
      </c>
      <c r="FN85" s="320"/>
      <c r="FO85" s="321">
        <v>0</v>
      </c>
      <c r="FP85" s="322">
        <v>0</v>
      </c>
      <c r="FQ85" s="319">
        <v>0</v>
      </c>
      <c r="FR85" s="320"/>
      <c r="FS85" s="319">
        <v>0</v>
      </c>
      <c r="FT85" s="320"/>
      <c r="FU85" s="321">
        <v>0</v>
      </c>
      <c r="FV85" s="322">
        <v>0</v>
      </c>
      <c r="FW85" s="319">
        <v>0</v>
      </c>
      <c r="FX85" s="320"/>
      <c r="FY85" s="319">
        <v>0</v>
      </c>
      <c r="FZ85" s="320"/>
      <c r="GA85" s="321">
        <v>0</v>
      </c>
      <c r="GB85" s="322">
        <v>0</v>
      </c>
      <c r="GC85" s="319">
        <v>0</v>
      </c>
      <c r="GD85" s="320"/>
      <c r="GE85" s="319">
        <v>0</v>
      </c>
      <c r="GF85" s="320"/>
      <c r="GG85" s="321">
        <v>0</v>
      </c>
      <c r="GH85" s="322">
        <v>0</v>
      </c>
      <c r="GI85" s="319">
        <v>0</v>
      </c>
      <c r="GJ85" s="320"/>
      <c r="GK85" s="319">
        <v>0</v>
      </c>
      <c r="GL85" s="320"/>
      <c r="GM85" s="321">
        <v>0</v>
      </c>
      <c r="GN85" s="322">
        <v>0</v>
      </c>
      <c r="GO85" s="319">
        <v>0</v>
      </c>
      <c r="GP85" s="320"/>
      <c r="GQ85" s="319">
        <v>0</v>
      </c>
      <c r="GR85" s="320"/>
      <c r="GS85" s="321">
        <v>0</v>
      </c>
      <c r="GT85" s="322">
        <v>0</v>
      </c>
      <c r="GU85" s="319">
        <v>0</v>
      </c>
      <c r="GV85" s="320"/>
      <c r="GW85" s="319">
        <v>0</v>
      </c>
      <c r="GX85" s="320"/>
      <c r="GY85" s="321">
        <v>0</v>
      </c>
      <c r="GZ85" s="322">
        <v>0</v>
      </c>
    </row>
    <row r="86" spans="1:208" s="89" customFormat="1" ht="22.5" customHeight="1" x14ac:dyDescent="0.2">
      <c r="A86" t="s">
        <v>3241</v>
      </c>
      <c r="B86" s="429" t="s">
        <v>3242</v>
      </c>
      <c r="C86" s="430">
        <v>2</v>
      </c>
      <c r="D86" s="431" t="s">
        <v>3243</v>
      </c>
      <c r="E86" s="431" t="s">
        <v>3244</v>
      </c>
      <c r="F86" s="432" t="s">
        <v>3166</v>
      </c>
      <c r="G86" s="432" t="s">
        <v>3167</v>
      </c>
      <c r="H86" s="270" t="s">
        <v>1492</v>
      </c>
      <c r="I86" s="271" t="s">
        <v>1492</v>
      </c>
      <c r="J86" s="328" t="s">
        <v>3174</v>
      </c>
      <c r="K86" s="329" t="s">
        <v>3169</v>
      </c>
      <c r="L86" s="256">
        <f>CONTINUA!BV86</f>
        <v>0</v>
      </c>
      <c r="M86" s="256">
        <f>CONTINUA!BW86</f>
        <v>0</v>
      </c>
      <c r="N86" s="564"/>
      <c r="O86" s="565" t="s">
        <v>3348</v>
      </c>
      <c r="P86" s="566">
        <v>0</v>
      </c>
      <c r="Q86" s="319">
        <v>2</v>
      </c>
      <c r="R86" s="320">
        <v>0</v>
      </c>
      <c r="S86" s="319">
        <v>0</v>
      </c>
      <c r="T86" s="320">
        <v>0</v>
      </c>
      <c r="U86" s="321">
        <v>0</v>
      </c>
      <c r="V86" s="322">
        <v>0</v>
      </c>
      <c r="W86" s="319">
        <v>2</v>
      </c>
      <c r="X86" s="320">
        <v>0</v>
      </c>
      <c r="Y86" s="319">
        <v>0</v>
      </c>
      <c r="Z86" s="320">
        <v>0</v>
      </c>
      <c r="AA86" s="321">
        <v>0</v>
      </c>
      <c r="AB86" s="322">
        <v>0</v>
      </c>
      <c r="AC86" s="319">
        <v>2</v>
      </c>
      <c r="AD86" s="320">
        <v>0</v>
      </c>
      <c r="AE86" s="319">
        <v>0</v>
      </c>
      <c r="AF86" s="320">
        <v>0</v>
      </c>
      <c r="AG86" s="321">
        <v>0</v>
      </c>
      <c r="AH86" s="322">
        <v>0</v>
      </c>
      <c r="AI86" s="319">
        <v>2</v>
      </c>
      <c r="AJ86" s="320">
        <v>0</v>
      </c>
      <c r="AK86" s="319">
        <v>0</v>
      </c>
      <c r="AL86" s="320">
        <v>0</v>
      </c>
      <c r="AM86" s="321">
        <v>0</v>
      </c>
      <c r="AN86" s="322">
        <v>0</v>
      </c>
      <c r="AO86" s="319">
        <v>2</v>
      </c>
      <c r="AP86" s="320">
        <v>0</v>
      </c>
      <c r="AQ86" s="319">
        <v>0</v>
      </c>
      <c r="AR86" s="320">
        <v>0</v>
      </c>
      <c r="AS86" s="321">
        <v>0</v>
      </c>
      <c r="AT86" s="322">
        <v>0</v>
      </c>
      <c r="AU86" s="319">
        <v>2</v>
      </c>
      <c r="AV86" s="320">
        <v>0</v>
      </c>
      <c r="AW86" s="319">
        <v>0</v>
      </c>
      <c r="AX86" s="320">
        <v>0</v>
      </c>
      <c r="AY86" s="321">
        <v>0</v>
      </c>
      <c r="AZ86" s="322">
        <v>0</v>
      </c>
      <c r="BA86" s="319">
        <v>2</v>
      </c>
      <c r="BB86" s="320">
        <v>0</v>
      </c>
      <c r="BC86" s="319">
        <v>0</v>
      </c>
      <c r="BD86" s="320">
        <v>0</v>
      </c>
      <c r="BE86" s="321">
        <v>0</v>
      </c>
      <c r="BF86" s="322">
        <v>0</v>
      </c>
      <c r="BG86" s="319">
        <v>2</v>
      </c>
      <c r="BH86" s="320">
        <v>0</v>
      </c>
      <c r="BI86" s="319">
        <v>0</v>
      </c>
      <c r="BJ86" s="320">
        <v>0</v>
      </c>
      <c r="BK86" s="321">
        <v>0</v>
      </c>
      <c r="BL86" s="322">
        <v>0</v>
      </c>
      <c r="BM86" s="319">
        <v>2</v>
      </c>
      <c r="BN86" s="320">
        <v>0</v>
      </c>
      <c r="BO86" s="319">
        <v>0</v>
      </c>
      <c r="BP86" s="320">
        <v>0</v>
      </c>
      <c r="BQ86" s="321">
        <v>0</v>
      </c>
      <c r="BR86" s="322">
        <v>0</v>
      </c>
      <c r="BS86" s="319">
        <v>2</v>
      </c>
      <c r="BT86" s="320">
        <v>0</v>
      </c>
      <c r="BU86" s="319">
        <v>0</v>
      </c>
      <c r="BV86" s="320">
        <v>0</v>
      </c>
      <c r="BW86" s="321">
        <v>0</v>
      </c>
      <c r="BX86" s="322">
        <v>0</v>
      </c>
      <c r="BY86" s="319">
        <v>2</v>
      </c>
      <c r="BZ86" s="320">
        <v>0</v>
      </c>
      <c r="CA86" s="319">
        <v>0</v>
      </c>
      <c r="CB86" s="320">
        <v>0</v>
      </c>
      <c r="CC86" s="321">
        <v>0</v>
      </c>
      <c r="CD86" s="322">
        <v>0</v>
      </c>
      <c r="CE86" s="319">
        <v>2</v>
      </c>
      <c r="CF86" s="320">
        <v>0</v>
      </c>
      <c r="CG86" s="319">
        <v>0</v>
      </c>
      <c r="CH86" s="320">
        <v>0</v>
      </c>
      <c r="CI86" s="321">
        <v>0</v>
      </c>
      <c r="CJ86" s="322">
        <v>0</v>
      </c>
      <c r="CK86" s="319">
        <v>2</v>
      </c>
      <c r="CL86" s="320">
        <v>0</v>
      </c>
      <c r="CM86" s="319">
        <v>0</v>
      </c>
      <c r="CN86" s="320">
        <v>0</v>
      </c>
      <c r="CO86" s="321">
        <v>0</v>
      </c>
      <c r="CP86" s="322">
        <v>0</v>
      </c>
      <c r="CQ86" s="319">
        <v>2</v>
      </c>
      <c r="CR86" s="320">
        <v>0</v>
      </c>
      <c r="CS86" s="319">
        <v>0</v>
      </c>
      <c r="CT86" s="320">
        <v>0</v>
      </c>
      <c r="CU86" s="321">
        <v>0</v>
      </c>
      <c r="CV86" s="322">
        <v>0</v>
      </c>
      <c r="CW86" s="319">
        <v>2</v>
      </c>
      <c r="CX86" s="320">
        <v>0</v>
      </c>
      <c r="CY86" s="319">
        <v>0</v>
      </c>
      <c r="CZ86" s="320">
        <v>0</v>
      </c>
      <c r="DA86" s="321">
        <v>0</v>
      </c>
      <c r="DB86" s="322">
        <v>0</v>
      </c>
      <c r="DC86" s="319">
        <v>2</v>
      </c>
      <c r="DD86" s="320">
        <v>0</v>
      </c>
      <c r="DE86" s="319">
        <v>0</v>
      </c>
      <c r="DF86" s="320">
        <v>0</v>
      </c>
      <c r="DG86" s="321">
        <v>0</v>
      </c>
      <c r="DH86" s="322">
        <v>0</v>
      </c>
      <c r="DI86" s="319">
        <v>2</v>
      </c>
      <c r="DJ86" s="320">
        <v>0</v>
      </c>
      <c r="DK86" s="319">
        <v>0</v>
      </c>
      <c r="DL86" s="320">
        <v>0</v>
      </c>
      <c r="DM86" s="321">
        <v>0</v>
      </c>
      <c r="DN86" s="322">
        <v>0</v>
      </c>
      <c r="DO86" s="319">
        <v>2</v>
      </c>
      <c r="DP86" s="320">
        <v>0</v>
      </c>
      <c r="DQ86" s="319">
        <v>0</v>
      </c>
      <c r="DR86" s="320">
        <v>0</v>
      </c>
      <c r="DS86" s="321">
        <v>0</v>
      </c>
      <c r="DT86" s="322">
        <v>0</v>
      </c>
      <c r="DU86" s="319">
        <v>2</v>
      </c>
      <c r="DV86" s="320">
        <v>0</v>
      </c>
      <c r="DW86" s="319">
        <v>0</v>
      </c>
      <c r="DX86" s="320">
        <v>0</v>
      </c>
      <c r="DY86" s="321">
        <v>0</v>
      </c>
      <c r="DZ86" s="322">
        <v>0</v>
      </c>
      <c r="EA86" s="319">
        <v>2</v>
      </c>
      <c r="EB86" s="320">
        <v>0</v>
      </c>
      <c r="EC86" s="319">
        <v>0</v>
      </c>
      <c r="ED86" s="320">
        <v>0</v>
      </c>
      <c r="EE86" s="321">
        <v>0</v>
      </c>
      <c r="EF86" s="322">
        <v>0</v>
      </c>
      <c r="EG86" s="319">
        <v>2</v>
      </c>
      <c r="EH86" s="320">
        <v>0</v>
      </c>
      <c r="EI86" s="319">
        <v>0</v>
      </c>
      <c r="EJ86" s="320">
        <v>0</v>
      </c>
      <c r="EK86" s="321">
        <v>0</v>
      </c>
      <c r="EL86" s="322">
        <v>0</v>
      </c>
      <c r="EM86" s="319">
        <v>2</v>
      </c>
      <c r="EN86" s="320">
        <v>0</v>
      </c>
      <c r="EO86" s="319">
        <v>0</v>
      </c>
      <c r="EP86" s="320">
        <v>0</v>
      </c>
      <c r="EQ86" s="321">
        <v>0</v>
      </c>
      <c r="ER86" s="322">
        <v>0</v>
      </c>
      <c r="ES86" s="319">
        <v>2</v>
      </c>
      <c r="ET86" s="320">
        <v>0</v>
      </c>
      <c r="EU86" s="319">
        <v>0</v>
      </c>
      <c r="EV86" s="320">
        <v>0</v>
      </c>
      <c r="EW86" s="321">
        <v>0</v>
      </c>
      <c r="EX86" s="322">
        <v>0</v>
      </c>
      <c r="EY86" s="319">
        <v>2</v>
      </c>
      <c r="EZ86" s="320">
        <v>0</v>
      </c>
      <c r="FA86" s="319">
        <v>0</v>
      </c>
      <c r="FB86" s="320">
        <v>0</v>
      </c>
      <c r="FC86" s="321">
        <v>0</v>
      </c>
      <c r="FD86" s="322">
        <v>0</v>
      </c>
      <c r="FE86" s="319">
        <v>2</v>
      </c>
      <c r="FF86" s="320">
        <v>0</v>
      </c>
      <c r="FG86" s="319">
        <v>0</v>
      </c>
      <c r="FH86" s="320">
        <v>0</v>
      </c>
      <c r="FI86" s="321">
        <v>0</v>
      </c>
      <c r="FJ86" s="322">
        <v>0</v>
      </c>
      <c r="FK86" s="319">
        <v>2</v>
      </c>
      <c r="FL86" s="320">
        <v>0</v>
      </c>
      <c r="FM86" s="319">
        <v>0</v>
      </c>
      <c r="FN86" s="320">
        <v>0</v>
      </c>
      <c r="FO86" s="321">
        <v>0</v>
      </c>
      <c r="FP86" s="322">
        <v>0</v>
      </c>
      <c r="FQ86" s="319">
        <v>2</v>
      </c>
      <c r="FR86" s="320">
        <v>0</v>
      </c>
      <c r="FS86" s="319">
        <v>0</v>
      </c>
      <c r="FT86" s="320">
        <v>0</v>
      </c>
      <c r="FU86" s="321">
        <v>0</v>
      </c>
      <c r="FV86" s="322">
        <v>0</v>
      </c>
      <c r="FW86" s="319">
        <v>2</v>
      </c>
      <c r="FX86" s="320">
        <v>0</v>
      </c>
      <c r="FY86" s="319">
        <v>0</v>
      </c>
      <c r="FZ86" s="320">
        <v>0</v>
      </c>
      <c r="GA86" s="321">
        <v>0</v>
      </c>
      <c r="GB86" s="322">
        <v>0</v>
      </c>
      <c r="GC86" s="319">
        <v>2</v>
      </c>
      <c r="GD86" s="320">
        <v>0</v>
      </c>
      <c r="GE86" s="319">
        <v>0</v>
      </c>
      <c r="GF86" s="320">
        <v>0</v>
      </c>
      <c r="GG86" s="321">
        <v>0</v>
      </c>
      <c r="GH86" s="322">
        <v>0</v>
      </c>
      <c r="GI86" s="319">
        <v>2</v>
      </c>
      <c r="GJ86" s="320">
        <v>0</v>
      </c>
      <c r="GK86" s="319">
        <v>0</v>
      </c>
      <c r="GL86" s="320">
        <v>0</v>
      </c>
      <c r="GM86" s="321">
        <v>0</v>
      </c>
      <c r="GN86" s="322">
        <v>0</v>
      </c>
      <c r="GO86" s="319">
        <v>2</v>
      </c>
      <c r="GP86" s="320">
        <v>0</v>
      </c>
      <c r="GQ86" s="319">
        <v>0</v>
      </c>
      <c r="GR86" s="320">
        <v>0</v>
      </c>
      <c r="GS86" s="321">
        <v>0</v>
      </c>
      <c r="GT86" s="322">
        <v>0</v>
      </c>
      <c r="GU86" s="319">
        <v>2</v>
      </c>
      <c r="GV86" s="320">
        <v>0</v>
      </c>
      <c r="GW86" s="319">
        <v>0</v>
      </c>
      <c r="GX86" s="320">
        <v>0</v>
      </c>
      <c r="GY86" s="321">
        <v>0</v>
      </c>
      <c r="GZ86" s="322">
        <v>0</v>
      </c>
    </row>
    <row r="87" spans="1:208" s="89" customFormat="1" ht="22.5" customHeight="1" x14ac:dyDescent="0.2">
      <c r="A87" s="287" t="s">
        <v>3241</v>
      </c>
      <c r="B87" s="288" t="s">
        <v>3242</v>
      </c>
      <c r="C87" s="289" t="s">
        <v>3170</v>
      </c>
      <c r="D87" s="290" t="s">
        <v>3243</v>
      </c>
      <c r="E87" s="290" t="s">
        <v>3244</v>
      </c>
      <c r="F87" s="291" t="s">
        <v>3166</v>
      </c>
      <c r="G87" s="291" t="s">
        <v>3167</v>
      </c>
      <c r="H87" s="292" t="s">
        <v>1492</v>
      </c>
      <c r="I87" s="293" t="s">
        <v>1492</v>
      </c>
      <c r="J87" s="340" t="s">
        <v>3174</v>
      </c>
      <c r="K87" s="340" t="s">
        <v>3171</v>
      </c>
      <c r="L87" s="256">
        <f>CONTINUA!BV87</f>
        <v>8</v>
      </c>
      <c r="M87" s="256">
        <f>CONTINUA!BW87</f>
        <v>0</v>
      </c>
      <c r="N87" s="564"/>
      <c r="O87" s="565" t="s">
        <v>3348</v>
      </c>
      <c r="P87" s="566">
        <v>0</v>
      </c>
      <c r="Q87" s="319">
        <v>13</v>
      </c>
      <c r="R87" s="320">
        <v>3</v>
      </c>
      <c r="S87" s="319">
        <v>2</v>
      </c>
      <c r="T87" s="320">
        <v>1</v>
      </c>
      <c r="U87" s="319">
        <v>0</v>
      </c>
      <c r="V87" s="320">
        <v>0</v>
      </c>
      <c r="W87" s="319">
        <v>13</v>
      </c>
      <c r="X87" s="320">
        <v>3</v>
      </c>
      <c r="Y87" s="319">
        <v>2</v>
      </c>
      <c r="Z87" s="320">
        <v>1</v>
      </c>
      <c r="AA87" s="319">
        <v>0</v>
      </c>
      <c r="AB87" s="320">
        <v>0</v>
      </c>
      <c r="AC87" s="319">
        <v>13</v>
      </c>
      <c r="AD87" s="320">
        <v>3</v>
      </c>
      <c r="AE87" s="319">
        <v>2</v>
      </c>
      <c r="AF87" s="320">
        <v>1</v>
      </c>
      <c r="AG87" s="319">
        <v>0</v>
      </c>
      <c r="AH87" s="320">
        <v>0</v>
      </c>
      <c r="AI87" s="319">
        <v>13</v>
      </c>
      <c r="AJ87" s="320">
        <v>3</v>
      </c>
      <c r="AK87" s="319">
        <v>2</v>
      </c>
      <c r="AL87" s="320">
        <v>1</v>
      </c>
      <c r="AM87" s="319">
        <v>0</v>
      </c>
      <c r="AN87" s="320">
        <v>0</v>
      </c>
      <c r="AO87" s="319">
        <v>13</v>
      </c>
      <c r="AP87" s="320">
        <v>3</v>
      </c>
      <c r="AQ87" s="319">
        <v>2</v>
      </c>
      <c r="AR87" s="320">
        <v>1</v>
      </c>
      <c r="AS87" s="319">
        <v>0</v>
      </c>
      <c r="AT87" s="320">
        <v>0</v>
      </c>
      <c r="AU87" s="319">
        <v>13</v>
      </c>
      <c r="AV87" s="320">
        <v>3</v>
      </c>
      <c r="AW87" s="319">
        <v>2</v>
      </c>
      <c r="AX87" s="320">
        <v>1</v>
      </c>
      <c r="AY87" s="319">
        <v>0</v>
      </c>
      <c r="AZ87" s="320">
        <v>0</v>
      </c>
      <c r="BA87" s="319">
        <v>13</v>
      </c>
      <c r="BB87" s="320">
        <v>3</v>
      </c>
      <c r="BC87" s="319">
        <v>2</v>
      </c>
      <c r="BD87" s="320">
        <v>1</v>
      </c>
      <c r="BE87" s="319">
        <v>0</v>
      </c>
      <c r="BF87" s="320">
        <v>0</v>
      </c>
      <c r="BG87" s="319">
        <v>13</v>
      </c>
      <c r="BH87" s="320">
        <v>3</v>
      </c>
      <c r="BI87" s="319">
        <v>2</v>
      </c>
      <c r="BJ87" s="320">
        <v>1</v>
      </c>
      <c r="BK87" s="319">
        <v>0</v>
      </c>
      <c r="BL87" s="320">
        <v>0</v>
      </c>
      <c r="BM87" s="319">
        <v>13</v>
      </c>
      <c r="BN87" s="320">
        <v>3</v>
      </c>
      <c r="BO87" s="319">
        <v>2</v>
      </c>
      <c r="BP87" s="320">
        <v>1</v>
      </c>
      <c r="BQ87" s="319">
        <v>0</v>
      </c>
      <c r="BR87" s="320">
        <v>0</v>
      </c>
      <c r="BS87" s="319">
        <v>13</v>
      </c>
      <c r="BT87" s="320">
        <v>3</v>
      </c>
      <c r="BU87" s="319">
        <v>2</v>
      </c>
      <c r="BV87" s="320">
        <v>1</v>
      </c>
      <c r="BW87" s="319">
        <v>0</v>
      </c>
      <c r="BX87" s="320">
        <v>0</v>
      </c>
      <c r="BY87" s="319">
        <v>13</v>
      </c>
      <c r="BZ87" s="320">
        <v>3</v>
      </c>
      <c r="CA87" s="319">
        <v>2</v>
      </c>
      <c r="CB87" s="320">
        <v>1</v>
      </c>
      <c r="CC87" s="319">
        <v>0</v>
      </c>
      <c r="CD87" s="320">
        <v>0</v>
      </c>
      <c r="CE87" s="319">
        <v>13</v>
      </c>
      <c r="CF87" s="320">
        <v>3</v>
      </c>
      <c r="CG87" s="319">
        <v>2</v>
      </c>
      <c r="CH87" s="320">
        <v>1</v>
      </c>
      <c r="CI87" s="319">
        <v>0</v>
      </c>
      <c r="CJ87" s="320">
        <v>0</v>
      </c>
      <c r="CK87" s="319">
        <v>13</v>
      </c>
      <c r="CL87" s="320">
        <v>3</v>
      </c>
      <c r="CM87" s="319">
        <v>2</v>
      </c>
      <c r="CN87" s="320">
        <v>1</v>
      </c>
      <c r="CO87" s="319">
        <v>0</v>
      </c>
      <c r="CP87" s="320">
        <v>0</v>
      </c>
      <c r="CQ87" s="319">
        <v>13</v>
      </c>
      <c r="CR87" s="320">
        <v>3</v>
      </c>
      <c r="CS87" s="319">
        <v>2</v>
      </c>
      <c r="CT87" s="320">
        <v>1</v>
      </c>
      <c r="CU87" s="319">
        <v>0</v>
      </c>
      <c r="CV87" s="320">
        <v>0</v>
      </c>
      <c r="CW87" s="319">
        <v>13</v>
      </c>
      <c r="CX87" s="320">
        <v>3</v>
      </c>
      <c r="CY87" s="319">
        <v>2</v>
      </c>
      <c r="CZ87" s="320">
        <v>1</v>
      </c>
      <c r="DA87" s="319">
        <v>0</v>
      </c>
      <c r="DB87" s="320">
        <v>0</v>
      </c>
      <c r="DC87" s="319">
        <v>13</v>
      </c>
      <c r="DD87" s="320">
        <v>3</v>
      </c>
      <c r="DE87" s="319">
        <v>2</v>
      </c>
      <c r="DF87" s="320">
        <v>1</v>
      </c>
      <c r="DG87" s="319">
        <v>0</v>
      </c>
      <c r="DH87" s="320">
        <v>0</v>
      </c>
      <c r="DI87" s="319">
        <v>13</v>
      </c>
      <c r="DJ87" s="320">
        <v>3</v>
      </c>
      <c r="DK87" s="319">
        <v>2</v>
      </c>
      <c r="DL87" s="320">
        <v>1</v>
      </c>
      <c r="DM87" s="319">
        <v>0</v>
      </c>
      <c r="DN87" s="320">
        <v>0</v>
      </c>
      <c r="DO87" s="319">
        <v>13</v>
      </c>
      <c r="DP87" s="320">
        <v>3</v>
      </c>
      <c r="DQ87" s="319">
        <v>2</v>
      </c>
      <c r="DR87" s="320">
        <v>1</v>
      </c>
      <c r="DS87" s="319">
        <v>0</v>
      </c>
      <c r="DT87" s="320">
        <v>0</v>
      </c>
      <c r="DU87" s="319">
        <v>13</v>
      </c>
      <c r="DV87" s="320">
        <v>3</v>
      </c>
      <c r="DW87" s="319">
        <v>2</v>
      </c>
      <c r="DX87" s="320">
        <v>1</v>
      </c>
      <c r="DY87" s="319">
        <v>0</v>
      </c>
      <c r="DZ87" s="320">
        <v>0</v>
      </c>
      <c r="EA87" s="319">
        <v>13</v>
      </c>
      <c r="EB87" s="320">
        <v>3</v>
      </c>
      <c r="EC87" s="319">
        <v>2</v>
      </c>
      <c r="ED87" s="320">
        <v>1</v>
      </c>
      <c r="EE87" s="319">
        <v>0</v>
      </c>
      <c r="EF87" s="320">
        <v>0</v>
      </c>
      <c r="EG87" s="319">
        <v>13</v>
      </c>
      <c r="EH87" s="320">
        <v>3</v>
      </c>
      <c r="EI87" s="319">
        <v>2</v>
      </c>
      <c r="EJ87" s="320">
        <v>1</v>
      </c>
      <c r="EK87" s="319">
        <v>0</v>
      </c>
      <c r="EL87" s="320">
        <v>0</v>
      </c>
      <c r="EM87" s="319">
        <v>13</v>
      </c>
      <c r="EN87" s="320">
        <v>3</v>
      </c>
      <c r="EO87" s="319">
        <v>2</v>
      </c>
      <c r="EP87" s="320">
        <v>1</v>
      </c>
      <c r="EQ87" s="319">
        <v>0</v>
      </c>
      <c r="ER87" s="320">
        <v>0</v>
      </c>
      <c r="ES87" s="319">
        <v>13</v>
      </c>
      <c r="ET87" s="320">
        <v>3</v>
      </c>
      <c r="EU87" s="319">
        <v>2</v>
      </c>
      <c r="EV87" s="320">
        <v>1</v>
      </c>
      <c r="EW87" s="319">
        <v>0</v>
      </c>
      <c r="EX87" s="320">
        <v>0</v>
      </c>
      <c r="EY87" s="319">
        <v>13</v>
      </c>
      <c r="EZ87" s="320">
        <v>3</v>
      </c>
      <c r="FA87" s="319">
        <v>2</v>
      </c>
      <c r="FB87" s="320">
        <v>1</v>
      </c>
      <c r="FC87" s="319">
        <v>0</v>
      </c>
      <c r="FD87" s="320">
        <v>0</v>
      </c>
      <c r="FE87" s="319">
        <v>13</v>
      </c>
      <c r="FF87" s="320">
        <v>3</v>
      </c>
      <c r="FG87" s="319">
        <v>2</v>
      </c>
      <c r="FH87" s="320">
        <v>1</v>
      </c>
      <c r="FI87" s="319">
        <v>0</v>
      </c>
      <c r="FJ87" s="320">
        <v>0</v>
      </c>
      <c r="FK87" s="319">
        <v>13</v>
      </c>
      <c r="FL87" s="320">
        <v>3</v>
      </c>
      <c r="FM87" s="319">
        <v>2</v>
      </c>
      <c r="FN87" s="320">
        <v>1</v>
      </c>
      <c r="FO87" s="319">
        <v>0</v>
      </c>
      <c r="FP87" s="320">
        <v>0</v>
      </c>
      <c r="FQ87" s="319">
        <v>13</v>
      </c>
      <c r="FR87" s="320">
        <v>3</v>
      </c>
      <c r="FS87" s="319">
        <v>2</v>
      </c>
      <c r="FT87" s="320">
        <v>1</v>
      </c>
      <c r="FU87" s="319">
        <v>0</v>
      </c>
      <c r="FV87" s="320">
        <v>0</v>
      </c>
      <c r="FW87" s="319">
        <v>13</v>
      </c>
      <c r="FX87" s="320">
        <v>3</v>
      </c>
      <c r="FY87" s="319">
        <v>2</v>
      </c>
      <c r="FZ87" s="320">
        <v>1</v>
      </c>
      <c r="GA87" s="319">
        <v>0</v>
      </c>
      <c r="GB87" s="320">
        <v>0</v>
      </c>
      <c r="GC87" s="319">
        <v>13</v>
      </c>
      <c r="GD87" s="320">
        <v>3</v>
      </c>
      <c r="GE87" s="319">
        <v>2</v>
      </c>
      <c r="GF87" s="320">
        <v>1</v>
      </c>
      <c r="GG87" s="319">
        <v>0</v>
      </c>
      <c r="GH87" s="320">
        <v>0</v>
      </c>
      <c r="GI87" s="319">
        <v>13</v>
      </c>
      <c r="GJ87" s="320">
        <v>3</v>
      </c>
      <c r="GK87" s="319">
        <v>2</v>
      </c>
      <c r="GL87" s="320">
        <v>1</v>
      </c>
      <c r="GM87" s="319">
        <v>0</v>
      </c>
      <c r="GN87" s="320">
        <v>0</v>
      </c>
      <c r="GO87" s="319">
        <v>13</v>
      </c>
      <c r="GP87" s="320">
        <v>3</v>
      </c>
      <c r="GQ87" s="319">
        <v>2</v>
      </c>
      <c r="GR87" s="320">
        <v>1</v>
      </c>
      <c r="GS87" s="319">
        <v>0</v>
      </c>
      <c r="GT87" s="320">
        <v>0</v>
      </c>
      <c r="GU87" s="319">
        <v>13</v>
      </c>
      <c r="GV87" s="320">
        <v>3</v>
      </c>
      <c r="GW87" s="319">
        <v>2</v>
      </c>
      <c r="GX87" s="320">
        <v>1</v>
      </c>
      <c r="GY87" s="319">
        <v>0</v>
      </c>
      <c r="GZ87" s="320">
        <v>0</v>
      </c>
    </row>
    <row r="88" spans="1:208" s="89" customFormat="1" ht="22.5" customHeight="1" x14ac:dyDescent="0.2">
      <c r="A88" s="287" t="s">
        <v>3241</v>
      </c>
      <c r="B88" s="288" t="s">
        <v>3242</v>
      </c>
      <c r="C88" s="294" t="s">
        <v>3170</v>
      </c>
      <c r="D88" s="290" t="s">
        <v>3243</v>
      </c>
      <c r="E88" s="290" t="s">
        <v>3244</v>
      </c>
      <c r="F88" s="295" t="s">
        <v>3166</v>
      </c>
      <c r="G88" s="295" t="s">
        <v>3167</v>
      </c>
      <c r="H88" s="292" t="s">
        <v>1492</v>
      </c>
      <c r="I88" s="293" t="s">
        <v>1492</v>
      </c>
      <c r="J88" s="340" t="s">
        <v>3174</v>
      </c>
      <c r="K88" s="341" t="s">
        <v>3172</v>
      </c>
      <c r="L88" s="256">
        <f>CONTINUA!BV88</f>
        <v>0</v>
      </c>
      <c r="M88" s="256">
        <f>CONTINUA!BW88</f>
        <v>0</v>
      </c>
      <c r="N88" s="564"/>
      <c r="O88" s="565" t="s">
        <v>3348</v>
      </c>
      <c r="P88" s="566">
        <v>0</v>
      </c>
      <c r="Q88" s="319">
        <v>0</v>
      </c>
      <c r="R88" s="320">
        <v>0</v>
      </c>
      <c r="S88" s="319">
        <v>0</v>
      </c>
      <c r="T88" s="320">
        <v>0</v>
      </c>
      <c r="U88" s="319">
        <v>0</v>
      </c>
      <c r="V88" s="320">
        <v>0</v>
      </c>
      <c r="W88" s="319">
        <v>0</v>
      </c>
      <c r="X88" s="320">
        <v>0</v>
      </c>
      <c r="Y88" s="319">
        <v>0</v>
      </c>
      <c r="Z88" s="320">
        <v>0</v>
      </c>
      <c r="AA88" s="319">
        <v>0</v>
      </c>
      <c r="AB88" s="320">
        <v>0</v>
      </c>
      <c r="AC88" s="319">
        <v>0</v>
      </c>
      <c r="AD88" s="320">
        <v>0</v>
      </c>
      <c r="AE88" s="319">
        <v>0</v>
      </c>
      <c r="AF88" s="320">
        <v>0</v>
      </c>
      <c r="AG88" s="319">
        <v>0</v>
      </c>
      <c r="AH88" s="320">
        <v>0</v>
      </c>
      <c r="AI88" s="319">
        <v>0</v>
      </c>
      <c r="AJ88" s="320">
        <v>0</v>
      </c>
      <c r="AK88" s="319">
        <v>0</v>
      </c>
      <c r="AL88" s="320">
        <v>0</v>
      </c>
      <c r="AM88" s="319">
        <v>0</v>
      </c>
      <c r="AN88" s="320">
        <v>0</v>
      </c>
      <c r="AO88" s="319">
        <v>0</v>
      </c>
      <c r="AP88" s="320">
        <v>0</v>
      </c>
      <c r="AQ88" s="319">
        <v>0</v>
      </c>
      <c r="AR88" s="320">
        <v>0</v>
      </c>
      <c r="AS88" s="319">
        <v>0</v>
      </c>
      <c r="AT88" s="320">
        <v>0</v>
      </c>
      <c r="AU88" s="319">
        <v>0</v>
      </c>
      <c r="AV88" s="320">
        <v>0</v>
      </c>
      <c r="AW88" s="319">
        <v>0</v>
      </c>
      <c r="AX88" s="320">
        <v>0</v>
      </c>
      <c r="AY88" s="319">
        <v>0</v>
      </c>
      <c r="AZ88" s="320">
        <v>0</v>
      </c>
      <c r="BA88" s="319">
        <v>0</v>
      </c>
      <c r="BB88" s="320">
        <v>0</v>
      </c>
      <c r="BC88" s="319">
        <v>0</v>
      </c>
      <c r="BD88" s="320">
        <v>0</v>
      </c>
      <c r="BE88" s="319">
        <v>0</v>
      </c>
      <c r="BF88" s="320">
        <v>0</v>
      </c>
      <c r="BG88" s="319">
        <v>0</v>
      </c>
      <c r="BH88" s="320">
        <v>0</v>
      </c>
      <c r="BI88" s="319">
        <v>0</v>
      </c>
      <c r="BJ88" s="320">
        <v>0</v>
      </c>
      <c r="BK88" s="319">
        <v>0</v>
      </c>
      <c r="BL88" s="320">
        <v>0</v>
      </c>
      <c r="BM88" s="319">
        <v>0</v>
      </c>
      <c r="BN88" s="320">
        <v>0</v>
      </c>
      <c r="BO88" s="319">
        <v>0</v>
      </c>
      <c r="BP88" s="320">
        <v>0</v>
      </c>
      <c r="BQ88" s="319">
        <v>0</v>
      </c>
      <c r="BR88" s="320">
        <v>0</v>
      </c>
      <c r="BS88" s="319">
        <v>0</v>
      </c>
      <c r="BT88" s="320">
        <v>0</v>
      </c>
      <c r="BU88" s="319">
        <v>0</v>
      </c>
      <c r="BV88" s="320">
        <v>0</v>
      </c>
      <c r="BW88" s="319">
        <v>0</v>
      </c>
      <c r="BX88" s="320">
        <v>0</v>
      </c>
      <c r="BY88" s="319">
        <v>0</v>
      </c>
      <c r="BZ88" s="320">
        <v>0</v>
      </c>
      <c r="CA88" s="319">
        <v>0</v>
      </c>
      <c r="CB88" s="320">
        <v>0</v>
      </c>
      <c r="CC88" s="319">
        <v>0</v>
      </c>
      <c r="CD88" s="320">
        <v>0</v>
      </c>
      <c r="CE88" s="319">
        <v>0</v>
      </c>
      <c r="CF88" s="320">
        <v>0</v>
      </c>
      <c r="CG88" s="319">
        <v>0</v>
      </c>
      <c r="CH88" s="320">
        <v>0</v>
      </c>
      <c r="CI88" s="319">
        <v>0</v>
      </c>
      <c r="CJ88" s="320">
        <v>0</v>
      </c>
      <c r="CK88" s="319">
        <v>0</v>
      </c>
      <c r="CL88" s="320">
        <v>0</v>
      </c>
      <c r="CM88" s="319">
        <v>0</v>
      </c>
      <c r="CN88" s="320">
        <v>0</v>
      </c>
      <c r="CO88" s="319">
        <v>0</v>
      </c>
      <c r="CP88" s="320">
        <v>0</v>
      </c>
      <c r="CQ88" s="319">
        <v>0</v>
      </c>
      <c r="CR88" s="320">
        <v>0</v>
      </c>
      <c r="CS88" s="319">
        <v>0</v>
      </c>
      <c r="CT88" s="320">
        <v>0</v>
      </c>
      <c r="CU88" s="319">
        <v>0</v>
      </c>
      <c r="CV88" s="320">
        <v>0</v>
      </c>
      <c r="CW88" s="319">
        <v>0</v>
      </c>
      <c r="CX88" s="320">
        <v>0</v>
      </c>
      <c r="CY88" s="319">
        <v>0</v>
      </c>
      <c r="CZ88" s="320">
        <v>0</v>
      </c>
      <c r="DA88" s="319">
        <v>0</v>
      </c>
      <c r="DB88" s="320">
        <v>0</v>
      </c>
      <c r="DC88" s="319">
        <v>0</v>
      </c>
      <c r="DD88" s="320">
        <v>0</v>
      </c>
      <c r="DE88" s="319">
        <v>0</v>
      </c>
      <c r="DF88" s="320">
        <v>0</v>
      </c>
      <c r="DG88" s="319">
        <v>0</v>
      </c>
      <c r="DH88" s="320">
        <v>0</v>
      </c>
      <c r="DI88" s="319">
        <v>0</v>
      </c>
      <c r="DJ88" s="320">
        <v>0</v>
      </c>
      <c r="DK88" s="319">
        <v>0</v>
      </c>
      <c r="DL88" s="320">
        <v>0</v>
      </c>
      <c r="DM88" s="319">
        <v>0</v>
      </c>
      <c r="DN88" s="320">
        <v>0</v>
      </c>
      <c r="DO88" s="319">
        <v>0</v>
      </c>
      <c r="DP88" s="320">
        <v>0</v>
      </c>
      <c r="DQ88" s="319">
        <v>0</v>
      </c>
      <c r="DR88" s="320">
        <v>0</v>
      </c>
      <c r="DS88" s="319">
        <v>0</v>
      </c>
      <c r="DT88" s="320">
        <v>0</v>
      </c>
      <c r="DU88" s="319">
        <v>0</v>
      </c>
      <c r="DV88" s="320">
        <v>0</v>
      </c>
      <c r="DW88" s="319">
        <v>0</v>
      </c>
      <c r="DX88" s="320">
        <v>0</v>
      </c>
      <c r="DY88" s="319">
        <v>0</v>
      </c>
      <c r="DZ88" s="320">
        <v>0</v>
      </c>
      <c r="EA88" s="319">
        <v>0</v>
      </c>
      <c r="EB88" s="320">
        <v>0</v>
      </c>
      <c r="EC88" s="319">
        <v>0</v>
      </c>
      <c r="ED88" s="320">
        <v>0</v>
      </c>
      <c r="EE88" s="319">
        <v>0</v>
      </c>
      <c r="EF88" s="320">
        <v>0</v>
      </c>
      <c r="EG88" s="319">
        <v>0</v>
      </c>
      <c r="EH88" s="320">
        <v>0</v>
      </c>
      <c r="EI88" s="319">
        <v>0</v>
      </c>
      <c r="EJ88" s="320">
        <v>0</v>
      </c>
      <c r="EK88" s="319">
        <v>0</v>
      </c>
      <c r="EL88" s="320">
        <v>0</v>
      </c>
      <c r="EM88" s="319">
        <v>0</v>
      </c>
      <c r="EN88" s="320">
        <v>0</v>
      </c>
      <c r="EO88" s="319">
        <v>0</v>
      </c>
      <c r="EP88" s="320">
        <v>0</v>
      </c>
      <c r="EQ88" s="319">
        <v>0</v>
      </c>
      <c r="ER88" s="320">
        <v>0</v>
      </c>
      <c r="ES88" s="319">
        <v>0</v>
      </c>
      <c r="ET88" s="320">
        <v>0</v>
      </c>
      <c r="EU88" s="319">
        <v>0</v>
      </c>
      <c r="EV88" s="320">
        <v>0</v>
      </c>
      <c r="EW88" s="319">
        <v>0</v>
      </c>
      <c r="EX88" s="320">
        <v>0</v>
      </c>
      <c r="EY88" s="319">
        <v>0</v>
      </c>
      <c r="EZ88" s="320">
        <v>0</v>
      </c>
      <c r="FA88" s="319">
        <v>0</v>
      </c>
      <c r="FB88" s="320">
        <v>0</v>
      </c>
      <c r="FC88" s="319">
        <v>0</v>
      </c>
      <c r="FD88" s="320">
        <v>0</v>
      </c>
      <c r="FE88" s="319">
        <v>0</v>
      </c>
      <c r="FF88" s="320">
        <v>0</v>
      </c>
      <c r="FG88" s="319">
        <v>0</v>
      </c>
      <c r="FH88" s="320">
        <v>0</v>
      </c>
      <c r="FI88" s="319">
        <v>0</v>
      </c>
      <c r="FJ88" s="320">
        <v>0</v>
      </c>
      <c r="FK88" s="319">
        <v>0</v>
      </c>
      <c r="FL88" s="320">
        <v>0</v>
      </c>
      <c r="FM88" s="319">
        <v>0</v>
      </c>
      <c r="FN88" s="320">
        <v>0</v>
      </c>
      <c r="FO88" s="319">
        <v>0</v>
      </c>
      <c r="FP88" s="320">
        <v>0</v>
      </c>
      <c r="FQ88" s="319">
        <v>0</v>
      </c>
      <c r="FR88" s="320">
        <v>0</v>
      </c>
      <c r="FS88" s="319">
        <v>0</v>
      </c>
      <c r="FT88" s="320">
        <v>0</v>
      </c>
      <c r="FU88" s="319">
        <v>0</v>
      </c>
      <c r="FV88" s="320">
        <v>0</v>
      </c>
      <c r="FW88" s="319">
        <v>0</v>
      </c>
      <c r="FX88" s="320">
        <v>0</v>
      </c>
      <c r="FY88" s="319">
        <v>0</v>
      </c>
      <c r="FZ88" s="320">
        <v>0</v>
      </c>
      <c r="GA88" s="319">
        <v>0</v>
      </c>
      <c r="GB88" s="320">
        <v>0</v>
      </c>
      <c r="GC88" s="319">
        <v>0</v>
      </c>
      <c r="GD88" s="320">
        <v>0</v>
      </c>
      <c r="GE88" s="319">
        <v>0</v>
      </c>
      <c r="GF88" s="320">
        <v>0</v>
      </c>
      <c r="GG88" s="319">
        <v>0</v>
      </c>
      <c r="GH88" s="320">
        <v>0</v>
      </c>
      <c r="GI88" s="319">
        <v>0</v>
      </c>
      <c r="GJ88" s="320">
        <v>0</v>
      </c>
      <c r="GK88" s="319">
        <v>0</v>
      </c>
      <c r="GL88" s="320">
        <v>0</v>
      </c>
      <c r="GM88" s="319">
        <v>0</v>
      </c>
      <c r="GN88" s="320">
        <v>0</v>
      </c>
      <c r="GO88" s="319">
        <v>0</v>
      </c>
      <c r="GP88" s="320">
        <v>0</v>
      </c>
      <c r="GQ88" s="319">
        <v>0</v>
      </c>
      <c r="GR88" s="320">
        <v>0</v>
      </c>
      <c r="GS88" s="319">
        <v>0</v>
      </c>
      <c r="GT88" s="320">
        <v>0</v>
      </c>
      <c r="GU88" s="319">
        <v>0</v>
      </c>
      <c r="GV88" s="320">
        <v>0</v>
      </c>
      <c r="GW88" s="319">
        <v>0</v>
      </c>
      <c r="GX88" s="320">
        <v>0</v>
      </c>
      <c r="GY88" s="319">
        <v>0</v>
      </c>
      <c r="GZ88" s="320">
        <v>0</v>
      </c>
    </row>
    <row r="89" spans="1:208" s="89" customFormat="1" ht="22.5" customHeight="1" x14ac:dyDescent="0.2">
      <c r="A89" s="287" t="s">
        <v>3241</v>
      </c>
      <c r="B89" s="288" t="s">
        <v>3242</v>
      </c>
      <c r="C89" s="294" t="s">
        <v>3170</v>
      </c>
      <c r="D89" s="290" t="s">
        <v>3243</v>
      </c>
      <c r="E89" s="290" t="s">
        <v>3244</v>
      </c>
      <c r="F89" s="295" t="s">
        <v>3166</v>
      </c>
      <c r="G89" s="295" t="s">
        <v>3167</v>
      </c>
      <c r="H89" s="292" t="s">
        <v>1492</v>
      </c>
      <c r="I89" s="293" t="s">
        <v>1492</v>
      </c>
      <c r="J89" s="340" t="s">
        <v>3174</v>
      </c>
      <c r="K89" s="342" t="s">
        <v>3173</v>
      </c>
      <c r="L89" s="256">
        <f>CONTINUA!BV89</f>
        <v>0</v>
      </c>
      <c r="M89" s="256">
        <f>CONTINUA!BW89</f>
        <v>0</v>
      </c>
      <c r="N89" s="564"/>
      <c r="O89" s="565" t="s">
        <v>3348</v>
      </c>
      <c r="P89" s="566">
        <v>0</v>
      </c>
      <c r="Q89" s="319">
        <v>0</v>
      </c>
      <c r="R89" s="320">
        <v>0</v>
      </c>
      <c r="S89" s="319">
        <v>0</v>
      </c>
      <c r="T89" s="320">
        <v>0</v>
      </c>
      <c r="U89" s="319">
        <v>0</v>
      </c>
      <c r="V89" s="320">
        <v>0</v>
      </c>
      <c r="W89" s="319">
        <v>0</v>
      </c>
      <c r="X89" s="320">
        <v>0</v>
      </c>
      <c r="Y89" s="319">
        <v>0</v>
      </c>
      <c r="Z89" s="320">
        <v>0</v>
      </c>
      <c r="AA89" s="319">
        <v>0</v>
      </c>
      <c r="AB89" s="320">
        <v>0</v>
      </c>
      <c r="AC89" s="319">
        <v>0</v>
      </c>
      <c r="AD89" s="320">
        <v>0</v>
      </c>
      <c r="AE89" s="319">
        <v>0</v>
      </c>
      <c r="AF89" s="320">
        <v>0</v>
      </c>
      <c r="AG89" s="319">
        <v>0</v>
      </c>
      <c r="AH89" s="320">
        <v>0</v>
      </c>
      <c r="AI89" s="319">
        <v>0</v>
      </c>
      <c r="AJ89" s="320">
        <v>0</v>
      </c>
      <c r="AK89" s="319">
        <v>0</v>
      </c>
      <c r="AL89" s="320">
        <v>0</v>
      </c>
      <c r="AM89" s="319">
        <v>0</v>
      </c>
      <c r="AN89" s="320">
        <v>0</v>
      </c>
      <c r="AO89" s="319">
        <v>0</v>
      </c>
      <c r="AP89" s="320">
        <v>0</v>
      </c>
      <c r="AQ89" s="319">
        <v>0</v>
      </c>
      <c r="AR89" s="320">
        <v>0</v>
      </c>
      <c r="AS89" s="319">
        <v>0</v>
      </c>
      <c r="AT89" s="320">
        <v>0</v>
      </c>
      <c r="AU89" s="319">
        <v>0</v>
      </c>
      <c r="AV89" s="320">
        <v>0</v>
      </c>
      <c r="AW89" s="319">
        <v>0</v>
      </c>
      <c r="AX89" s="320">
        <v>0</v>
      </c>
      <c r="AY89" s="319">
        <v>0</v>
      </c>
      <c r="AZ89" s="320">
        <v>0</v>
      </c>
      <c r="BA89" s="319">
        <v>0</v>
      </c>
      <c r="BB89" s="320">
        <v>0</v>
      </c>
      <c r="BC89" s="319">
        <v>0</v>
      </c>
      <c r="BD89" s="320">
        <v>0</v>
      </c>
      <c r="BE89" s="319">
        <v>0</v>
      </c>
      <c r="BF89" s="320">
        <v>0</v>
      </c>
      <c r="BG89" s="319">
        <v>0</v>
      </c>
      <c r="BH89" s="320">
        <v>0</v>
      </c>
      <c r="BI89" s="319">
        <v>0</v>
      </c>
      <c r="BJ89" s="320">
        <v>0</v>
      </c>
      <c r="BK89" s="319">
        <v>0</v>
      </c>
      <c r="BL89" s="320">
        <v>0</v>
      </c>
      <c r="BM89" s="319">
        <v>0</v>
      </c>
      <c r="BN89" s="320">
        <v>0</v>
      </c>
      <c r="BO89" s="319">
        <v>0</v>
      </c>
      <c r="BP89" s="320">
        <v>0</v>
      </c>
      <c r="BQ89" s="319">
        <v>0</v>
      </c>
      <c r="BR89" s="320">
        <v>0</v>
      </c>
      <c r="BS89" s="319">
        <v>0</v>
      </c>
      <c r="BT89" s="320">
        <v>0</v>
      </c>
      <c r="BU89" s="319">
        <v>0</v>
      </c>
      <c r="BV89" s="320">
        <v>0</v>
      </c>
      <c r="BW89" s="319">
        <v>0</v>
      </c>
      <c r="BX89" s="320">
        <v>0</v>
      </c>
      <c r="BY89" s="319">
        <v>0</v>
      </c>
      <c r="BZ89" s="320">
        <v>0</v>
      </c>
      <c r="CA89" s="319">
        <v>0</v>
      </c>
      <c r="CB89" s="320">
        <v>0</v>
      </c>
      <c r="CC89" s="319">
        <v>0</v>
      </c>
      <c r="CD89" s="320">
        <v>0</v>
      </c>
      <c r="CE89" s="319">
        <v>0</v>
      </c>
      <c r="CF89" s="320">
        <v>0</v>
      </c>
      <c r="CG89" s="319">
        <v>0</v>
      </c>
      <c r="CH89" s="320">
        <v>0</v>
      </c>
      <c r="CI89" s="319">
        <v>0</v>
      </c>
      <c r="CJ89" s="320">
        <v>0</v>
      </c>
      <c r="CK89" s="319">
        <v>0</v>
      </c>
      <c r="CL89" s="320">
        <v>0</v>
      </c>
      <c r="CM89" s="319">
        <v>0</v>
      </c>
      <c r="CN89" s="320">
        <v>0</v>
      </c>
      <c r="CO89" s="319">
        <v>0</v>
      </c>
      <c r="CP89" s="320">
        <v>0</v>
      </c>
      <c r="CQ89" s="319">
        <v>0</v>
      </c>
      <c r="CR89" s="320">
        <v>0</v>
      </c>
      <c r="CS89" s="319">
        <v>0</v>
      </c>
      <c r="CT89" s="320">
        <v>0</v>
      </c>
      <c r="CU89" s="319">
        <v>0</v>
      </c>
      <c r="CV89" s="320">
        <v>0</v>
      </c>
      <c r="CW89" s="319">
        <v>0</v>
      </c>
      <c r="CX89" s="320">
        <v>0</v>
      </c>
      <c r="CY89" s="319">
        <v>0</v>
      </c>
      <c r="CZ89" s="320">
        <v>0</v>
      </c>
      <c r="DA89" s="319">
        <v>0</v>
      </c>
      <c r="DB89" s="320">
        <v>0</v>
      </c>
      <c r="DC89" s="319">
        <v>0</v>
      </c>
      <c r="DD89" s="320">
        <v>0</v>
      </c>
      <c r="DE89" s="319">
        <v>0</v>
      </c>
      <c r="DF89" s="320">
        <v>0</v>
      </c>
      <c r="DG89" s="319">
        <v>0</v>
      </c>
      <c r="DH89" s="320">
        <v>0</v>
      </c>
      <c r="DI89" s="319">
        <v>0</v>
      </c>
      <c r="DJ89" s="320">
        <v>0</v>
      </c>
      <c r="DK89" s="319">
        <v>0</v>
      </c>
      <c r="DL89" s="320">
        <v>0</v>
      </c>
      <c r="DM89" s="319">
        <v>0</v>
      </c>
      <c r="DN89" s="320">
        <v>0</v>
      </c>
      <c r="DO89" s="319">
        <v>0</v>
      </c>
      <c r="DP89" s="320">
        <v>0</v>
      </c>
      <c r="DQ89" s="319">
        <v>0</v>
      </c>
      <c r="DR89" s="320">
        <v>0</v>
      </c>
      <c r="DS89" s="319">
        <v>0</v>
      </c>
      <c r="DT89" s="320">
        <v>0</v>
      </c>
      <c r="DU89" s="319">
        <v>0</v>
      </c>
      <c r="DV89" s="320">
        <v>0</v>
      </c>
      <c r="DW89" s="319">
        <v>0</v>
      </c>
      <c r="DX89" s="320">
        <v>0</v>
      </c>
      <c r="DY89" s="319">
        <v>0</v>
      </c>
      <c r="DZ89" s="320">
        <v>0</v>
      </c>
      <c r="EA89" s="319">
        <v>0</v>
      </c>
      <c r="EB89" s="320">
        <v>0</v>
      </c>
      <c r="EC89" s="319">
        <v>0</v>
      </c>
      <c r="ED89" s="320">
        <v>0</v>
      </c>
      <c r="EE89" s="319">
        <v>0</v>
      </c>
      <c r="EF89" s="320">
        <v>0</v>
      </c>
      <c r="EG89" s="319">
        <v>0</v>
      </c>
      <c r="EH89" s="320">
        <v>0</v>
      </c>
      <c r="EI89" s="319">
        <v>0</v>
      </c>
      <c r="EJ89" s="320">
        <v>0</v>
      </c>
      <c r="EK89" s="319">
        <v>0</v>
      </c>
      <c r="EL89" s="320">
        <v>0</v>
      </c>
      <c r="EM89" s="319">
        <v>0</v>
      </c>
      <c r="EN89" s="320">
        <v>0</v>
      </c>
      <c r="EO89" s="319">
        <v>0</v>
      </c>
      <c r="EP89" s="320">
        <v>0</v>
      </c>
      <c r="EQ89" s="319">
        <v>0</v>
      </c>
      <c r="ER89" s="320">
        <v>0</v>
      </c>
      <c r="ES89" s="319">
        <v>0</v>
      </c>
      <c r="ET89" s="320">
        <v>0</v>
      </c>
      <c r="EU89" s="319">
        <v>0</v>
      </c>
      <c r="EV89" s="320">
        <v>0</v>
      </c>
      <c r="EW89" s="319">
        <v>0</v>
      </c>
      <c r="EX89" s="320">
        <v>0</v>
      </c>
      <c r="EY89" s="319">
        <v>0</v>
      </c>
      <c r="EZ89" s="320">
        <v>0</v>
      </c>
      <c r="FA89" s="319">
        <v>0</v>
      </c>
      <c r="FB89" s="320">
        <v>0</v>
      </c>
      <c r="FC89" s="319">
        <v>0</v>
      </c>
      <c r="FD89" s="320">
        <v>0</v>
      </c>
      <c r="FE89" s="319">
        <v>0</v>
      </c>
      <c r="FF89" s="320">
        <v>0</v>
      </c>
      <c r="FG89" s="319">
        <v>0</v>
      </c>
      <c r="FH89" s="320">
        <v>0</v>
      </c>
      <c r="FI89" s="319">
        <v>0</v>
      </c>
      <c r="FJ89" s="320">
        <v>0</v>
      </c>
      <c r="FK89" s="319">
        <v>0</v>
      </c>
      <c r="FL89" s="320">
        <v>0</v>
      </c>
      <c r="FM89" s="319">
        <v>0</v>
      </c>
      <c r="FN89" s="320">
        <v>0</v>
      </c>
      <c r="FO89" s="319">
        <v>0</v>
      </c>
      <c r="FP89" s="320">
        <v>0</v>
      </c>
      <c r="FQ89" s="319">
        <v>0</v>
      </c>
      <c r="FR89" s="320">
        <v>0</v>
      </c>
      <c r="FS89" s="319">
        <v>0</v>
      </c>
      <c r="FT89" s="320">
        <v>0</v>
      </c>
      <c r="FU89" s="319">
        <v>0</v>
      </c>
      <c r="FV89" s="320">
        <v>0</v>
      </c>
      <c r="FW89" s="319">
        <v>0</v>
      </c>
      <c r="FX89" s="320">
        <v>0</v>
      </c>
      <c r="FY89" s="319">
        <v>0</v>
      </c>
      <c r="FZ89" s="320">
        <v>0</v>
      </c>
      <c r="GA89" s="319">
        <v>0</v>
      </c>
      <c r="GB89" s="320">
        <v>0</v>
      </c>
      <c r="GC89" s="319">
        <v>0</v>
      </c>
      <c r="GD89" s="320">
        <v>0</v>
      </c>
      <c r="GE89" s="319">
        <v>0</v>
      </c>
      <c r="GF89" s="320">
        <v>0</v>
      </c>
      <c r="GG89" s="319">
        <v>0</v>
      </c>
      <c r="GH89" s="320">
        <v>0</v>
      </c>
      <c r="GI89" s="319">
        <v>0</v>
      </c>
      <c r="GJ89" s="320">
        <v>0</v>
      </c>
      <c r="GK89" s="319">
        <v>0</v>
      </c>
      <c r="GL89" s="320">
        <v>0</v>
      </c>
      <c r="GM89" s="319">
        <v>0</v>
      </c>
      <c r="GN89" s="320">
        <v>0</v>
      </c>
      <c r="GO89" s="319">
        <v>0</v>
      </c>
      <c r="GP89" s="320">
        <v>0</v>
      </c>
      <c r="GQ89" s="319">
        <v>0</v>
      </c>
      <c r="GR89" s="320">
        <v>0</v>
      </c>
      <c r="GS89" s="319">
        <v>0</v>
      </c>
      <c r="GT89" s="320">
        <v>0</v>
      </c>
      <c r="GU89" s="319">
        <v>0</v>
      </c>
      <c r="GV89" s="320">
        <v>0</v>
      </c>
      <c r="GW89" s="319">
        <v>0</v>
      </c>
      <c r="GX89" s="320">
        <v>0</v>
      </c>
      <c r="GY89" s="319">
        <v>0</v>
      </c>
      <c r="GZ89" s="320">
        <v>0</v>
      </c>
    </row>
    <row r="90" spans="1:208" s="89" customFormat="1" ht="22.5" customHeight="1" thickBot="1" x14ac:dyDescent="0.25">
      <c r="A90" s="296" t="s">
        <v>3241</v>
      </c>
      <c r="B90" s="297" t="s">
        <v>3242</v>
      </c>
      <c r="C90" s="298" t="s">
        <v>3170</v>
      </c>
      <c r="D90" s="299" t="s">
        <v>3243</v>
      </c>
      <c r="E90" s="299" t="s">
        <v>3244</v>
      </c>
      <c r="F90" s="300" t="s">
        <v>3166</v>
      </c>
      <c r="G90" s="300" t="s">
        <v>3167</v>
      </c>
      <c r="H90" s="301" t="s">
        <v>1492</v>
      </c>
      <c r="I90" s="302" t="s">
        <v>1492</v>
      </c>
      <c r="J90" s="340" t="s">
        <v>3174</v>
      </c>
      <c r="K90" s="343" t="s">
        <v>53</v>
      </c>
      <c r="L90" s="256">
        <f>CONTINUA!BV90</f>
        <v>0</v>
      </c>
      <c r="M90" s="256">
        <f>CONTINUA!BW90</f>
        <v>0</v>
      </c>
      <c r="N90" s="564"/>
      <c r="O90" s="565" t="s">
        <v>3348</v>
      </c>
      <c r="P90" s="566">
        <v>0</v>
      </c>
      <c r="Q90" s="319">
        <v>0</v>
      </c>
      <c r="R90" s="320">
        <v>0</v>
      </c>
      <c r="S90" s="319">
        <v>0</v>
      </c>
      <c r="T90" s="320">
        <v>0</v>
      </c>
      <c r="U90" s="321">
        <v>0</v>
      </c>
      <c r="V90" s="322">
        <v>0</v>
      </c>
      <c r="W90" s="319">
        <v>0</v>
      </c>
      <c r="X90" s="320">
        <v>0</v>
      </c>
      <c r="Y90" s="319">
        <v>0</v>
      </c>
      <c r="Z90" s="320">
        <v>0</v>
      </c>
      <c r="AA90" s="321">
        <v>0</v>
      </c>
      <c r="AB90" s="322">
        <v>0</v>
      </c>
      <c r="AC90" s="319">
        <v>0</v>
      </c>
      <c r="AD90" s="320">
        <v>0</v>
      </c>
      <c r="AE90" s="319">
        <v>0</v>
      </c>
      <c r="AF90" s="320">
        <v>0</v>
      </c>
      <c r="AG90" s="321">
        <v>0</v>
      </c>
      <c r="AH90" s="322">
        <v>0</v>
      </c>
      <c r="AI90" s="319">
        <v>0</v>
      </c>
      <c r="AJ90" s="320">
        <v>0</v>
      </c>
      <c r="AK90" s="319">
        <v>0</v>
      </c>
      <c r="AL90" s="320">
        <v>0</v>
      </c>
      <c r="AM90" s="321">
        <v>0</v>
      </c>
      <c r="AN90" s="322">
        <v>0</v>
      </c>
      <c r="AO90" s="319">
        <v>0</v>
      </c>
      <c r="AP90" s="320">
        <v>0</v>
      </c>
      <c r="AQ90" s="319">
        <v>0</v>
      </c>
      <c r="AR90" s="320">
        <v>0</v>
      </c>
      <c r="AS90" s="321">
        <v>0</v>
      </c>
      <c r="AT90" s="322">
        <v>0</v>
      </c>
      <c r="AU90" s="319">
        <v>0</v>
      </c>
      <c r="AV90" s="320">
        <v>0</v>
      </c>
      <c r="AW90" s="319">
        <v>0</v>
      </c>
      <c r="AX90" s="320">
        <v>0</v>
      </c>
      <c r="AY90" s="321">
        <v>0</v>
      </c>
      <c r="AZ90" s="322">
        <v>0</v>
      </c>
      <c r="BA90" s="319">
        <v>0</v>
      </c>
      <c r="BB90" s="320">
        <v>0</v>
      </c>
      <c r="BC90" s="319">
        <v>0</v>
      </c>
      <c r="BD90" s="320">
        <v>0</v>
      </c>
      <c r="BE90" s="321">
        <v>0</v>
      </c>
      <c r="BF90" s="322">
        <v>0</v>
      </c>
      <c r="BG90" s="319">
        <v>0</v>
      </c>
      <c r="BH90" s="320">
        <v>0</v>
      </c>
      <c r="BI90" s="319">
        <v>0</v>
      </c>
      <c r="BJ90" s="320">
        <v>0</v>
      </c>
      <c r="BK90" s="321">
        <v>0</v>
      </c>
      <c r="BL90" s="322">
        <v>0</v>
      </c>
      <c r="BM90" s="319">
        <v>0</v>
      </c>
      <c r="BN90" s="320">
        <v>0</v>
      </c>
      <c r="BO90" s="319">
        <v>0</v>
      </c>
      <c r="BP90" s="320">
        <v>0</v>
      </c>
      <c r="BQ90" s="321">
        <v>0</v>
      </c>
      <c r="BR90" s="322">
        <v>0</v>
      </c>
      <c r="BS90" s="319">
        <v>0</v>
      </c>
      <c r="BT90" s="320">
        <v>0</v>
      </c>
      <c r="BU90" s="319">
        <v>0</v>
      </c>
      <c r="BV90" s="320">
        <v>0</v>
      </c>
      <c r="BW90" s="321">
        <v>0</v>
      </c>
      <c r="BX90" s="322">
        <v>0</v>
      </c>
      <c r="BY90" s="319">
        <v>0</v>
      </c>
      <c r="BZ90" s="320">
        <v>0</v>
      </c>
      <c r="CA90" s="319">
        <v>0</v>
      </c>
      <c r="CB90" s="320">
        <v>0</v>
      </c>
      <c r="CC90" s="321">
        <v>0</v>
      </c>
      <c r="CD90" s="322">
        <v>0</v>
      </c>
      <c r="CE90" s="319">
        <v>0</v>
      </c>
      <c r="CF90" s="320">
        <v>0</v>
      </c>
      <c r="CG90" s="319">
        <v>0</v>
      </c>
      <c r="CH90" s="320">
        <v>0</v>
      </c>
      <c r="CI90" s="321">
        <v>0</v>
      </c>
      <c r="CJ90" s="322">
        <v>0</v>
      </c>
      <c r="CK90" s="319">
        <v>0</v>
      </c>
      <c r="CL90" s="320">
        <v>0</v>
      </c>
      <c r="CM90" s="319">
        <v>0</v>
      </c>
      <c r="CN90" s="320">
        <v>0</v>
      </c>
      <c r="CO90" s="321">
        <v>0</v>
      </c>
      <c r="CP90" s="322">
        <v>0</v>
      </c>
      <c r="CQ90" s="319">
        <v>0</v>
      </c>
      <c r="CR90" s="320">
        <v>0</v>
      </c>
      <c r="CS90" s="319">
        <v>0</v>
      </c>
      <c r="CT90" s="320">
        <v>0</v>
      </c>
      <c r="CU90" s="321">
        <v>0</v>
      </c>
      <c r="CV90" s="322">
        <v>0</v>
      </c>
      <c r="CW90" s="319">
        <v>0</v>
      </c>
      <c r="CX90" s="320">
        <v>0</v>
      </c>
      <c r="CY90" s="319">
        <v>0</v>
      </c>
      <c r="CZ90" s="320">
        <v>0</v>
      </c>
      <c r="DA90" s="321">
        <v>0</v>
      </c>
      <c r="DB90" s="322">
        <v>0</v>
      </c>
      <c r="DC90" s="319">
        <v>0</v>
      </c>
      <c r="DD90" s="320">
        <v>0</v>
      </c>
      <c r="DE90" s="319">
        <v>0</v>
      </c>
      <c r="DF90" s="320">
        <v>0</v>
      </c>
      <c r="DG90" s="321">
        <v>0</v>
      </c>
      <c r="DH90" s="322">
        <v>0</v>
      </c>
      <c r="DI90" s="319">
        <v>0</v>
      </c>
      <c r="DJ90" s="320">
        <v>0</v>
      </c>
      <c r="DK90" s="319">
        <v>0</v>
      </c>
      <c r="DL90" s="320">
        <v>0</v>
      </c>
      <c r="DM90" s="321">
        <v>0</v>
      </c>
      <c r="DN90" s="322">
        <v>0</v>
      </c>
      <c r="DO90" s="319">
        <v>0</v>
      </c>
      <c r="DP90" s="320">
        <v>0</v>
      </c>
      <c r="DQ90" s="319">
        <v>0</v>
      </c>
      <c r="DR90" s="320">
        <v>0</v>
      </c>
      <c r="DS90" s="321">
        <v>0</v>
      </c>
      <c r="DT90" s="322">
        <v>0</v>
      </c>
      <c r="DU90" s="319">
        <v>0</v>
      </c>
      <c r="DV90" s="320">
        <v>0</v>
      </c>
      <c r="DW90" s="319">
        <v>0</v>
      </c>
      <c r="DX90" s="320">
        <v>0</v>
      </c>
      <c r="DY90" s="321">
        <v>0</v>
      </c>
      <c r="DZ90" s="322">
        <v>0</v>
      </c>
      <c r="EA90" s="319">
        <v>0</v>
      </c>
      <c r="EB90" s="320">
        <v>0</v>
      </c>
      <c r="EC90" s="319">
        <v>0</v>
      </c>
      <c r="ED90" s="320">
        <v>0</v>
      </c>
      <c r="EE90" s="321">
        <v>0</v>
      </c>
      <c r="EF90" s="322">
        <v>0</v>
      </c>
      <c r="EG90" s="319">
        <v>0</v>
      </c>
      <c r="EH90" s="320">
        <v>0</v>
      </c>
      <c r="EI90" s="319">
        <v>0</v>
      </c>
      <c r="EJ90" s="320">
        <v>0</v>
      </c>
      <c r="EK90" s="321">
        <v>0</v>
      </c>
      <c r="EL90" s="322">
        <v>0</v>
      </c>
      <c r="EM90" s="319">
        <v>0</v>
      </c>
      <c r="EN90" s="320">
        <v>0</v>
      </c>
      <c r="EO90" s="319">
        <v>0</v>
      </c>
      <c r="EP90" s="320">
        <v>0</v>
      </c>
      <c r="EQ90" s="321">
        <v>0</v>
      </c>
      <c r="ER90" s="322">
        <v>0</v>
      </c>
      <c r="ES90" s="319">
        <v>0</v>
      </c>
      <c r="ET90" s="320">
        <v>0</v>
      </c>
      <c r="EU90" s="319">
        <v>0</v>
      </c>
      <c r="EV90" s="320">
        <v>0</v>
      </c>
      <c r="EW90" s="321">
        <v>0</v>
      </c>
      <c r="EX90" s="322">
        <v>0</v>
      </c>
      <c r="EY90" s="319">
        <v>0</v>
      </c>
      <c r="EZ90" s="320">
        <v>0</v>
      </c>
      <c r="FA90" s="319">
        <v>0</v>
      </c>
      <c r="FB90" s="320">
        <v>0</v>
      </c>
      <c r="FC90" s="321">
        <v>0</v>
      </c>
      <c r="FD90" s="322">
        <v>0</v>
      </c>
      <c r="FE90" s="319">
        <v>0</v>
      </c>
      <c r="FF90" s="320">
        <v>0</v>
      </c>
      <c r="FG90" s="319">
        <v>0</v>
      </c>
      <c r="FH90" s="320">
        <v>0</v>
      </c>
      <c r="FI90" s="321">
        <v>0</v>
      </c>
      <c r="FJ90" s="322">
        <v>0</v>
      </c>
      <c r="FK90" s="319">
        <v>0</v>
      </c>
      <c r="FL90" s="320">
        <v>0</v>
      </c>
      <c r="FM90" s="319">
        <v>0</v>
      </c>
      <c r="FN90" s="320">
        <v>0</v>
      </c>
      <c r="FO90" s="321">
        <v>0</v>
      </c>
      <c r="FP90" s="322">
        <v>0</v>
      </c>
      <c r="FQ90" s="319">
        <v>0</v>
      </c>
      <c r="FR90" s="320">
        <v>0</v>
      </c>
      <c r="FS90" s="319">
        <v>0</v>
      </c>
      <c r="FT90" s="320">
        <v>0</v>
      </c>
      <c r="FU90" s="321">
        <v>0</v>
      </c>
      <c r="FV90" s="322">
        <v>0</v>
      </c>
      <c r="FW90" s="319">
        <v>0</v>
      </c>
      <c r="FX90" s="320">
        <v>0</v>
      </c>
      <c r="FY90" s="319">
        <v>0</v>
      </c>
      <c r="FZ90" s="320">
        <v>0</v>
      </c>
      <c r="GA90" s="321">
        <v>0</v>
      </c>
      <c r="GB90" s="322">
        <v>0</v>
      </c>
      <c r="GC90" s="319">
        <v>0</v>
      </c>
      <c r="GD90" s="320">
        <v>0</v>
      </c>
      <c r="GE90" s="319">
        <v>0</v>
      </c>
      <c r="GF90" s="320">
        <v>0</v>
      </c>
      <c r="GG90" s="321">
        <v>0</v>
      </c>
      <c r="GH90" s="322">
        <v>0</v>
      </c>
      <c r="GI90" s="319">
        <v>0</v>
      </c>
      <c r="GJ90" s="320">
        <v>0</v>
      </c>
      <c r="GK90" s="319">
        <v>0</v>
      </c>
      <c r="GL90" s="320">
        <v>0</v>
      </c>
      <c r="GM90" s="321">
        <v>0</v>
      </c>
      <c r="GN90" s="322">
        <v>0</v>
      </c>
      <c r="GO90" s="319">
        <v>0</v>
      </c>
      <c r="GP90" s="320">
        <v>0</v>
      </c>
      <c r="GQ90" s="319">
        <v>0</v>
      </c>
      <c r="GR90" s="320">
        <v>0</v>
      </c>
      <c r="GS90" s="321">
        <v>0</v>
      </c>
      <c r="GT90" s="322">
        <v>0</v>
      </c>
      <c r="GU90" s="319">
        <v>0</v>
      </c>
      <c r="GV90" s="320">
        <v>0</v>
      </c>
      <c r="GW90" s="319">
        <v>0</v>
      </c>
      <c r="GX90" s="320">
        <v>0</v>
      </c>
      <c r="GY90" s="321">
        <v>0</v>
      </c>
      <c r="GZ90" s="322">
        <v>0</v>
      </c>
    </row>
    <row r="91" spans="1:208" s="89" customFormat="1" ht="22.5" customHeight="1" x14ac:dyDescent="0.2">
      <c r="A91" t="s">
        <v>3245</v>
      </c>
      <c r="B91" s="429" t="s">
        <v>3246</v>
      </c>
      <c r="C91" s="430">
        <v>1</v>
      </c>
      <c r="D91" s="431" t="s">
        <v>3247</v>
      </c>
      <c r="E91" s="431" t="s">
        <v>3248</v>
      </c>
      <c r="F91" s="432" t="s">
        <v>3166</v>
      </c>
      <c r="G91" s="432" t="s">
        <v>3167</v>
      </c>
      <c r="H91" s="270" t="s">
        <v>1493</v>
      </c>
      <c r="I91" s="271" t="s">
        <v>1493</v>
      </c>
      <c r="J91" s="328" t="s">
        <v>3168</v>
      </c>
      <c r="K91" s="329" t="s">
        <v>3169</v>
      </c>
      <c r="L91" s="256">
        <f>CONTINUA!BV91</f>
        <v>0</v>
      </c>
      <c r="M91" s="256">
        <f>CONTINUA!BW91</f>
        <v>0</v>
      </c>
      <c r="N91" s="564"/>
      <c r="O91" s="565" t="s">
        <v>3349</v>
      </c>
      <c r="P91" s="566">
        <v>0</v>
      </c>
      <c r="Q91" s="319">
        <v>45</v>
      </c>
      <c r="R91" s="320"/>
      <c r="S91" s="319">
        <v>0</v>
      </c>
      <c r="T91" s="320"/>
      <c r="U91" s="321">
        <v>0</v>
      </c>
      <c r="V91" s="322">
        <v>0</v>
      </c>
      <c r="W91" s="319">
        <v>45</v>
      </c>
      <c r="X91" s="320"/>
      <c r="Y91" s="319">
        <v>0</v>
      </c>
      <c r="Z91" s="320"/>
      <c r="AA91" s="321">
        <v>0</v>
      </c>
      <c r="AB91" s="322">
        <v>0</v>
      </c>
      <c r="AC91" s="319">
        <v>45</v>
      </c>
      <c r="AD91" s="320"/>
      <c r="AE91" s="319">
        <v>0</v>
      </c>
      <c r="AF91" s="320"/>
      <c r="AG91" s="321">
        <v>0</v>
      </c>
      <c r="AH91" s="322">
        <v>0</v>
      </c>
      <c r="AI91" s="319">
        <v>45</v>
      </c>
      <c r="AJ91" s="320"/>
      <c r="AK91" s="319">
        <v>0</v>
      </c>
      <c r="AL91" s="320"/>
      <c r="AM91" s="321">
        <v>0</v>
      </c>
      <c r="AN91" s="322">
        <v>0</v>
      </c>
      <c r="AO91" s="319">
        <v>45</v>
      </c>
      <c r="AP91" s="320"/>
      <c r="AQ91" s="319">
        <v>0</v>
      </c>
      <c r="AR91" s="320"/>
      <c r="AS91" s="321">
        <v>0</v>
      </c>
      <c r="AT91" s="322">
        <v>0</v>
      </c>
      <c r="AU91" s="319">
        <v>45</v>
      </c>
      <c r="AV91" s="320"/>
      <c r="AW91" s="319">
        <v>0</v>
      </c>
      <c r="AX91" s="320"/>
      <c r="AY91" s="321">
        <v>0</v>
      </c>
      <c r="AZ91" s="322">
        <v>0</v>
      </c>
      <c r="BA91" s="319">
        <v>45</v>
      </c>
      <c r="BB91" s="320"/>
      <c r="BC91" s="319">
        <v>0</v>
      </c>
      <c r="BD91" s="320"/>
      <c r="BE91" s="321">
        <v>0</v>
      </c>
      <c r="BF91" s="322">
        <v>0</v>
      </c>
      <c r="BG91" s="319">
        <v>45</v>
      </c>
      <c r="BH91" s="320"/>
      <c r="BI91" s="319">
        <v>0</v>
      </c>
      <c r="BJ91" s="320"/>
      <c r="BK91" s="321">
        <v>0</v>
      </c>
      <c r="BL91" s="322">
        <v>0</v>
      </c>
      <c r="BM91" s="319">
        <v>45</v>
      </c>
      <c r="BN91" s="320"/>
      <c r="BO91" s="319">
        <v>0</v>
      </c>
      <c r="BP91" s="320"/>
      <c r="BQ91" s="321">
        <v>0</v>
      </c>
      <c r="BR91" s="322">
        <v>0</v>
      </c>
      <c r="BS91" s="319">
        <v>45</v>
      </c>
      <c r="BT91" s="320"/>
      <c r="BU91" s="319">
        <v>0</v>
      </c>
      <c r="BV91" s="320"/>
      <c r="BW91" s="321">
        <v>0</v>
      </c>
      <c r="BX91" s="322">
        <v>0</v>
      </c>
      <c r="BY91" s="319">
        <v>45</v>
      </c>
      <c r="BZ91" s="320"/>
      <c r="CA91" s="319">
        <v>0</v>
      </c>
      <c r="CB91" s="320"/>
      <c r="CC91" s="321">
        <v>0</v>
      </c>
      <c r="CD91" s="322">
        <v>0</v>
      </c>
      <c r="CE91" s="319">
        <v>45</v>
      </c>
      <c r="CF91" s="320"/>
      <c r="CG91" s="319">
        <v>0</v>
      </c>
      <c r="CH91" s="320"/>
      <c r="CI91" s="321">
        <v>0</v>
      </c>
      <c r="CJ91" s="322">
        <v>0</v>
      </c>
      <c r="CK91" s="319">
        <v>45</v>
      </c>
      <c r="CL91" s="320"/>
      <c r="CM91" s="319">
        <v>0</v>
      </c>
      <c r="CN91" s="320"/>
      <c r="CO91" s="321">
        <v>0</v>
      </c>
      <c r="CP91" s="322">
        <v>0</v>
      </c>
      <c r="CQ91" s="319">
        <v>45</v>
      </c>
      <c r="CR91" s="320"/>
      <c r="CS91" s="319">
        <v>0</v>
      </c>
      <c r="CT91" s="320"/>
      <c r="CU91" s="321">
        <v>0</v>
      </c>
      <c r="CV91" s="322">
        <v>0</v>
      </c>
      <c r="CW91" s="319">
        <v>45</v>
      </c>
      <c r="CX91" s="320"/>
      <c r="CY91" s="319">
        <v>0</v>
      </c>
      <c r="CZ91" s="320"/>
      <c r="DA91" s="321">
        <v>0</v>
      </c>
      <c r="DB91" s="322">
        <v>0</v>
      </c>
      <c r="DC91" s="319">
        <v>45</v>
      </c>
      <c r="DD91" s="320"/>
      <c r="DE91" s="319">
        <v>0</v>
      </c>
      <c r="DF91" s="320"/>
      <c r="DG91" s="321">
        <v>0</v>
      </c>
      <c r="DH91" s="322">
        <v>0</v>
      </c>
      <c r="DI91" s="319">
        <v>45</v>
      </c>
      <c r="DJ91" s="320"/>
      <c r="DK91" s="319">
        <v>0</v>
      </c>
      <c r="DL91" s="320"/>
      <c r="DM91" s="321">
        <v>0</v>
      </c>
      <c r="DN91" s="322">
        <v>0</v>
      </c>
      <c r="DO91" s="319">
        <v>45</v>
      </c>
      <c r="DP91" s="320"/>
      <c r="DQ91" s="319">
        <v>0</v>
      </c>
      <c r="DR91" s="320"/>
      <c r="DS91" s="321">
        <v>0</v>
      </c>
      <c r="DT91" s="322">
        <v>0</v>
      </c>
      <c r="DU91" s="319">
        <v>45</v>
      </c>
      <c r="DV91" s="320"/>
      <c r="DW91" s="319">
        <v>0</v>
      </c>
      <c r="DX91" s="320"/>
      <c r="DY91" s="321">
        <v>0</v>
      </c>
      <c r="DZ91" s="322">
        <v>0</v>
      </c>
      <c r="EA91" s="319">
        <v>45</v>
      </c>
      <c r="EB91" s="320"/>
      <c r="EC91" s="319">
        <v>0</v>
      </c>
      <c r="ED91" s="320"/>
      <c r="EE91" s="321">
        <v>0</v>
      </c>
      <c r="EF91" s="322">
        <v>0</v>
      </c>
      <c r="EG91" s="319">
        <v>45</v>
      </c>
      <c r="EH91" s="320"/>
      <c r="EI91" s="319">
        <v>0</v>
      </c>
      <c r="EJ91" s="320"/>
      <c r="EK91" s="321">
        <v>0</v>
      </c>
      <c r="EL91" s="322">
        <v>0</v>
      </c>
      <c r="EM91" s="319">
        <v>45</v>
      </c>
      <c r="EN91" s="320"/>
      <c r="EO91" s="319">
        <v>0</v>
      </c>
      <c r="EP91" s="320"/>
      <c r="EQ91" s="321">
        <v>0</v>
      </c>
      <c r="ER91" s="322">
        <v>0</v>
      </c>
      <c r="ES91" s="319">
        <v>45</v>
      </c>
      <c r="ET91" s="320"/>
      <c r="EU91" s="319">
        <v>0</v>
      </c>
      <c r="EV91" s="320"/>
      <c r="EW91" s="321">
        <v>0</v>
      </c>
      <c r="EX91" s="322">
        <v>0</v>
      </c>
      <c r="EY91" s="319">
        <v>45</v>
      </c>
      <c r="EZ91" s="320"/>
      <c r="FA91" s="319">
        <v>0</v>
      </c>
      <c r="FB91" s="320"/>
      <c r="FC91" s="321">
        <v>0</v>
      </c>
      <c r="FD91" s="322">
        <v>0</v>
      </c>
      <c r="FE91" s="319">
        <v>45</v>
      </c>
      <c r="FF91" s="320"/>
      <c r="FG91" s="319">
        <v>0</v>
      </c>
      <c r="FH91" s="320"/>
      <c r="FI91" s="321">
        <v>0</v>
      </c>
      <c r="FJ91" s="322">
        <v>0</v>
      </c>
      <c r="FK91" s="319">
        <v>45</v>
      </c>
      <c r="FL91" s="320"/>
      <c r="FM91" s="319">
        <v>0</v>
      </c>
      <c r="FN91" s="320"/>
      <c r="FO91" s="321">
        <v>0</v>
      </c>
      <c r="FP91" s="322">
        <v>0</v>
      </c>
      <c r="FQ91" s="319">
        <v>45</v>
      </c>
      <c r="FR91" s="320"/>
      <c r="FS91" s="319">
        <v>0</v>
      </c>
      <c r="FT91" s="320"/>
      <c r="FU91" s="321">
        <v>0</v>
      </c>
      <c r="FV91" s="322">
        <v>0</v>
      </c>
      <c r="FW91" s="319">
        <v>45</v>
      </c>
      <c r="FX91" s="320"/>
      <c r="FY91" s="319">
        <v>0</v>
      </c>
      <c r="FZ91" s="320"/>
      <c r="GA91" s="321">
        <v>0</v>
      </c>
      <c r="GB91" s="322">
        <v>0</v>
      </c>
      <c r="GC91" s="319">
        <v>45</v>
      </c>
      <c r="GD91" s="320"/>
      <c r="GE91" s="319">
        <v>0</v>
      </c>
      <c r="GF91" s="320"/>
      <c r="GG91" s="321">
        <v>0</v>
      </c>
      <c r="GH91" s="322">
        <v>0</v>
      </c>
      <c r="GI91" s="319">
        <v>45</v>
      </c>
      <c r="GJ91" s="320"/>
      <c r="GK91" s="319">
        <v>0</v>
      </c>
      <c r="GL91" s="320"/>
      <c r="GM91" s="321">
        <v>0</v>
      </c>
      <c r="GN91" s="322">
        <v>0</v>
      </c>
      <c r="GO91" s="319">
        <v>45</v>
      </c>
      <c r="GP91" s="320"/>
      <c r="GQ91" s="319">
        <v>0</v>
      </c>
      <c r="GR91" s="320"/>
      <c r="GS91" s="321">
        <v>0</v>
      </c>
      <c r="GT91" s="322">
        <v>0</v>
      </c>
      <c r="GU91" s="319">
        <v>45</v>
      </c>
      <c r="GV91" s="320"/>
      <c r="GW91" s="319">
        <v>0</v>
      </c>
      <c r="GX91" s="320"/>
      <c r="GY91" s="321">
        <v>0</v>
      </c>
      <c r="GZ91" s="322">
        <v>0</v>
      </c>
    </row>
    <row r="92" spans="1:208" s="89" customFormat="1" ht="22.5" customHeight="1" x14ac:dyDescent="0.2">
      <c r="A92" s="287" t="s">
        <v>3245</v>
      </c>
      <c r="B92" s="288" t="s">
        <v>3246</v>
      </c>
      <c r="C92" s="289" t="s">
        <v>3170</v>
      </c>
      <c r="D92" s="290" t="s">
        <v>3247</v>
      </c>
      <c r="E92" s="290" t="s">
        <v>3248</v>
      </c>
      <c r="F92" s="291" t="s">
        <v>3166</v>
      </c>
      <c r="G92" s="291" t="s">
        <v>3167</v>
      </c>
      <c r="H92" s="292" t="s">
        <v>1493</v>
      </c>
      <c r="I92" s="293" t="s">
        <v>1493</v>
      </c>
      <c r="J92" s="340" t="s">
        <v>3168</v>
      </c>
      <c r="K92" s="340" t="s">
        <v>3171</v>
      </c>
      <c r="L92" s="256">
        <f>CONTINUA!BV92</f>
        <v>0</v>
      </c>
      <c r="M92" s="256">
        <f>CONTINUA!BW92</f>
        <v>0</v>
      </c>
      <c r="N92" s="564"/>
      <c r="O92" s="565" t="s">
        <v>3349</v>
      </c>
      <c r="P92" s="566">
        <v>0</v>
      </c>
      <c r="Q92" s="319">
        <v>0</v>
      </c>
      <c r="R92" s="320"/>
      <c r="S92" s="319">
        <v>0</v>
      </c>
      <c r="T92" s="320"/>
      <c r="U92" s="319">
        <v>0</v>
      </c>
      <c r="V92" s="320">
        <v>0</v>
      </c>
      <c r="W92" s="319">
        <v>0</v>
      </c>
      <c r="X92" s="320"/>
      <c r="Y92" s="319">
        <v>0</v>
      </c>
      <c r="Z92" s="320"/>
      <c r="AA92" s="319">
        <v>0</v>
      </c>
      <c r="AB92" s="320">
        <v>0</v>
      </c>
      <c r="AC92" s="319">
        <v>0</v>
      </c>
      <c r="AD92" s="320"/>
      <c r="AE92" s="319">
        <v>0</v>
      </c>
      <c r="AF92" s="320"/>
      <c r="AG92" s="319">
        <v>0</v>
      </c>
      <c r="AH92" s="320">
        <v>0</v>
      </c>
      <c r="AI92" s="319">
        <v>0</v>
      </c>
      <c r="AJ92" s="320"/>
      <c r="AK92" s="319">
        <v>0</v>
      </c>
      <c r="AL92" s="320"/>
      <c r="AM92" s="319">
        <v>0</v>
      </c>
      <c r="AN92" s="320">
        <v>0</v>
      </c>
      <c r="AO92" s="319">
        <v>0</v>
      </c>
      <c r="AP92" s="320"/>
      <c r="AQ92" s="319">
        <v>0</v>
      </c>
      <c r="AR92" s="320"/>
      <c r="AS92" s="319">
        <v>0</v>
      </c>
      <c r="AT92" s="320">
        <v>0</v>
      </c>
      <c r="AU92" s="319">
        <v>0</v>
      </c>
      <c r="AV92" s="320"/>
      <c r="AW92" s="319">
        <v>0</v>
      </c>
      <c r="AX92" s="320"/>
      <c r="AY92" s="319">
        <v>0</v>
      </c>
      <c r="AZ92" s="320">
        <v>0</v>
      </c>
      <c r="BA92" s="319">
        <v>0</v>
      </c>
      <c r="BB92" s="320"/>
      <c r="BC92" s="319">
        <v>0</v>
      </c>
      <c r="BD92" s="320"/>
      <c r="BE92" s="319">
        <v>0</v>
      </c>
      <c r="BF92" s="320">
        <v>0</v>
      </c>
      <c r="BG92" s="319">
        <v>0</v>
      </c>
      <c r="BH92" s="320"/>
      <c r="BI92" s="319">
        <v>0</v>
      </c>
      <c r="BJ92" s="320"/>
      <c r="BK92" s="319">
        <v>0</v>
      </c>
      <c r="BL92" s="320">
        <v>0</v>
      </c>
      <c r="BM92" s="319">
        <v>0</v>
      </c>
      <c r="BN92" s="320"/>
      <c r="BO92" s="319">
        <v>0</v>
      </c>
      <c r="BP92" s="320"/>
      <c r="BQ92" s="319">
        <v>0</v>
      </c>
      <c r="BR92" s="320">
        <v>0</v>
      </c>
      <c r="BS92" s="319">
        <v>0</v>
      </c>
      <c r="BT92" s="320"/>
      <c r="BU92" s="319">
        <v>0</v>
      </c>
      <c r="BV92" s="320"/>
      <c r="BW92" s="319">
        <v>0</v>
      </c>
      <c r="BX92" s="320">
        <v>0</v>
      </c>
      <c r="BY92" s="319">
        <v>0</v>
      </c>
      <c r="BZ92" s="320"/>
      <c r="CA92" s="319">
        <v>0</v>
      </c>
      <c r="CB92" s="320"/>
      <c r="CC92" s="319">
        <v>0</v>
      </c>
      <c r="CD92" s="320">
        <v>0</v>
      </c>
      <c r="CE92" s="319">
        <v>0</v>
      </c>
      <c r="CF92" s="320"/>
      <c r="CG92" s="319">
        <v>0</v>
      </c>
      <c r="CH92" s="320"/>
      <c r="CI92" s="319">
        <v>0</v>
      </c>
      <c r="CJ92" s="320">
        <v>0</v>
      </c>
      <c r="CK92" s="319">
        <v>0</v>
      </c>
      <c r="CL92" s="320"/>
      <c r="CM92" s="319">
        <v>0</v>
      </c>
      <c r="CN92" s="320"/>
      <c r="CO92" s="319">
        <v>0</v>
      </c>
      <c r="CP92" s="320">
        <v>0</v>
      </c>
      <c r="CQ92" s="319">
        <v>0</v>
      </c>
      <c r="CR92" s="320"/>
      <c r="CS92" s="319">
        <v>0</v>
      </c>
      <c r="CT92" s="320"/>
      <c r="CU92" s="319">
        <v>0</v>
      </c>
      <c r="CV92" s="320">
        <v>0</v>
      </c>
      <c r="CW92" s="319">
        <v>0</v>
      </c>
      <c r="CX92" s="320"/>
      <c r="CY92" s="319">
        <v>0</v>
      </c>
      <c r="CZ92" s="320"/>
      <c r="DA92" s="319">
        <v>0</v>
      </c>
      <c r="DB92" s="320">
        <v>0</v>
      </c>
      <c r="DC92" s="319">
        <v>0</v>
      </c>
      <c r="DD92" s="320"/>
      <c r="DE92" s="319">
        <v>0</v>
      </c>
      <c r="DF92" s="320"/>
      <c r="DG92" s="319">
        <v>0</v>
      </c>
      <c r="DH92" s="320">
        <v>0</v>
      </c>
      <c r="DI92" s="319">
        <v>0</v>
      </c>
      <c r="DJ92" s="320"/>
      <c r="DK92" s="319">
        <v>0</v>
      </c>
      <c r="DL92" s="320"/>
      <c r="DM92" s="319">
        <v>0</v>
      </c>
      <c r="DN92" s="320">
        <v>0</v>
      </c>
      <c r="DO92" s="319">
        <v>0</v>
      </c>
      <c r="DP92" s="320"/>
      <c r="DQ92" s="319">
        <v>0</v>
      </c>
      <c r="DR92" s="320"/>
      <c r="DS92" s="319">
        <v>0</v>
      </c>
      <c r="DT92" s="320">
        <v>0</v>
      </c>
      <c r="DU92" s="319">
        <v>0</v>
      </c>
      <c r="DV92" s="320"/>
      <c r="DW92" s="319">
        <v>0</v>
      </c>
      <c r="DX92" s="320"/>
      <c r="DY92" s="319">
        <v>0</v>
      </c>
      <c r="DZ92" s="320">
        <v>0</v>
      </c>
      <c r="EA92" s="319">
        <v>0</v>
      </c>
      <c r="EB92" s="320"/>
      <c r="EC92" s="319">
        <v>0</v>
      </c>
      <c r="ED92" s="320"/>
      <c r="EE92" s="319">
        <v>0</v>
      </c>
      <c r="EF92" s="320">
        <v>0</v>
      </c>
      <c r="EG92" s="319">
        <v>0</v>
      </c>
      <c r="EH92" s="320"/>
      <c r="EI92" s="319">
        <v>0</v>
      </c>
      <c r="EJ92" s="320"/>
      <c r="EK92" s="319">
        <v>0</v>
      </c>
      <c r="EL92" s="320">
        <v>0</v>
      </c>
      <c r="EM92" s="319">
        <v>0</v>
      </c>
      <c r="EN92" s="320"/>
      <c r="EO92" s="319">
        <v>0</v>
      </c>
      <c r="EP92" s="320"/>
      <c r="EQ92" s="319">
        <v>0</v>
      </c>
      <c r="ER92" s="320">
        <v>0</v>
      </c>
      <c r="ES92" s="319">
        <v>0</v>
      </c>
      <c r="ET92" s="320"/>
      <c r="EU92" s="319">
        <v>0</v>
      </c>
      <c r="EV92" s="320"/>
      <c r="EW92" s="319">
        <v>0</v>
      </c>
      <c r="EX92" s="320">
        <v>0</v>
      </c>
      <c r="EY92" s="319">
        <v>0</v>
      </c>
      <c r="EZ92" s="320"/>
      <c r="FA92" s="319">
        <v>0</v>
      </c>
      <c r="FB92" s="320"/>
      <c r="FC92" s="319">
        <v>0</v>
      </c>
      <c r="FD92" s="320">
        <v>0</v>
      </c>
      <c r="FE92" s="319">
        <v>0</v>
      </c>
      <c r="FF92" s="320"/>
      <c r="FG92" s="319">
        <v>0</v>
      </c>
      <c r="FH92" s="320"/>
      <c r="FI92" s="319">
        <v>0</v>
      </c>
      <c r="FJ92" s="320">
        <v>0</v>
      </c>
      <c r="FK92" s="319">
        <v>0</v>
      </c>
      <c r="FL92" s="320"/>
      <c r="FM92" s="319">
        <v>0</v>
      </c>
      <c r="FN92" s="320"/>
      <c r="FO92" s="319">
        <v>0</v>
      </c>
      <c r="FP92" s="320">
        <v>0</v>
      </c>
      <c r="FQ92" s="319">
        <v>0</v>
      </c>
      <c r="FR92" s="320"/>
      <c r="FS92" s="319">
        <v>0</v>
      </c>
      <c r="FT92" s="320"/>
      <c r="FU92" s="319">
        <v>0</v>
      </c>
      <c r="FV92" s="320">
        <v>0</v>
      </c>
      <c r="FW92" s="319">
        <v>0</v>
      </c>
      <c r="FX92" s="320"/>
      <c r="FY92" s="319">
        <v>0</v>
      </c>
      <c r="FZ92" s="320"/>
      <c r="GA92" s="319">
        <v>0</v>
      </c>
      <c r="GB92" s="320">
        <v>0</v>
      </c>
      <c r="GC92" s="319">
        <v>0</v>
      </c>
      <c r="GD92" s="320"/>
      <c r="GE92" s="319">
        <v>0</v>
      </c>
      <c r="GF92" s="320"/>
      <c r="GG92" s="319">
        <v>0</v>
      </c>
      <c r="GH92" s="320">
        <v>0</v>
      </c>
      <c r="GI92" s="319">
        <v>0</v>
      </c>
      <c r="GJ92" s="320"/>
      <c r="GK92" s="319">
        <v>0</v>
      </c>
      <c r="GL92" s="320"/>
      <c r="GM92" s="319">
        <v>0</v>
      </c>
      <c r="GN92" s="320">
        <v>0</v>
      </c>
      <c r="GO92" s="319">
        <v>0</v>
      </c>
      <c r="GP92" s="320"/>
      <c r="GQ92" s="319">
        <v>0</v>
      </c>
      <c r="GR92" s="320"/>
      <c r="GS92" s="319">
        <v>0</v>
      </c>
      <c r="GT92" s="320">
        <v>0</v>
      </c>
      <c r="GU92" s="319">
        <v>0</v>
      </c>
      <c r="GV92" s="320"/>
      <c r="GW92" s="319">
        <v>0</v>
      </c>
      <c r="GX92" s="320"/>
      <c r="GY92" s="319">
        <v>0</v>
      </c>
      <c r="GZ92" s="320">
        <v>0</v>
      </c>
    </row>
    <row r="93" spans="1:208" s="89" customFormat="1" ht="22.5" customHeight="1" x14ac:dyDescent="0.2">
      <c r="A93" s="287" t="s">
        <v>3245</v>
      </c>
      <c r="B93" s="288" t="s">
        <v>3246</v>
      </c>
      <c r="C93" s="294" t="s">
        <v>3170</v>
      </c>
      <c r="D93" s="290" t="s">
        <v>3247</v>
      </c>
      <c r="E93" s="290" t="s">
        <v>3248</v>
      </c>
      <c r="F93" s="295" t="s">
        <v>3166</v>
      </c>
      <c r="G93" s="295" t="s">
        <v>3167</v>
      </c>
      <c r="H93" s="292" t="s">
        <v>1493</v>
      </c>
      <c r="I93" s="293" t="s">
        <v>1493</v>
      </c>
      <c r="J93" s="340" t="s">
        <v>3168</v>
      </c>
      <c r="K93" s="341" t="s">
        <v>3172</v>
      </c>
      <c r="L93" s="256">
        <f>CONTINUA!BV93</f>
        <v>0</v>
      </c>
      <c r="M93" s="256">
        <f>CONTINUA!BW93</f>
        <v>0</v>
      </c>
      <c r="N93" s="564"/>
      <c r="O93" s="565" t="s">
        <v>3349</v>
      </c>
      <c r="P93" s="566">
        <v>0</v>
      </c>
      <c r="Q93" s="319">
        <v>0</v>
      </c>
      <c r="R93" s="320"/>
      <c r="S93" s="319">
        <v>0</v>
      </c>
      <c r="T93" s="320"/>
      <c r="U93" s="319">
        <v>0</v>
      </c>
      <c r="V93" s="320">
        <v>0</v>
      </c>
      <c r="W93" s="319">
        <v>0</v>
      </c>
      <c r="X93" s="320"/>
      <c r="Y93" s="319">
        <v>0</v>
      </c>
      <c r="Z93" s="320"/>
      <c r="AA93" s="319">
        <v>0</v>
      </c>
      <c r="AB93" s="320">
        <v>0</v>
      </c>
      <c r="AC93" s="319">
        <v>0</v>
      </c>
      <c r="AD93" s="320"/>
      <c r="AE93" s="319">
        <v>0</v>
      </c>
      <c r="AF93" s="320"/>
      <c r="AG93" s="319">
        <v>0</v>
      </c>
      <c r="AH93" s="320">
        <v>0</v>
      </c>
      <c r="AI93" s="319">
        <v>0</v>
      </c>
      <c r="AJ93" s="320"/>
      <c r="AK93" s="319">
        <v>0</v>
      </c>
      <c r="AL93" s="320"/>
      <c r="AM93" s="319">
        <v>0</v>
      </c>
      <c r="AN93" s="320">
        <v>0</v>
      </c>
      <c r="AO93" s="319">
        <v>0</v>
      </c>
      <c r="AP93" s="320"/>
      <c r="AQ93" s="319">
        <v>0</v>
      </c>
      <c r="AR93" s="320"/>
      <c r="AS93" s="319">
        <v>0</v>
      </c>
      <c r="AT93" s="320">
        <v>0</v>
      </c>
      <c r="AU93" s="319">
        <v>0</v>
      </c>
      <c r="AV93" s="320"/>
      <c r="AW93" s="319">
        <v>0</v>
      </c>
      <c r="AX93" s="320"/>
      <c r="AY93" s="319">
        <v>0</v>
      </c>
      <c r="AZ93" s="320">
        <v>0</v>
      </c>
      <c r="BA93" s="319">
        <v>0</v>
      </c>
      <c r="BB93" s="320"/>
      <c r="BC93" s="319">
        <v>0</v>
      </c>
      <c r="BD93" s="320"/>
      <c r="BE93" s="319">
        <v>0</v>
      </c>
      <c r="BF93" s="320">
        <v>0</v>
      </c>
      <c r="BG93" s="319">
        <v>0</v>
      </c>
      <c r="BH93" s="320"/>
      <c r="BI93" s="319">
        <v>0</v>
      </c>
      <c r="BJ93" s="320"/>
      <c r="BK93" s="319">
        <v>0</v>
      </c>
      <c r="BL93" s="320">
        <v>0</v>
      </c>
      <c r="BM93" s="319">
        <v>0</v>
      </c>
      <c r="BN93" s="320"/>
      <c r="BO93" s="319">
        <v>0</v>
      </c>
      <c r="BP93" s="320"/>
      <c r="BQ93" s="319">
        <v>0</v>
      </c>
      <c r="BR93" s="320">
        <v>0</v>
      </c>
      <c r="BS93" s="319">
        <v>0</v>
      </c>
      <c r="BT93" s="320"/>
      <c r="BU93" s="319">
        <v>0</v>
      </c>
      <c r="BV93" s="320"/>
      <c r="BW93" s="319">
        <v>0</v>
      </c>
      <c r="BX93" s="320">
        <v>0</v>
      </c>
      <c r="BY93" s="319">
        <v>0</v>
      </c>
      <c r="BZ93" s="320"/>
      <c r="CA93" s="319">
        <v>0</v>
      </c>
      <c r="CB93" s="320"/>
      <c r="CC93" s="319">
        <v>0</v>
      </c>
      <c r="CD93" s="320">
        <v>0</v>
      </c>
      <c r="CE93" s="319">
        <v>0</v>
      </c>
      <c r="CF93" s="320"/>
      <c r="CG93" s="319">
        <v>0</v>
      </c>
      <c r="CH93" s="320"/>
      <c r="CI93" s="319">
        <v>0</v>
      </c>
      <c r="CJ93" s="320">
        <v>0</v>
      </c>
      <c r="CK93" s="319">
        <v>0</v>
      </c>
      <c r="CL93" s="320"/>
      <c r="CM93" s="319">
        <v>0</v>
      </c>
      <c r="CN93" s="320"/>
      <c r="CO93" s="319">
        <v>0</v>
      </c>
      <c r="CP93" s="320">
        <v>0</v>
      </c>
      <c r="CQ93" s="319">
        <v>0</v>
      </c>
      <c r="CR93" s="320"/>
      <c r="CS93" s="319">
        <v>0</v>
      </c>
      <c r="CT93" s="320"/>
      <c r="CU93" s="319">
        <v>0</v>
      </c>
      <c r="CV93" s="320">
        <v>0</v>
      </c>
      <c r="CW93" s="319">
        <v>0</v>
      </c>
      <c r="CX93" s="320"/>
      <c r="CY93" s="319">
        <v>0</v>
      </c>
      <c r="CZ93" s="320"/>
      <c r="DA93" s="319">
        <v>0</v>
      </c>
      <c r="DB93" s="320">
        <v>0</v>
      </c>
      <c r="DC93" s="319">
        <v>0</v>
      </c>
      <c r="DD93" s="320"/>
      <c r="DE93" s="319">
        <v>0</v>
      </c>
      <c r="DF93" s="320"/>
      <c r="DG93" s="319">
        <v>0</v>
      </c>
      <c r="DH93" s="320">
        <v>0</v>
      </c>
      <c r="DI93" s="319">
        <v>0</v>
      </c>
      <c r="DJ93" s="320"/>
      <c r="DK93" s="319">
        <v>0</v>
      </c>
      <c r="DL93" s="320"/>
      <c r="DM93" s="319">
        <v>0</v>
      </c>
      <c r="DN93" s="320">
        <v>0</v>
      </c>
      <c r="DO93" s="319">
        <v>0</v>
      </c>
      <c r="DP93" s="320"/>
      <c r="DQ93" s="319">
        <v>0</v>
      </c>
      <c r="DR93" s="320"/>
      <c r="DS93" s="319">
        <v>0</v>
      </c>
      <c r="DT93" s="320">
        <v>0</v>
      </c>
      <c r="DU93" s="319">
        <v>0</v>
      </c>
      <c r="DV93" s="320"/>
      <c r="DW93" s="319">
        <v>0</v>
      </c>
      <c r="DX93" s="320"/>
      <c r="DY93" s="319">
        <v>0</v>
      </c>
      <c r="DZ93" s="320">
        <v>0</v>
      </c>
      <c r="EA93" s="319">
        <v>0</v>
      </c>
      <c r="EB93" s="320"/>
      <c r="EC93" s="319">
        <v>0</v>
      </c>
      <c r="ED93" s="320"/>
      <c r="EE93" s="319">
        <v>0</v>
      </c>
      <c r="EF93" s="320">
        <v>0</v>
      </c>
      <c r="EG93" s="319">
        <v>0</v>
      </c>
      <c r="EH93" s="320"/>
      <c r="EI93" s="319">
        <v>0</v>
      </c>
      <c r="EJ93" s="320"/>
      <c r="EK93" s="319">
        <v>0</v>
      </c>
      <c r="EL93" s="320">
        <v>0</v>
      </c>
      <c r="EM93" s="319">
        <v>0</v>
      </c>
      <c r="EN93" s="320"/>
      <c r="EO93" s="319">
        <v>0</v>
      </c>
      <c r="EP93" s="320"/>
      <c r="EQ93" s="319">
        <v>0</v>
      </c>
      <c r="ER93" s="320">
        <v>0</v>
      </c>
      <c r="ES93" s="319">
        <v>0</v>
      </c>
      <c r="ET93" s="320"/>
      <c r="EU93" s="319">
        <v>0</v>
      </c>
      <c r="EV93" s="320"/>
      <c r="EW93" s="319">
        <v>0</v>
      </c>
      <c r="EX93" s="320">
        <v>0</v>
      </c>
      <c r="EY93" s="319">
        <v>0</v>
      </c>
      <c r="EZ93" s="320"/>
      <c r="FA93" s="319">
        <v>0</v>
      </c>
      <c r="FB93" s="320"/>
      <c r="FC93" s="319">
        <v>0</v>
      </c>
      <c r="FD93" s="320">
        <v>0</v>
      </c>
      <c r="FE93" s="319">
        <v>0</v>
      </c>
      <c r="FF93" s="320"/>
      <c r="FG93" s="319">
        <v>0</v>
      </c>
      <c r="FH93" s="320"/>
      <c r="FI93" s="319">
        <v>0</v>
      </c>
      <c r="FJ93" s="320">
        <v>0</v>
      </c>
      <c r="FK93" s="319">
        <v>0</v>
      </c>
      <c r="FL93" s="320"/>
      <c r="FM93" s="319">
        <v>0</v>
      </c>
      <c r="FN93" s="320"/>
      <c r="FO93" s="319">
        <v>0</v>
      </c>
      <c r="FP93" s="320">
        <v>0</v>
      </c>
      <c r="FQ93" s="319">
        <v>0</v>
      </c>
      <c r="FR93" s="320"/>
      <c r="FS93" s="319">
        <v>0</v>
      </c>
      <c r="FT93" s="320"/>
      <c r="FU93" s="319">
        <v>0</v>
      </c>
      <c r="FV93" s="320">
        <v>0</v>
      </c>
      <c r="FW93" s="319">
        <v>0</v>
      </c>
      <c r="FX93" s="320"/>
      <c r="FY93" s="319">
        <v>0</v>
      </c>
      <c r="FZ93" s="320"/>
      <c r="GA93" s="319">
        <v>0</v>
      </c>
      <c r="GB93" s="320">
        <v>0</v>
      </c>
      <c r="GC93" s="319">
        <v>0</v>
      </c>
      <c r="GD93" s="320"/>
      <c r="GE93" s="319">
        <v>0</v>
      </c>
      <c r="GF93" s="320"/>
      <c r="GG93" s="319">
        <v>0</v>
      </c>
      <c r="GH93" s="320">
        <v>0</v>
      </c>
      <c r="GI93" s="319">
        <v>0</v>
      </c>
      <c r="GJ93" s="320"/>
      <c r="GK93" s="319">
        <v>0</v>
      </c>
      <c r="GL93" s="320"/>
      <c r="GM93" s="319">
        <v>0</v>
      </c>
      <c r="GN93" s="320">
        <v>0</v>
      </c>
      <c r="GO93" s="319">
        <v>0</v>
      </c>
      <c r="GP93" s="320"/>
      <c r="GQ93" s="319">
        <v>0</v>
      </c>
      <c r="GR93" s="320"/>
      <c r="GS93" s="319">
        <v>0</v>
      </c>
      <c r="GT93" s="320">
        <v>0</v>
      </c>
      <c r="GU93" s="319">
        <v>0</v>
      </c>
      <c r="GV93" s="320"/>
      <c r="GW93" s="319">
        <v>0</v>
      </c>
      <c r="GX93" s="320"/>
      <c r="GY93" s="319">
        <v>0</v>
      </c>
      <c r="GZ93" s="320">
        <v>0</v>
      </c>
    </row>
    <row r="94" spans="1:208" s="89" customFormat="1" ht="22.5" customHeight="1" x14ac:dyDescent="0.2">
      <c r="A94" s="287" t="s">
        <v>3245</v>
      </c>
      <c r="B94" s="288" t="s">
        <v>3246</v>
      </c>
      <c r="C94" s="294" t="s">
        <v>3170</v>
      </c>
      <c r="D94" s="290" t="s">
        <v>3247</v>
      </c>
      <c r="E94" s="290" t="s">
        <v>3248</v>
      </c>
      <c r="F94" s="295" t="s">
        <v>3166</v>
      </c>
      <c r="G94" s="295" t="s">
        <v>3167</v>
      </c>
      <c r="H94" s="292" t="s">
        <v>1493</v>
      </c>
      <c r="I94" s="293" t="s">
        <v>1493</v>
      </c>
      <c r="J94" s="340" t="s">
        <v>3168</v>
      </c>
      <c r="K94" s="342" t="s">
        <v>3173</v>
      </c>
      <c r="L94" s="256">
        <f>CONTINUA!BV94</f>
        <v>0</v>
      </c>
      <c r="M94" s="256">
        <f>CONTINUA!BW94</f>
        <v>0</v>
      </c>
      <c r="N94" s="564"/>
      <c r="O94" s="565" t="s">
        <v>3349</v>
      </c>
      <c r="P94" s="566">
        <v>0</v>
      </c>
      <c r="Q94" s="319">
        <v>0</v>
      </c>
      <c r="R94" s="320"/>
      <c r="S94" s="319">
        <v>0</v>
      </c>
      <c r="T94" s="320"/>
      <c r="U94" s="319">
        <v>0</v>
      </c>
      <c r="V94" s="320">
        <v>0</v>
      </c>
      <c r="W94" s="319">
        <v>0</v>
      </c>
      <c r="X94" s="320"/>
      <c r="Y94" s="319">
        <v>0</v>
      </c>
      <c r="Z94" s="320"/>
      <c r="AA94" s="319">
        <v>0</v>
      </c>
      <c r="AB94" s="320">
        <v>0</v>
      </c>
      <c r="AC94" s="319">
        <v>0</v>
      </c>
      <c r="AD94" s="320"/>
      <c r="AE94" s="319">
        <v>0</v>
      </c>
      <c r="AF94" s="320"/>
      <c r="AG94" s="319">
        <v>0</v>
      </c>
      <c r="AH94" s="320">
        <v>0</v>
      </c>
      <c r="AI94" s="319">
        <v>0</v>
      </c>
      <c r="AJ94" s="320"/>
      <c r="AK94" s="319">
        <v>0</v>
      </c>
      <c r="AL94" s="320"/>
      <c r="AM94" s="319">
        <v>0</v>
      </c>
      <c r="AN94" s="320">
        <v>0</v>
      </c>
      <c r="AO94" s="319">
        <v>0</v>
      </c>
      <c r="AP94" s="320"/>
      <c r="AQ94" s="319">
        <v>0</v>
      </c>
      <c r="AR94" s="320"/>
      <c r="AS94" s="319">
        <v>0</v>
      </c>
      <c r="AT94" s="320">
        <v>0</v>
      </c>
      <c r="AU94" s="319">
        <v>0</v>
      </c>
      <c r="AV94" s="320"/>
      <c r="AW94" s="319">
        <v>0</v>
      </c>
      <c r="AX94" s="320"/>
      <c r="AY94" s="319">
        <v>0</v>
      </c>
      <c r="AZ94" s="320">
        <v>0</v>
      </c>
      <c r="BA94" s="319">
        <v>0</v>
      </c>
      <c r="BB94" s="320"/>
      <c r="BC94" s="319">
        <v>0</v>
      </c>
      <c r="BD94" s="320"/>
      <c r="BE94" s="319">
        <v>0</v>
      </c>
      <c r="BF94" s="320">
        <v>0</v>
      </c>
      <c r="BG94" s="319">
        <v>0</v>
      </c>
      <c r="BH94" s="320"/>
      <c r="BI94" s="319">
        <v>0</v>
      </c>
      <c r="BJ94" s="320"/>
      <c r="BK94" s="319">
        <v>0</v>
      </c>
      <c r="BL94" s="320">
        <v>0</v>
      </c>
      <c r="BM94" s="319">
        <v>0</v>
      </c>
      <c r="BN94" s="320"/>
      <c r="BO94" s="319">
        <v>0</v>
      </c>
      <c r="BP94" s="320"/>
      <c r="BQ94" s="319">
        <v>0</v>
      </c>
      <c r="BR94" s="320">
        <v>0</v>
      </c>
      <c r="BS94" s="319">
        <v>0</v>
      </c>
      <c r="BT94" s="320"/>
      <c r="BU94" s="319">
        <v>0</v>
      </c>
      <c r="BV94" s="320"/>
      <c r="BW94" s="319">
        <v>0</v>
      </c>
      <c r="BX94" s="320">
        <v>0</v>
      </c>
      <c r="BY94" s="319">
        <v>0</v>
      </c>
      <c r="BZ94" s="320"/>
      <c r="CA94" s="319">
        <v>0</v>
      </c>
      <c r="CB94" s="320"/>
      <c r="CC94" s="319">
        <v>0</v>
      </c>
      <c r="CD94" s="320">
        <v>0</v>
      </c>
      <c r="CE94" s="319">
        <v>0</v>
      </c>
      <c r="CF94" s="320"/>
      <c r="CG94" s="319">
        <v>0</v>
      </c>
      <c r="CH94" s="320"/>
      <c r="CI94" s="319">
        <v>0</v>
      </c>
      <c r="CJ94" s="320">
        <v>0</v>
      </c>
      <c r="CK94" s="319">
        <v>0</v>
      </c>
      <c r="CL94" s="320"/>
      <c r="CM94" s="319">
        <v>0</v>
      </c>
      <c r="CN94" s="320"/>
      <c r="CO94" s="319">
        <v>0</v>
      </c>
      <c r="CP94" s="320">
        <v>0</v>
      </c>
      <c r="CQ94" s="319">
        <v>0</v>
      </c>
      <c r="CR94" s="320"/>
      <c r="CS94" s="319">
        <v>0</v>
      </c>
      <c r="CT94" s="320"/>
      <c r="CU94" s="319">
        <v>0</v>
      </c>
      <c r="CV94" s="320">
        <v>0</v>
      </c>
      <c r="CW94" s="319">
        <v>0</v>
      </c>
      <c r="CX94" s="320"/>
      <c r="CY94" s="319">
        <v>0</v>
      </c>
      <c r="CZ94" s="320"/>
      <c r="DA94" s="319">
        <v>0</v>
      </c>
      <c r="DB94" s="320">
        <v>0</v>
      </c>
      <c r="DC94" s="319">
        <v>0</v>
      </c>
      <c r="DD94" s="320"/>
      <c r="DE94" s="319">
        <v>0</v>
      </c>
      <c r="DF94" s="320"/>
      <c r="DG94" s="319">
        <v>0</v>
      </c>
      <c r="DH94" s="320">
        <v>0</v>
      </c>
      <c r="DI94" s="319">
        <v>0</v>
      </c>
      <c r="DJ94" s="320"/>
      <c r="DK94" s="319">
        <v>0</v>
      </c>
      <c r="DL94" s="320"/>
      <c r="DM94" s="319">
        <v>0</v>
      </c>
      <c r="DN94" s="320">
        <v>0</v>
      </c>
      <c r="DO94" s="319">
        <v>0</v>
      </c>
      <c r="DP94" s="320"/>
      <c r="DQ94" s="319">
        <v>0</v>
      </c>
      <c r="DR94" s="320"/>
      <c r="DS94" s="319">
        <v>0</v>
      </c>
      <c r="DT94" s="320">
        <v>0</v>
      </c>
      <c r="DU94" s="319">
        <v>0</v>
      </c>
      <c r="DV94" s="320"/>
      <c r="DW94" s="319">
        <v>0</v>
      </c>
      <c r="DX94" s="320"/>
      <c r="DY94" s="319">
        <v>0</v>
      </c>
      <c r="DZ94" s="320">
        <v>0</v>
      </c>
      <c r="EA94" s="319">
        <v>0</v>
      </c>
      <c r="EB94" s="320"/>
      <c r="EC94" s="319">
        <v>0</v>
      </c>
      <c r="ED94" s="320"/>
      <c r="EE94" s="319">
        <v>0</v>
      </c>
      <c r="EF94" s="320">
        <v>0</v>
      </c>
      <c r="EG94" s="319">
        <v>0</v>
      </c>
      <c r="EH94" s="320"/>
      <c r="EI94" s="319">
        <v>0</v>
      </c>
      <c r="EJ94" s="320"/>
      <c r="EK94" s="319">
        <v>0</v>
      </c>
      <c r="EL94" s="320">
        <v>0</v>
      </c>
      <c r="EM94" s="319">
        <v>0</v>
      </c>
      <c r="EN94" s="320"/>
      <c r="EO94" s="319">
        <v>0</v>
      </c>
      <c r="EP94" s="320"/>
      <c r="EQ94" s="319">
        <v>0</v>
      </c>
      <c r="ER94" s="320">
        <v>0</v>
      </c>
      <c r="ES94" s="319">
        <v>0</v>
      </c>
      <c r="ET94" s="320"/>
      <c r="EU94" s="319">
        <v>0</v>
      </c>
      <c r="EV94" s="320"/>
      <c r="EW94" s="319">
        <v>0</v>
      </c>
      <c r="EX94" s="320">
        <v>0</v>
      </c>
      <c r="EY94" s="319">
        <v>0</v>
      </c>
      <c r="EZ94" s="320"/>
      <c r="FA94" s="319">
        <v>0</v>
      </c>
      <c r="FB94" s="320"/>
      <c r="FC94" s="319">
        <v>0</v>
      </c>
      <c r="FD94" s="320">
        <v>0</v>
      </c>
      <c r="FE94" s="319">
        <v>0</v>
      </c>
      <c r="FF94" s="320"/>
      <c r="FG94" s="319">
        <v>0</v>
      </c>
      <c r="FH94" s="320"/>
      <c r="FI94" s="319">
        <v>0</v>
      </c>
      <c r="FJ94" s="320">
        <v>0</v>
      </c>
      <c r="FK94" s="319">
        <v>0</v>
      </c>
      <c r="FL94" s="320"/>
      <c r="FM94" s="319">
        <v>0</v>
      </c>
      <c r="FN94" s="320"/>
      <c r="FO94" s="319">
        <v>0</v>
      </c>
      <c r="FP94" s="320">
        <v>0</v>
      </c>
      <c r="FQ94" s="319">
        <v>0</v>
      </c>
      <c r="FR94" s="320"/>
      <c r="FS94" s="319">
        <v>0</v>
      </c>
      <c r="FT94" s="320"/>
      <c r="FU94" s="319">
        <v>0</v>
      </c>
      <c r="FV94" s="320">
        <v>0</v>
      </c>
      <c r="FW94" s="319">
        <v>0</v>
      </c>
      <c r="FX94" s="320"/>
      <c r="FY94" s="319">
        <v>0</v>
      </c>
      <c r="FZ94" s="320"/>
      <c r="GA94" s="319">
        <v>0</v>
      </c>
      <c r="GB94" s="320">
        <v>0</v>
      </c>
      <c r="GC94" s="319">
        <v>0</v>
      </c>
      <c r="GD94" s="320"/>
      <c r="GE94" s="319">
        <v>0</v>
      </c>
      <c r="GF94" s="320"/>
      <c r="GG94" s="319">
        <v>0</v>
      </c>
      <c r="GH94" s="320">
        <v>0</v>
      </c>
      <c r="GI94" s="319">
        <v>0</v>
      </c>
      <c r="GJ94" s="320"/>
      <c r="GK94" s="319">
        <v>0</v>
      </c>
      <c r="GL94" s="320"/>
      <c r="GM94" s="319">
        <v>0</v>
      </c>
      <c r="GN94" s="320">
        <v>0</v>
      </c>
      <c r="GO94" s="319">
        <v>0</v>
      </c>
      <c r="GP94" s="320"/>
      <c r="GQ94" s="319">
        <v>0</v>
      </c>
      <c r="GR94" s="320"/>
      <c r="GS94" s="319">
        <v>0</v>
      </c>
      <c r="GT94" s="320">
        <v>0</v>
      </c>
      <c r="GU94" s="319">
        <v>0</v>
      </c>
      <c r="GV94" s="320"/>
      <c r="GW94" s="319">
        <v>0</v>
      </c>
      <c r="GX94" s="320"/>
      <c r="GY94" s="319">
        <v>0</v>
      </c>
      <c r="GZ94" s="320">
        <v>0</v>
      </c>
    </row>
    <row r="95" spans="1:208" s="89" customFormat="1" ht="22.5" customHeight="1" thickBot="1" x14ac:dyDescent="0.25">
      <c r="A95" s="296" t="s">
        <v>3245</v>
      </c>
      <c r="B95" s="297" t="s">
        <v>3246</v>
      </c>
      <c r="C95" s="298" t="s">
        <v>3170</v>
      </c>
      <c r="D95" s="299" t="s">
        <v>3247</v>
      </c>
      <c r="E95" s="299" t="s">
        <v>3248</v>
      </c>
      <c r="F95" s="300" t="s">
        <v>3166</v>
      </c>
      <c r="G95" s="300" t="s">
        <v>3167</v>
      </c>
      <c r="H95" s="301" t="s">
        <v>1493</v>
      </c>
      <c r="I95" s="302" t="s">
        <v>1493</v>
      </c>
      <c r="J95" s="340" t="s">
        <v>3168</v>
      </c>
      <c r="K95" s="343" t="s">
        <v>53</v>
      </c>
      <c r="L95" s="256">
        <f>CONTINUA!BV95</f>
        <v>0</v>
      </c>
      <c r="M95" s="256">
        <f>CONTINUA!BW95</f>
        <v>0</v>
      </c>
      <c r="N95" s="564"/>
      <c r="O95" s="565" t="s">
        <v>3349</v>
      </c>
      <c r="P95" s="566">
        <v>0</v>
      </c>
      <c r="Q95" s="319">
        <v>0</v>
      </c>
      <c r="R95" s="320"/>
      <c r="S95" s="319">
        <v>0</v>
      </c>
      <c r="T95" s="320"/>
      <c r="U95" s="321">
        <v>0</v>
      </c>
      <c r="V95" s="322">
        <v>0</v>
      </c>
      <c r="W95" s="319">
        <v>0</v>
      </c>
      <c r="X95" s="320"/>
      <c r="Y95" s="319">
        <v>0</v>
      </c>
      <c r="Z95" s="320"/>
      <c r="AA95" s="321">
        <v>0</v>
      </c>
      <c r="AB95" s="322">
        <v>0</v>
      </c>
      <c r="AC95" s="319">
        <v>0</v>
      </c>
      <c r="AD95" s="320"/>
      <c r="AE95" s="319">
        <v>0</v>
      </c>
      <c r="AF95" s="320"/>
      <c r="AG95" s="321">
        <v>0</v>
      </c>
      <c r="AH95" s="322">
        <v>0</v>
      </c>
      <c r="AI95" s="319">
        <v>0</v>
      </c>
      <c r="AJ95" s="320"/>
      <c r="AK95" s="319">
        <v>0</v>
      </c>
      <c r="AL95" s="320"/>
      <c r="AM95" s="321">
        <v>0</v>
      </c>
      <c r="AN95" s="322">
        <v>0</v>
      </c>
      <c r="AO95" s="319">
        <v>0</v>
      </c>
      <c r="AP95" s="320"/>
      <c r="AQ95" s="319">
        <v>0</v>
      </c>
      <c r="AR95" s="320"/>
      <c r="AS95" s="321">
        <v>0</v>
      </c>
      <c r="AT95" s="322">
        <v>0</v>
      </c>
      <c r="AU95" s="319">
        <v>0</v>
      </c>
      <c r="AV95" s="320"/>
      <c r="AW95" s="319">
        <v>0</v>
      </c>
      <c r="AX95" s="320"/>
      <c r="AY95" s="321">
        <v>0</v>
      </c>
      <c r="AZ95" s="322">
        <v>0</v>
      </c>
      <c r="BA95" s="319">
        <v>0</v>
      </c>
      <c r="BB95" s="320"/>
      <c r="BC95" s="319">
        <v>0</v>
      </c>
      <c r="BD95" s="320"/>
      <c r="BE95" s="321">
        <v>0</v>
      </c>
      <c r="BF95" s="322">
        <v>0</v>
      </c>
      <c r="BG95" s="319">
        <v>0</v>
      </c>
      <c r="BH95" s="320"/>
      <c r="BI95" s="319">
        <v>0</v>
      </c>
      <c r="BJ95" s="320"/>
      <c r="BK95" s="321">
        <v>0</v>
      </c>
      <c r="BL95" s="322">
        <v>0</v>
      </c>
      <c r="BM95" s="319">
        <v>0</v>
      </c>
      <c r="BN95" s="320"/>
      <c r="BO95" s="319">
        <v>0</v>
      </c>
      <c r="BP95" s="320"/>
      <c r="BQ95" s="321">
        <v>0</v>
      </c>
      <c r="BR95" s="322">
        <v>0</v>
      </c>
      <c r="BS95" s="319">
        <v>0</v>
      </c>
      <c r="BT95" s="320"/>
      <c r="BU95" s="319">
        <v>0</v>
      </c>
      <c r="BV95" s="320"/>
      <c r="BW95" s="321">
        <v>0</v>
      </c>
      <c r="BX95" s="322">
        <v>0</v>
      </c>
      <c r="BY95" s="319">
        <v>0</v>
      </c>
      <c r="BZ95" s="320"/>
      <c r="CA95" s="319">
        <v>0</v>
      </c>
      <c r="CB95" s="320"/>
      <c r="CC95" s="321">
        <v>0</v>
      </c>
      <c r="CD95" s="322">
        <v>0</v>
      </c>
      <c r="CE95" s="319">
        <v>0</v>
      </c>
      <c r="CF95" s="320"/>
      <c r="CG95" s="319">
        <v>0</v>
      </c>
      <c r="CH95" s="320"/>
      <c r="CI95" s="321">
        <v>0</v>
      </c>
      <c r="CJ95" s="322">
        <v>0</v>
      </c>
      <c r="CK95" s="319">
        <v>0</v>
      </c>
      <c r="CL95" s="320"/>
      <c r="CM95" s="319">
        <v>0</v>
      </c>
      <c r="CN95" s="320"/>
      <c r="CO95" s="321">
        <v>0</v>
      </c>
      <c r="CP95" s="322">
        <v>0</v>
      </c>
      <c r="CQ95" s="319">
        <v>0</v>
      </c>
      <c r="CR95" s="320"/>
      <c r="CS95" s="319">
        <v>0</v>
      </c>
      <c r="CT95" s="320"/>
      <c r="CU95" s="321">
        <v>0</v>
      </c>
      <c r="CV95" s="322">
        <v>0</v>
      </c>
      <c r="CW95" s="319">
        <v>0</v>
      </c>
      <c r="CX95" s="320"/>
      <c r="CY95" s="319">
        <v>0</v>
      </c>
      <c r="CZ95" s="320"/>
      <c r="DA95" s="321">
        <v>0</v>
      </c>
      <c r="DB95" s="322">
        <v>0</v>
      </c>
      <c r="DC95" s="319">
        <v>0</v>
      </c>
      <c r="DD95" s="320"/>
      <c r="DE95" s="319">
        <v>0</v>
      </c>
      <c r="DF95" s="320"/>
      <c r="DG95" s="321">
        <v>0</v>
      </c>
      <c r="DH95" s="322">
        <v>0</v>
      </c>
      <c r="DI95" s="319">
        <v>0</v>
      </c>
      <c r="DJ95" s="320"/>
      <c r="DK95" s="319">
        <v>0</v>
      </c>
      <c r="DL95" s="320"/>
      <c r="DM95" s="321">
        <v>0</v>
      </c>
      <c r="DN95" s="322">
        <v>0</v>
      </c>
      <c r="DO95" s="319">
        <v>0</v>
      </c>
      <c r="DP95" s="320"/>
      <c r="DQ95" s="319">
        <v>0</v>
      </c>
      <c r="DR95" s="320"/>
      <c r="DS95" s="321">
        <v>0</v>
      </c>
      <c r="DT95" s="322">
        <v>0</v>
      </c>
      <c r="DU95" s="319">
        <v>0</v>
      </c>
      <c r="DV95" s="320"/>
      <c r="DW95" s="319">
        <v>0</v>
      </c>
      <c r="DX95" s="320"/>
      <c r="DY95" s="321">
        <v>0</v>
      </c>
      <c r="DZ95" s="322">
        <v>0</v>
      </c>
      <c r="EA95" s="319">
        <v>0</v>
      </c>
      <c r="EB95" s="320"/>
      <c r="EC95" s="319">
        <v>0</v>
      </c>
      <c r="ED95" s="320"/>
      <c r="EE95" s="321">
        <v>0</v>
      </c>
      <c r="EF95" s="322">
        <v>0</v>
      </c>
      <c r="EG95" s="319">
        <v>0</v>
      </c>
      <c r="EH95" s="320"/>
      <c r="EI95" s="319">
        <v>0</v>
      </c>
      <c r="EJ95" s="320"/>
      <c r="EK95" s="321">
        <v>0</v>
      </c>
      <c r="EL95" s="322">
        <v>0</v>
      </c>
      <c r="EM95" s="319">
        <v>0</v>
      </c>
      <c r="EN95" s="320"/>
      <c r="EO95" s="319">
        <v>0</v>
      </c>
      <c r="EP95" s="320"/>
      <c r="EQ95" s="321">
        <v>0</v>
      </c>
      <c r="ER95" s="322">
        <v>0</v>
      </c>
      <c r="ES95" s="319">
        <v>0</v>
      </c>
      <c r="ET95" s="320"/>
      <c r="EU95" s="319">
        <v>0</v>
      </c>
      <c r="EV95" s="320"/>
      <c r="EW95" s="321">
        <v>0</v>
      </c>
      <c r="EX95" s="322">
        <v>0</v>
      </c>
      <c r="EY95" s="319">
        <v>0</v>
      </c>
      <c r="EZ95" s="320"/>
      <c r="FA95" s="319">
        <v>0</v>
      </c>
      <c r="FB95" s="320"/>
      <c r="FC95" s="321">
        <v>0</v>
      </c>
      <c r="FD95" s="322">
        <v>0</v>
      </c>
      <c r="FE95" s="319">
        <v>0</v>
      </c>
      <c r="FF95" s="320"/>
      <c r="FG95" s="319">
        <v>0</v>
      </c>
      <c r="FH95" s="320"/>
      <c r="FI95" s="321">
        <v>0</v>
      </c>
      <c r="FJ95" s="322">
        <v>0</v>
      </c>
      <c r="FK95" s="319">
        <v>0</v>
      </c>
      <c r="FL95" s="320"/>
      <c r="FM95" s="319">
        <v>0</v>
      </c>
      <c r="FN95" s="320"/>
      <c r="FO95" s="321">
        <v>0</v>
      </c>
      <c r="FP95" s="322">
        <v>0</v>
      </c>
      <c r="FQ95" s="319">
        <v>0</v>
      </c>
      <c r="FR95" s="320"/>
      <c r="FS95" s="319">
        <v>0</v>
      </c>
      <c r="FT95" s="320"/>
      <c r="FU95" s="321">
        <v>0</v>
      </c>
      <c r="FV95" s="322">
        <v>0</v>
      </c>
      <c r="FW95" s="319">
        <v>0</v>
      </c>
      <c r="FX95" s="320"/>
      <c r="FY95" s="319">
        <v>0</v>
      </c>
      <c r="FZ95" s="320"/>
      <c r="GA95" s="321">
        <v>0</v>
      </c>
      <c r="GB95" s="322">
        <v>0</v>
      </c>
      <c r="GC95" s="319">
        <v>0</v>
      </c>
      <c r="GD95" s="320"/>
      <c r="GE95" s="319">
        <v>0</v>
      </c>
      <c r="GF95" s="320"/>
      <c r="GG95" s="321">
        <v>0</v>
      </c>
      <c r="GH95" s="322">
        <v>0</v>
      </c>
      <c r="GI95" s="319">
        <v>0</v>
      </c>
      <c r="GJ95" s="320"/>
      <c r="GK95" s="319">
        <v>0</v>
      </c>
      <c r="GL95" s="320"/>
      <c r="GM95" s="321">
        <v>0</v>
      </c>
      <c r="GN95" s="322">
        <v>0</v>
      </c>
      <c r="GO95" s="319">
        <v>0</v>
      </c>
      <c r="GP95" s="320"/>
      <c r="GQ95" s="319">
        <v>0</v>
      </c>
      <c r="GR95" s="320"/>
      <c r="GS95" s="321">
        <v>0</v>
      </c>
      <c r="GT95" s="322">
        <v>0</v>
      </c>
      <c r="GU95" s="319">
        <v>0</v>
      </c>
      <c r="GV95" s="320"/>
      <c r="GW95" s="319">
        <v>0</v>
      </c>
      <c r="GX95" s="320"/>
      <c r="GY95" s="321">
        <v>0</v>
      </c>
      <c r="GZ95" s="322">
        <v>0</v>
      </c>
    </row>
    <row r="96" spans="1:208" s="89" customFormat="1" ht="22.5" customHeight="1" x14ac:dyDescent="0.2">
      <c r="A96" t="s">
        <v>3249</v>
      </c>
      <c r="B96" s="429" t="s">
        <v>3250</v>
      </c>
      <c r="C96" s="430">
        <v>1</v>
      </c>
      <c r="D96" s="431" t="s">
        <v>3251</v>
      </c>
      <c r="E96" s="431" t="s">
        <v>3252</v>
      </c>
      <c r="F96" s="432" t="s">
        <v>3166</v>
      </c>
      <c r="G96" s="432" t="s">
        <v>3167</v>
      </c>
      <c r="H96" s="270" t="s">
        <v>1494</v>
      </c>
      <c r="I96" s="271" t="s">
        <v>1494</v>
      </c>
      <c r="J96" s="328" t="s">
        <v>3168</v>
      </c>
      <c r="K96" s="329" t="s">
        <v>3169</v>
      </c>
      <c r="L96" s="256">
        <f>CONTINUA!BV96</f>
        <v>0</v>
      </c>
      <c r="M96" s="256">
        <f>CONTINUA!BW96</f>
        <v>0</v>
      </c>
      <c r="N96" s="564"/>
      <c r="O96" s="565" t="s">
        <v>3350</v>
      </c>
      <c r="P96" s="566">
        <v>0</v>
      </c>
      <c r="Q96" s="319">
        <v>19</v>
      </c>
      <c r="R96" s="320"/>
      <c r="S96" s="319">
        <v>0</v>
      </c>
      <c r="T96" s="320"/>
      <c r="U96" s="321">
        <v>0</v>
      </c>
      <c r="V96" s="322">
        <v>0</v>
      </c>
      <c r="W96" s="319">
        <v>19</v>
      </c>
      <c r="X96" s="320"/>
      <c r="Y96" s="319">
        <v>0</v>
      </c>
      <c r="Z96" s="320"/>
      <c r="AA96" s="321">
        <v>0</v>
      </c>
      <c r="AB96" s="322">
        <v>0</v>
      </c>
      <c r="AC96" s="319">
        <v>19</v>
      </c>
      <c r="AD96" s="320"/>
      <c r="AE96" s="319">
        <v>0</v>
      </c>
      <c r="AF96" s="320"/>
      <c r="AG96" s="321">
        <v>0</v>
      </c>
      <c r="AH96" s="322">
        <v>0</v>
      </c>
      <c r="AI96" s="319">
        <v>19</v>
      </c>
      <c r="AJ96" s="320"/>
      <c r="AK96" s="319">
        <v>0</v>
      </c>
      <c r="AL96" s="320"/>
      <c r="AM96" s="321">
        <v>0</v>
      </c>
      <c r="AN96" s="322">
        <v>0</v>
      </c>
      <c r="AO96" s="319">
        <v>19</v>
      </c>
      <c r="AP96" s="320"/>
      <c r="AQ96" s="319">
        <v>0</v>
      </c>
      <c r="AR96" s="320"/>
      <c r="AS96" s="321">
        <v>0</v>
      </c>
      <c r="AT96" s="322">
        <v>0</v>
      </c>
      <c r="AU96" s="319">
        <v>19</v>
      </c>
      <c r="AV96" s="320"/>
      <c r="AW96" s="319">
        <v>0</v>
      </c>
      <c r="AX96" s="320"/>
      <c r="AY96" s="321">
        <v>0</v>
      </c>
      <c r="AZ96" s="322">
        <v>0</v>
      </c>
      <c r="BA96" s="319">
        <v>19</v>
      </c>
      <c r="BB96" s="320"/>
      <c r="BC96" s="319">
        <v>0</v>
      </c>
      <c r="BD96" s="320"/>
      <c r="BE96" s="321">
        <v>0</v>
      </c>
      <c r="BF96" s="322">
        <v>0</v>
      </c>
      <c r="BG96" s="319">
        <v>19</v>
      </c>
      <c r="BH96" s="320"/>
      <c r="BI96" s="319">
        <v>0</v>
      </c>
      <c r="BJ96" s="320"/>
      <c r="BK96" s="321">
        <v>0</v>
      </c>
      <c r="BL96" s="322">
        <v>0</v>
      </c>
      <c r="BM96" s="319">
        <v>19</v>
      </c>
      <c r="BN96" s="320"/>
      <c r="BO96" s="319">
        <v>0</v>
      </c>
      <c r="BP96" s="320"/>
      <c r="BQ96" s="321">
        <v>0</v>
      </c>
      <c r="BR96" s="322">
        <v>0</v>
      </c>
      <c r="BS96" s="319">
        <v>19</v>
      </c>
      <c r="BT96" s="320"/>
      <c r="BU96" s="319">
        <v>0</v>
      </c>
      <c r="BV96" s="320"/>
      <c r="BW96" s="321">
        <v>0</v>
      </c>
      <c r="BX96" s="322">
        <v>0</v>
      </c>
      <c r="BY96" s="319">
        <v>19</v>
      </c>
      <c r="BZ96" s="320"/>
      <c r="CA96" s="319">
        <v>0</v>
      </c>
      <c r="CB96" s="320"/>
      <c r="CC96" s="321">
        <v>0</v>
      </c>
      <c r="CD96" s="322">
        <v>0</v>
      </c>
      <c r="CE96" s="319">
        <v>19</v>
      </c>
      <c r="CF96" s="320"/>
      <c r="CG96" s="319">
        <v>0</v>
      </c>
      <c r="CH96" s="320"/>
      <c r="CI96" s="321">
        <v>0</v>
      </c>
      <c r="CJ96" s="322">
        <v>0</v>
      </c>
      <c r="CK96" s="319">
        <v>19</v>
      </c>
      <c r="CL96" s="320"/>
      <c r="CM96" s="319">
        <v>0</v>
      </c>
      <c r="CN96" s="320"/>
      <c r="CO96" s="321">
        <v>0</v>
      </c>
      <c r="CP96" s="322">
        <v>0</v>
      </c>
      <c r="CQ96" s="319">
        <v>19</v>
      </c>
      <c r="CR96" s="320"/>
      <c r="CS96" s="319">
        <v>0</v>
      </c>
      <c r="CT96" s="320"/>
      <c r="CU96" s="321">
        <v>0</v>
      </c>
      <c r="CV96" s="322">
        <v>0</v>
      </c>
      <c r="CW96" s="319">
        <v>19</v>
      </c>
      <c r="CX96" s="320"/>
      <c r="CY96" s="319">
        <v>0</v>
      </c>
      <c r="CZ96" s="320"/>
      <c r="DA96" s="321">
        <v>0</v>
      </c>
      <c r="DB96" s="322">
        <v>0</v>
      </c>
      <c r="DC96" s="319">
        <v>19</v>
      </c>
      <c r="DD96" s="320"/>
      <c r="DE96" s="319">
        <v>0</v>
      </c>
      <c r="DF96" s="320"/>
      <c r="DG96" s="321">
        <v>0</v>
      </c>
      <c r="DH96" s="322">
        <v>0</v>
      </c>
      <c r="DI96" s="319">
        <v>19</v>
      </c>
      <c r="DJ96" s="320"/>
      <c r="DK96" s="319">
        <v>0</v>
      </c>
      <c r="DL96" s="320"/>
      <c r="DM96" s="321">
        <v>0</v>
      </c>
      <c r="DN96" s="322">
        <v>0</v>
      </c>
      <c r="DO96" s="319">
        <v>19</v>
      </c>
      <c r="DP96" s="320"/>
      <c r="DQ96" s="319">
        <v>0</v>
      </c>
      <c r="DR96" s="320"/>
      <c r="DS96" s="321">
        <v>0</v>
      </c>
      <c r="DT96" s="322">
        <v>0</v>
      </c>
      <c r="DU96" s="319">
        <v>19</v>
      </c>
      <c r="DV96" s="320"/>
      <c r="DW96" s="319">
        <v>0</v>
      </c>
      <c r="DX96" s="320"/>
      <c r="DY96" s="321">
        <v>0</v>
      </c>
      <c r="DZ96" s="322">
        <v>0</v>
      </c>
      <c r="EA96" s="319">
        <v>19</v>
      </c>
      <c r="EB96" s="320"/>
      <c r="EC96" s="319">
        <v>0</v>
      </c>
      <c r="ED96" s="320"/>
      <c r="EE96" s="321">
        <v>0</v>
      </c>
      <c r="EF96" s="322">
        <v>0</v>
      </c>
      <c r="EG96" s="319">
        <v>19</v>
      </c>
      <c r="EH96" s="320"/>
      <c r="EI96" s="319">
        <v>0</v>
      </c>
      <c r="EJ96" s="320"/>
      <c r="EK96" s="321">
        <v>0</v>
      </c>
      <c r="EL96" s="322">
        <v>0</v>
      </c>
      <c r="EM96" s="319">
        <v>19</v>
      </c>
      <c r="EN96" s="320"/>
      <c r="EO96" s="319">
        <v>0</v>
      </c>
      <c r="EP96" s="320"/>
      <c r="EQ96" s="321">
        <v>0</v>
      </c>
      <c r="ER96" s="322">
        <v>0</v>
      </c>
      <c r="ES96" s="319">
        <v>19</v>
      </c>
      <c r="ET96" s="320"/>
      <c r="EU96" s="319">
        <v>0</v>
      </c>
      <c r="EV96" s="320"/>
      <c r="EW96" s="321">
        <v>0</v>
      </c>
      <c r="EX96" s="322">
        <v>0</v>
      </c>
      <c r="EY96" s="319">
        <v>19</v>
      </c>
      <c r="EZ96" s="320"/>
      <c r="FA96" s="319">
        <v>0</v>
      </c>
      <c r="FB96" s="320"/>
      <c r="FC96" s="321">
        <v>0</v>
      </c>
      <c r="FD96" s="322">
        <v>0</v>
      </c>
      <c r="FE96" s="319">
        <v>19</v>
      </c>
      <c r="FF96" s="320"/>
      <c r="FG96" s="319">
        <v>0</v>
      </c>
      <c r="FH96" s="320"/>
      <c r="FI96" s="321">
        <v>0</v>
      </c>
      <c r="FJ96" s="322">
        <v>0</v>
      </c>
      <c r="FK96" s="319">
        <v>19</v>
      </c>
      <c r="FL96" s="320"/>
      <c r="FM96" s="319">
        <v>0</v>
      </c>
      <c r="FN96" s="320"/>
      <c r="FO96" s="321">
        <v>0</v>
      </c>
      <c r="FP96" s="322">
        <v>0</v>
      </c>
      <c r="FQ96" s="319">
        <v>19</v>
      </c>
      <c r="FR96" s="320"/>
      <c r="FS96" s="319">
        <v>0</v>
      </c>
      <c r="FT96" s="320"/>
      <c r="FU96" s="321">
        <v>0</v>
      </c>
      <c r="FV96" s="322">
        <v>0</v>
      </c>
      <c r="FW96" s="319">
        <v>19</v>
      </c>
      <c r="FX96" s="320"/>
      <c r="FY96" s="319">
        <v>0</v>
      </c>
      <c r="FZ96" s="320"/>
      <c r="GA96" s="321">
        <v>0</v>
      </c>
      <c r="GB96" s="322">
        <v>0</v>
      </c>
      <c r="GC96" s="319">
        <v>19</v>
      </c>
      <c r="GD96" s="320"/>
      <c r="GE96" s="319">
        <v>0</v>
      </c>
      <c r="GF96" s="320"/>
      <c r="GG96" s="321">
        <v>0</v>
      </c>
      <c r="GH96" s="322">
        <v>0</v>
      </c>
      <c r="GI96" s="319">
        <v>19</v>
      </c>
      <c r="GJ96" s="320"/>
      <c r="GK96" s="319">
        <v>0</v>
      </c>
      <c r="GL96" s="320"/>
      <c r="GM96" s="321">
        <v>0</v>
      </c>
      <c r="GN96" s="322">
        <v>0</v>
      </c>
      <c r="GO96" s="319">
        <v>19</v>
      </c>
      <c r="GP96" s="320"/>
      <c r="GQ96" s="319">
        <v>0</v>
      </c>
      <c r="GR96" s="320"/>
      <c r="GS96" s="321">
        <v>0</v>
      </c>
      <c r="GT96" s="322">
        <v>0</v>
      </c>
      <c r="GU96" s="319">
        <v>19</v>
      </c>
      <c r="GV96" s="320"/>
      <c r="GW96" s="319">
        <v>0</v>
      </c>
      <c r="GX96" s="320"/>
      <c r="GY96" s="321">
        <v>0</v>
      </c>
      <c r="GZ96" s="322">
        <v>0</v>
      </c>
    </row>
    <row r="97" spans="1:208" s="89" customFormat="1" ht="22.5" customHeight="1" x14ac:dyDescent="0.2">
      <c r="A97" s="287" t="s">
        <v>3249</v>
      </c>
      <c r="B97" s="288" t="s">
        <v>3250</v>
      </c>
      <c r="C97" s="289" t="s">
        <v>3170</v>
      </c>
      <c r="D97" s="290" t="s">
        <v>3251</v>
      </c>
      <c r="E97" s="290" t="s">
        <v>3252</v>
      </c>
      <c r="F97" s="291" t="s">
        <v>3166</v>
      </c>
      <c r="G97" s="291" t="s">
        <v>3167</v>
      </c>
      <c r="H97" s="292" t="s">
        <v>1494</v>
      </c>
      <c r="I97" s="293" t="s">
        <v>1494</v>
      </c>
      <c r="J97" s="340" t="s">
        <v>3168</v>
      </c>
      <c r="K97" s="340" t="s">
        <v>3171</v>
      </c>
      <c r="L97" s="256">
        <f>CONTINUA!BV97</f>
        <v>8</v>
      </c>
      <c r="M97" s="256">
        <f>CONTINUA!BW97</f>
        <v>0</v>
      </c>
      <c r="N97" s="564"/>
      <c r="O97" s="565" t="s">
        <v>3350</v>
      </c>
      <c r="P97" s="566">
        <v>0</v>
      </c>
      <c r="Q97" s="319">
        <v>17</v>
      </c>
      <c r="R97" s="320"/>
      <c r="S97" s="319">
        <v>0</v>
      </c>
      <c r="T97" s="320"/>
      <c r="U97" s="319">
        <v>0</v>
      </c>
      <c r="V97" s="320">
        <v>0</v>
      </c>
      <c r="W97" s="319">
        <v>17</v>
      </c>
      <c r="X97" s="320"/>
      <c r="Y97" s="319">
        <v>0</v>
      </c>
      <c r="Z97" s="320"/>
      <c r="AA97" s="319">
        <v>0</v>
      </c>
      <c r="AB97" s="320">
        <v>0</v>
      </c>
      <c r="AC97" s="319">
        <v>17</v>
      </c>
      <c r="AD97" s="320"/>
      <c r="AE97" s="319">
        <v>0</v>
      </c>
      <c r="AF97" s="320"/>
      <c r="AG97" s="319">
        <v>0</v>
      </c>
      <c r="AH97" s="320">
        <v>0</v>
      </c>
      <c r="AI97" s="319">
        <v>17</v>
      </c>
      <c r="AJ97" s="320"/>
      <c r="AK97" s="319">
        <v>0</v>
      </c>
      <c r="AL97" s="320"/>
      <c r="AM97" s="319">
        <v>0</v>
      </c>
      <c r="AN97" s="320">
        <v>0</v>
      </c>
      <c r="AO97" s="319">
        <v>17</v>
      </c>
      <c r="AP97" s="320"/>
      <c r="AQ97" s="319">
        <v>0</v>
      </c>
      <c r="AR97" s="320"/>
      <c r="AS97" s="319">
        <v>0</v>
      </c>
      <c r="AT97" s="320">
        <v>0</v>
      </c>
      <c r="AU97" s="319">
        <v>17</v>
      </c>
      <c r="AV97" s="320"/>
      <c r="AW97" s="319">
        <v>0</v>
      </c>
      <c r="AX97" s="320"/>
      <c r="AY97" s="319">
        <v>0</v>
      </c>
      <c r="AZ97" s="320">
        <v>0</v>
      </c>
      <c r="BA97" s="319">
        <v>17</v>
      </c>
      <c r="BB97" s="320"/>
      <c r="BC97" s="319">
        <v>0</v>
      </c>
      <c r="BD97" s="320"/>
      <c r="BE97" s="319">
        <v>0</v>
      </c>
      <c r="BF97" s="320">
        <v>0</v>
      </c>
      <c r="BG97" s="319">
        <v>17</v>
      </c>
      <c r="BH97" s="320"/>
      <c r="BI97" s="319">
        <v>0</v>
      </c>
      <c r="BJ97" s="320"/>
      <c r="BK97" s="319">
        <v>0</v>
      </c>
      <c r="BL97" s="320">
        <v>0</v>
      </c>
      <c r="BM97" s="319">
        <v>17</v>
      </c>
      <c r="BN97" s="320"/>
      <c r="BO97" s="319">
        <v>0</v>
      </c>
      <c r="BP97" s="320"/>
      <c r="BQ97" s="319">
        <v>0</v>
      </c>
      <c r="BR97" s="320">
        <v>0</v>
      </c>
      <c r="BS97" s="319">
        <v>17</v>
      </c>
      <c r="BT97" s="320"/>
      <c r="BU97" s="319">
        <v>0</v>
      </c>
      <c r="BV97" s="320"/>
      <c r="BW97" s="319">
        <v>0</v>
      </c>
      <c r="BX97" s="320">
        <v>0</v>
      </c>
      <c r="BY97" s="319">
        <v>17</v>
      </c>
      <c r="BZ97" s="320"/>
      <c r="CA97" s="319">
        <v>0</v>
      </c>
      <c r="CB97" s="320"/>
      <c r="CC97" s="319">
        <v>0</v>
      </c>
      <c r="CD97" s="320">
        <v>0</v>
      </c>
      <c r="CE97" s="319">
        <v>17</v>
      </c>
      <c r="CF97" s="320"/>
      <c r="CG97" s="319">
        <v>0</v>
      </c>
      <c r="CH97" s="320"/>
      <c r="CI97" s="319">
        <v>0</v>
      </c>
      <c r="CJ97" s="320">
        <v>0</v>
      </c>
      <c r="CK97" s="319">
        <v>17</v>
      </c>
      <c r="CL97" s="320"/>
      <c r="CM97" s="319">
        <v>0</v>
      </c>
      <c r="CN97" s="320"/>
      <c r="CO97" s="319">
        <v>0</v>
      </c>
      <c r="CP97" s="320">
        <v>0</v>
      </c>
      <c r="CQ97" s="319">
        <v>17</v>
      </c>
      <c r="CR97" s="320"/>
      <c r="CS97" s="319">
        <v>0</v>
      </c>
      <c r="CT97" s="320"/>
      <c r="CU97" s="319">
        <v>0</v>
      </c>
      <c r="CV97" s="320">
        <v>0</v>
      </c>
      <c r="CW97" s="319">
        <v>17</v>
      </c>
      <c r="CX97" s="320"/>
      <c r="CY97" s="319">
        <v>0</v>
      </c>
      <c r="CZ97" s="320"/>
      <c r="DA97" s="319">
        <v>0</v>
      </c>
      <c r="DB97" s="320">
        <v>0</v>
      </c>
      <c r="DC97" s="319">
        <v>17</v>
      </c>
      <c r="DD97" s="320"/>
      <c r="DE97" s="319">
        <v>0</v>
      </c>
      <c r="DF97" s="320"/>
      <c r="DG97" s="319">
        <v>0</v>
      </c>
      <c r="DH97" s="320">
        <v>0</v>
      </c>
      <c r="DI97" s="319">
        <v>17</v>
      </c>
      <c r="DJ97" s="320"/>
      <c r="DK97" s="319">
        <v>0</v>
      </c>
      <c r="DL97" s="320"/>
      <c r="DM97" s="319">
        <v>0</v>
      </c>
      <c r="DN97" s="320">
        <v>0</v>
      </c>
      <c r="DO97" s="319">
        <v>17</v>
      </c>
      <c r="DP97" s="320"/>
      <c r="DQ97" s="319">
        <v>0</v>
      </c>
      <c r="DR97" s="320"/>
      <c r="DS97" s="319">
        <v>0</v>
      </c>
      <c r="DT97" s="320">
        <v>0</v>
      </c>
      <c r="DU97" s="319">
        <v>17</v>
      </c>
      <c r="DV97" s="320"/>
      <c r="DW97" s="319">
        <v>0</v>
      </c>
      <c r="DX97" s="320"/>
      <c r="DY97" s="319">
        <v>0</v>
      </c>
      <c r="DZ97" s="320">
        <v>0</v>
      </c>
      <c r="EA97" s="319">
        <v>17</v>
      </c>
      <c r="EB97" s="320"/>
      <c r="EC97" s="319">
        <v>0</v>
      </c>
      <c r="ED97" s="320"/>
      <c r="EE97" s="319">
        <v>0</v>
      </c>
      <c r="EF97" s="320">
        <v>0</v>
      </c>
      <c r="EG97" s="319">
        <v>17</v>
      </c>
      <c r="EH97" s="320"/>
      <c r="EI97" s="319">
        <v>0</v>
      </c>
      <c r="EJ97" s="320"/>
      <c r="EK97" s="319">
        <v>0</v>
      </c>
      <c r="EL97" s="320">
        <v>0</v>
      </c>
      <c r="EM97" s="319">
        <v>17</v>
      </c>
      <c r="EN97" s="320"/>
      <c r="EO97" s="319">
        <v>0</v>
      </c>
      <c r="EP97" s="320"/>
      <c r="EQ97" s="319">
        <v>0</v>
      </c>
      <c r="ER97" s="320">
        <v>0</v>
      </c>
      <c r="ES97" s="319">
        <v>17</v>
      </c>
      <c r="ET97" s="320"/>
      <c r="EU97" s="319">
        <v>0</v>
      </c>
      <c r="EV97" s="320"/>
      <c r="EW97" s="319">
        <v>0</v>
      </c>
      <c r="EX97" s="320">
        <v>0</v>
      </c>
      <c r="EY97" s="319">
        <v>17</v>
      </c>
      <c r="EZ97" s="320"/>
      <c r="FA97" s="319">
        <v>0</v>
      </c>
      <c r="FB97" s="320"/>
      <c r="FC97" s="319">
        <v>0</v>
      </c>
      <c r="FD97" s="320">
        <v>0</v>
      </c>
      <c r="FE97" s="319">
        <v>17</v>
      </c>
      <c r="FF97" s="320"/>
      <c r="FG97" s="319">
        <v>0</v>
      </c>
      <c r="FH97" s="320"/>
      <c r="FI97" s="319">
        <v>0</v>
      </c>
      <c r="FJ97" s="320">
        <v>0</v>
      </c>
      <c r="FK97" s="319">
        <v>17</v>
      </c>
      <c r="FL97" s="320"/>
      <c r="FM97" s="319">
        <v>0</v>
      </c>
      <c r="FN97" s="320"/>
      <c r="FO97" s="319">
        <v>0</v>
      </c>
      <c r="FP97" s="320">
        <v>0</v>
      </c>
      <c r="FQ97" s="319">
        <v>17</v>
      </c>
      <c r="FR97" s="320"/>
      <c r="FS97" s="319">
        <v>0</v>
      </c>
      <c r="FT97" s="320"/>
      <c r="FU97" s="319">
        <v>0</v>
      </c>
      <c r="FV97" s="320">
        <v>0</v>
      </c>
      <c r="FW97" s="319">
        <v>17</v>
      </c>
      <c r="FX97" s="320"/>
      <c r="FY97" s="319">
        <v>0</v>
      </c>
      <c r="FZ97" s="320"/>
      <c r="GA97" s="319">
        <v>0</v>
      </c>
      <c r="GB97" s="320">
        <v>0</v>
      </c>
      <c r="GC97" s="319">
        <v>17</v>
      </c>
      <c r="GD97" s="320"/>
      <c r="GE97" s="319">
        <v>0</v>
      </c>
      <c r="GF97" s="320"/>
      <c r="GG97" s="319">
        <v>0</v>
      </c>
      <c r="GH97" s="320">
        <v>0</v>
      </c>
      <c r="GI97" s="319">
        <v>17</v>
      </c>
      <c r="GJ97" s="320"/>
      <c r="GK97" s="319">
        <v>0</v>
      </c>
      <c r="GL97" s="320"/>
      <c r="GM97" s="319">
        <v>0</v>
      </c>
      <c r="GN97" s="320">
        <v>0</v>
      </c>
      <c r="GO97" s="319">
        <v>17</v>
      </c>
      <c r="GP97" s="320"/>
      <c r="GQ97" s="319">
        <v>0</v>
      </c>
      <c r="GR97" s="320"/>
      <c r="GS97" s="319">
        <v>0</v>
      </c>
      <c r="GT97" s="320">
        <v>0</v>
      </c>
      <c r="GU97" s="319">
        <v>17</v>
      </c>
      <c r="GV97" s="320"/>
      <c r="GW97" s="319">
        <v>0</v>
      </c>
      <c r="GX97" s="320"/>
      <c r="GY97" s="319">
        <v>0</v>
      </c>
      <c r="GZ97" s="320">
        <v>0</v>
      </c>
    </row>
    <row r="98" spans="1:208" s="89" customFormat="1" ht="22.5" customHeight="1" x14ac:dyDescent="0.2">
      <c r="A98" s="287" t="s">
        <v>3249</v>
      </c>
      <c r="B98" s="288" t="s">
        <v>3250</v>
      </c>
      <c r="C98" s="294" t="s">
        <v>3170</v>
      </c>
      <c r="D98" s="290" t="s">
        <v>3251</v>
      </c>
      <c r="E98" s="290" t="s">
        <v>3252</v>
      </c>
      <c r="F98" s="295" t="s">
        <v>3166</v>
      </c>
      <c r="G98" s="295" t="s">
        <v>3167</v>
      </c>
      <c r="H98" s="292" t="s">
        <v>1494</v>
      </c>
      <c r="I98" s="293" t="s">
        <v>1494</v>
      </c>
      <c r="J98" s="340" t="s">
        <v>3168</v>
      </c>
      <c r="K98" s="341" t="s">
        <v>3172</v>
      </c>
      <c r="L98" s="256">
        <f>CONTINUA!BV98</f>
        <v>0</v>
      </c>
      <c r="M98" s="256">
        <f>CONTINUA!BW98</f>
        <v>0</v>
      </c>
      <c r="N98" s="564"/>
      <c r="O98" s="565" t="s">
        <v>3350</v>
      </c>
      <c r="P98" s="566">
        <v>0</v>
      </c>
      <c r="Q98" s="319">
        <v>0</v>
      </c>
      <c r="R98" s="320"/>
      <c r="S98" s="319">
        <v>0</v>
      </c>
      <c r="T98" s="320"/>
      <c r="U98" s="319">
        <v>0</v>
      </c>
      <c r="V98" s="320">
        <v>0</v>
      </c>
      <c r="W98" s="319">
        <v>0</v>
      </c>
      <c r="X98" s="320"/>
      <c r="Y98" s="319">
        <v>0</v>
      </c>
      <c r="Z98" s="320"/>
      <c r="AA98" s="319">
        <v>0</v>
      </c>
      <c r="AB98" s="320">
        <v>0</v>
      </c>
      <c r="AC98" s="319">
        <v>0</v>
      </c>
      <c r="AD98" s="320"/>
      <c r="AE98" s="319">
        <v>0</v>
      </c>
      <c r="AF98" s="320"/>
      <c r="AG98" s="319">
        <v>0</v>
      </c>
      <c r="AH98" s="320">
        <v>0</v>
      </c>
      <c r="AI98" s="319">
        <v>0</v>
      </c>
      <c r="AJ98" s="320"/>
      <c r="AK98" s="319">
        <v>0</v>
      </c>
      <c r="AL98" s="320"/>
      <c r="AM98" s="319">
        <v>0</v>
      </c>
      <c r="AN98" s="320">
        <v>0</v>
      </c>
      <c r="AO98" s="319">
        <v>0</v>
      </c>
      <c r="AP98" s="320"/>
      <c r="AQ98" s="319">
        <v>0</v>
      </c>
      <c r="AR98" s="320"/>
      <c r="AS98" s="319">
        <v>0</v>
      </c>
      <c r="AT98" s="320">
        <v>0</v>
      </c>
      <c r="AU98" s="319">
        <v>0</v>
      </c>
      <c r="AV98" s="320"/>
      <c r="AW98" s="319">
        <v>0</v>
      </c>
      <c r="AX98" s="320"/>
      <c r="AY98" s="319">
        <v>0</v>
      </c>
      <c r="AZ98" s="320">
        <v>0</v>
      </c>
      <c r="BA98" s="319">
        <v>0</v>
      </c>
      <c r="BB98" s="320"/>
      <c r="BC98" s="319">
        <v>0</v>
      </c>
      <c r="BD98" s="320"/>
      <c r="BE98" s="319">
        <v>0</v>
      </c>
      <c r="BF98" s="320">
        <v>0</v>
      </c>
      <c r="BG98" s="319">
        <v>0</v>
      </c>
      <c r="BH98" s="320"/>
      <c r="BI98" s="319">
        <v>0</v>
      </c>
      <c r="BJ98" s="320"/>
      <c r="BK98" s="319">
        <v>0</v>
      </c>
      <c r="BL98" s="320">
        <v>0</v>
      </c>
      <c r="BM98" s="319">
        <v>0</v>
      </c>
      <c r="BN98" s="320"/>
      <c r="BO98" s="319">
        <v>0</v>
      </c>
      <c r="BP98" s="320"/>
      <c r="BQ98" s="319">
        <v>0</v>
      </c>
      <c r="BR98" s="320">
        <v>0</v>
      </c>
      <c r="BS98" s="319">
        <v>0</v>
      </c>
      <c r="BT98" s="320"/>
      <c r="BU98" s="319">
        <v>0</v>
      </c>
      <c r="BV98" s="320"/>
      <c r="BW98" s="319">
        <v>0</v>
      </c>
      <c r="BX98" s="320">
        <v>0</v>
      </c>
      <c r="BY98" s="319">
        <v>0</v>
      </c>
      <c r="BZ98" s="320"/>
      <c r="CA98" s="319">
        <v>0</v>
      </c>
      <c r="CB98" s="320"/>
      <c r="CC98" s="319">
        <v>0</v>
      </c>
      <c r="CD98" s="320">
        <v>0</v>
      </c>
      <c r="CE98" s="319">
        <v>0</v>
      </c>
      <c r="CF98" s="320"/>
      <c r="CG98" s="319">
        <v>0</v>
      </c>
      <c r="CH98" s="320"/>
      <c r="CI98" s="319">
        <v>0</v>
      </c>
      <c r="CJ98" s="320">
        <v>0</v>
      </c>
      <c r="CK98" s="319">
        <v>0</v>
      </c>
      <c r="CL98" s="320"/>
      <c r="CM98" s="319">
        <v>0</v>
      </c>
      <c r="CN98" s="320"/>
      <c r="CO98" s="319">
        <v>0</v>
      </c>
      <c r="CP98" s="320">
        <v>0</v>
      </c>
      <c r="CQ98" s="319">
        <v>0</v>
      </c>
      <c r="CR98" s="320"/>
      <c r="CS98" s="319">
        <v>0</v>
      </c>
      <c r="CT98" s="320"/>
      <c r="CU98" s="319">
        <v>0</v>
      </c>
      <c r="CV98" s="320">
        <v>0</v>
      </c>
      <c r="CW98" s="319">
        <v>0</v>
      </c>
      <c r="CX98" s="320"/>
      <c r="CY98" s="319">
        <v>0</v>
      </c>
      <c r="CZ98" s="320"/>
      <c r="DA98" s="319">
        <v>0</v>
      </c>
      <c r="DB98" s="320">
        <v>0</v>
      </c>
      <c r="DC98" s="319">
        <v>0</v>
      </c>
      <c r="DD98" s="320"/>
      <c r="DE98" s="319">
        <v>0</v>
      </c>
      <c r="DF98" s="320"/>
      <c r="DG98" s="319">
        <v>0</v>
      </c>
      <c r="DH98" s="320">
        <v>0</v>
      </c>
      <c r="DI98" s="319">
        <v>0</v>
      </c>
      <c r="DJ98" s="320"/>
      <c r="DK98" s="319">
        <v>0</v>
      </c>
      <c r="DL98" s="320"/>
      <c r="DM98" s="319">
        <v>0</v>
      </c>
      <c r="DN98" s="320">
        <v>0</v>
      </c>
      <c r="DO98" s="319">
        <v>0</v>
      </c>
      <c r="DP98" s="320"/>
      <c r="DQ98" s="319">
        <v>0</v>
      </c>
      <c r="DR98" s="320"/>
      <c r="DS98" s="319">
        <v>0</v>
      </c>
      <c r="DT98" s="320">
        <v>0</v>
      </c>
      <c r="DU98" s="319">
        <v>0</v>
      </c>
      <c r="DV98" s="320"/>
      <c r="DW98" s="319">
        <v>0</v>
      </c>
      <c r="DX98" s="320"/>
      <c r="DY98" s="319">
        <v>0</v>
      </c>
      <c r="DZ98" s="320">
        <v>0</v>
      </c>
      <c r="EA98" s="319">
        <v>0</v>
      </c>
      <c r="EB98" s="320"/>
      <c r="EC98" s="319">
        <v>0</v>
      </c>
      <c r="ED98" s="320"/>
      <c r="EE98" s="319">
        <v>0</v>
      </c>
      <c r="EF98" s="320">
        <v>0</v>
      </c>
      <c r="EG98" s="319">
        <v>0</v>
      </c>
      <c r="EH98" s="320"/>
      <c r="EI98" s="319">
        <v>0</v>
      </c>
      <c r="EJ98" s="320"/>
      <c r="EK98" s="319">
        <v>0</v>
      </c>
      <c r="EL98" s="320">
        <v>0</v>
      </c>
      <c r="EM98" s="319">
        <v>0</v>
      </c>
      <c r="EN98" s="320"/>
      <c r="EO98" s="319">
        <v>0</v>
      </c>
      <c r="EP98" s="320"/>
      <c r="EQ98" s="319">
        <v>0</v>
      </c>
      <c r="ER98" s="320">
        <v>0</v>
      </c>
      <c r="ES98" s="319">
        <v>0</v>
      </c>
      <c r="ET98" s="320"/>
      <c r="EU98" s="319">
        <v>0</v>
      </c>
      <c r="EV98" s="320"/>
      <c r="EW98" s="319">
        <v>0</v>
      </c>
      <c r="EX98" s="320">
        <v>0</v>
      </c>
      <c r="EY98" s="319">
        <v>0</v>
      </c>
      <c r="EZ98" s="320"/>
      <c r="FA98" s="319">
        <v>0</v>
      </c>
      <c r="FB98" s="320"/>
      <c r="FC98" s="319">
        <v>0</v>
      </c>
      <c r="FD98" s="320">
        <v>0</v>
      </c>
      <c r="FE98" s="319">
        <v>0</v>
      </c>
      <c r="FF98" s="320"/>
      <c r="FG98" s="319">
        <v>0</v>
      </c>
      <c r="FH98" s="320"/>
      <c r="FI98" s="319">
        <v>0</v>
      </c>
      <c r="FJ98" s="320">
        <v>0</v>
      </c>
      <c r="FK98" s="319">
        <v>0</v>
      </c>
      <c r="FL98" s="320"/>
      <c r="FM98" s="319">
        <v>0</v>
      </c>
      <c r="FN98" s="320"/>
      <c r="FO98" s="319">
        <v>0</v>
      </c>
      <c r="FP98" s="320">
        <v>0</v>
      </c>
      <c r="FQ98" s="319">
        <v>0</v>
      </c>
      <c r="FR98" s="320"/>
      <c r="FS98" s="319">
        <v>0</v>
      </c>
      <c r="FT98" s="320"/>
      <c r="FU98" s="319">
        <v>0</v>
      </c>
      <c r="FV98" s="320">
        <v>0</v>
      </c>
      <c r="FW98" s="319">
        <v>0</v>
      </c>
      <c r="FX98" s="320"/>
      <c r="FY98" s="319">
        <v>0</v>
      </c>
      <c r="FZ98" s="320"/>
      <c r="GA98" s="319">
        <v>0</v>
      </c>
      <c r="GB98" s="320">
        <v>0</v>
      </c>
      <c r="GC98" s="319">
        <v>0</v>
      </c>
      <c r="GD98" s="320"/>
      <c r="GE98" s="319">
        <v>0</v>
      </c>
      <c r="GF98" s="320"/>
      <c r="GG98" s="319">
        <v>0</v>
      </c>
      <c r="GH98" s="320">
        <v>0</v>
      </c>
      <c r="GI98" s="319">
        <v>0</v>
      </c>
      <c r="GJ98" s="320"/>
      <c r="GK98" s="319">
        <v>0</v>
      </c>
      <c r="GL98" s="320"/>
      <c r="GM98" s="319">
        <v>0</v>
      </c>
      <c r="GN98" s="320">
        <v>0</v>
      </c>
      <c r="GO98" s="319">
        <v>0</v>
      </c>
      <c r="GP98" s="320"/>
      <c r="GQ98" s="319">
        <v>0</v>
      </c>
      <c r="GR98" s="320"/>
      <c r="GS98" s="319">
        <v>0</v>
      </c>
      <c r="GT98" s="320">
        <v>0</v>
      </c>
      <c r="GU98" s="319">
        <v>0</v>
      </c>
      <c r="GV98" s="320"/>
      <c r="GW98" s="319">
        <v>0</v>
      </c>
      <c r="GX98" s="320"/>
      <c r="GY98" s="319">
        <v>0</v>
      </c>
      <c r="GZ98" s="320">
        <v>0</v>
      </c>
    </row>
    <row r="99" spans="1:208" s="89" customFormat="1" ht="22.5" customHeight="1" x14ac:dyDescent="0.2">
      <c r="A99" s="287" t="s">
        <v>3249</v>
      </c>
      <c r="B99" s="288" t="s">
        <v>3250</v>
      </c>
      <c r="C99" s="294" t="s">
        <v>3170</v>
      </c>
      <c r="D99" s="290" t="s">
        <v>3251</v>
      </c>
      <c r="E99" s="290" t="s">
        <v>3252</v>
      </c>
      <c r="F99" s="295" t="s">
        <v>3166</v>
      </c>
      <c r="G99" s="295" t="s">
        <v>3167</v>
      </c>
      <c r="H99" s="292" t="s">
        <v>1494</v>
      </c>
      <c r="I99" s="293" t="s">
        <v>1494</v>
      </c>
      <c r="J99" s="340" t="s">
        <v>3168</v>
      </c>
      <c r="K99" s="342" t="s">
        <v>3173</v>
      </c>
      <c r="L99" s="256">
        <f>CONTINUA!BV99</f>
        <v>0</v>
      </c>
      <c r="M99" s="256">
        <f>CONTINUA!BW99</f>
        <v>0</v>
      </c>
      <c r="N99" s="564"/>
      <c r="O99" s="565" t="s">
        <v>3350</v>
      </c>
      <c r="P99" s="566">
        <v>0</v>
      </c>
      <c r="Q99" s="319">
        <v>0</v>
      </c>
      <c r="R99" s="320"/>
      <c r="S99" s="319">
        <v>0</v>
      </c>
      <c r="T99" s="320"/>
      <c r="U99" s="319">
        <v>0</v>
      </c>
      <c r="V99" s="320">
        <v>0</v>
      </c>
      <c r="W99" s="319">
        <v>0</v>
      </c>
      <c r="X99" s="320"/>
      <c r="Y99" s="319">
        <v>0</v>
      </c>
      <c r="Z99" s="320"/>
      <c r="AA99" s="319">
        <v>0</v>
      </c>
      <c r="AB99" s="320">
        <v>0</v>
      </c>
      <c r="AC99" s="319">
        <v>0</v>
      </c>
      <c r="AD99" s="320"/>
      <c r="AE99" s="319">
        <v>0</v>
      </c>
      <c r="AF99" s="320"/>
      <c r="AG99" s="319">
        <v>0</v>
      </c>
      <c r="AH99" s="320">
        <v>0</v>
      </c>
      <c r="AI99" s="319">
        <v>0</v>
      </c>
      <c r="AJ99" s="320"/>
      <c r="AK99" s="319">
        <v>0</v>
      </c>
      <c r="AL99" s="320"/>
      <c r="AM99" s="319">
        <v>0</v>
      </c>
      <c r="AN99" s="320">
        <v>0</v>
      </c>
      <c r="AO99" s="319">
        <v>0</v>
      </c>
      <c r="AP99" s="320"/>
      <c r="AQ99" s="319">
        <v>0</v>
      </c>
      <c r="AR99" s="320"/>
      <c r="AS99" s="319">
        <v>0</v>
      </c>
      <c r="AT99" s="320">
        <v>0</v>
      </c>
      <c r="AU99" s="319">
        <v>0</v>
      </c>
      <c r="AV99" s="320"/>
      <c r="AW99" s="319">
        <v>0</v>
      </c>
      <c r="AX99" s="320"/>
      <c r="AY99" s="319">
        <v>0</v>
      </c>
      <c r="AZ99" s="320">
        <v>0</v>
      </c>
      <c r="BA99" s="319">
        <v>0</v>
      </c>
      <c r="BB99" s="320"/>
      <c r="BC99" s="319">
        <v>0</v>
      </c>
      <c r="BD99" s="320"/>
      <c r="BE99" s="319">
        <v>0</v>
      </c>
      <c r="BF99" s="320">
        <v>0</v>
      </c>
      <c r="BG99" s="319">
        <v>0</v>
      </c>
      <c r="BH99" s="320"/>
      <c r="BI99" s="319">
        <v>0</v>
      </c>
      <c r="BJ99" s="320"/>
      <c r="BK99" s="319">
        <v>0</v>
      </c>
      <c r="BL99" s="320">
        <v>0</v>
      </c>
      <c r="BM99" s="319">
        <v>0</v>
      </c>
      <c r="BN99" s="320"/>
      <c r="BO99" s="319">
        <v>0</v>
      </c>
      <c r="BP99" s="320"/>
      <c r="BQ99" s="319">
        <v>0</v>
      </c>
      <c r="BR99" s="320">
        <v>0</v>
      </c>
      <c r="BS99" s="319">
        <v>0</v>
      </c>
      <c r="BT99" s="320"/>
      <c r="BU99" s="319">
        <v>0</v>
      </c>
      <c r="BV99" s="320"/>
      <c r="BW99" s="319">
        <v>0</v>
      </c>
      <c r="BX99" s="320">
        <v>0</v>
      </c>
      <c r="BY99" s="319">
        <v>0</v>
      </c>
      <c r="BZ99" s="320"/>
      <c r="CA99" s="319">
        <v>0</v>
      </c>
      <c r="CB99" s="320"/>
      <c r="CC99" s="319">
        <v>0</v>
      </c>
      <c r="CD99" s="320">
        <v>0</v>
      </c>
      <c r="CE99" s="319">
        <v>0</v>
      </c>
      <c r="CF99" s="320"/>
      <c r="CG99" s="319">
        <v>0</v>
      </c>
      <c r="CH99" s="320"/>
      <c r="CI99" s="319">
        <v>0</v>
      </c>
      <c r="CJ99" s="320">
        <v>0</v>
      </c>
      <c r="CK99" s="319">
        <v>0</v>
      </c>
      <c r="CL99" s="320"/>
      <c r="CM99" s="319">
        <v>0</v>
      </c>
      <c r="CN99" s="320"/>
      <c r="CO99" s="319">
        <v>0</v>
      </c>
      <c r="CP99" s="320">
        <v>0</v>
      </c>
      <c r="CQ99" s="319">
        <v>0</v>
      </c>
      <c r="CR99" s="320"/>
      <c r="CS99" s="319">
        <v>0</v>
      </c>
      <c r="CT99" s="320"/>
      <c r="CU99" s="319">
        <v>0</v>
      </c>
      <c r="CV99" s="320">
        <v>0</v>
      </c>
      <c r="CW99" s="319">
        <v>0</v>
      </c>
      <c r="CX99" s="320"/>
      <c r="CY99" s="319">
        <v>0</v>
      </c>
      <c r="CZ99" s="320"/>
      <c r="DA99" s="319">
        <v>0</v>
      </c>
      <c r="DB99" s="320">
        <v>0</v>
      </c>
      <c r="DC99" s="319">
        <v>0</v>
      </c>
      <c r="DD99" s="320"/>
      <c r="DE99" s="319">
        <v>0</v>
      </c>
      <c r="DF99" s="320"/>
      <c r="DG99" s="319">
        <v>0</v>
      </c>
      <c r="DH99" s="320">
        <v>0</v>
      </c>
      <c r="DI99" s="319">
        <v>0</v>
      </c>
      <c r="DJ99" s="320"/>
      <c r="DK99" s="319">
        <v>0</v>
      </c>
      <c r="DL99" s="320"/>
      <c r="DM99" s="319">
        <v>0</v>
      </c>
      <c r="DN99" s="320">
        <v>0</v>
      </c>
      <c r="DO99" s="319">
        <v>0</v>
      </c>
      <c r="DP99" s="320"/>
      <c r="DQ99" s="319">
        <v>0</v>
      </c>
      <c r="DR99" s="320"/>
      <c r="DS99" s="319">
        <v>0</v>
      </c>
      <c r="DT99" s="320">
        <v>0</v>
      </c>
      <c r="DU99" s="319">
        <v>0</v>
      </c>
      <c r="DV99" s="320"/>
      <c r="DW99" s="319">
        <v>0</v>
      </c>
      <c r="DX99" s="320"/>
      <c r="DY99" s="319">
        <v>0</v>
      </c>
      <c r="DZ99" s="320">
        <v>0</v>
      </c>
      <c r="EA99" s="319">
        <v>0</v>
      </c>
      <c r="EB99" s="320"/>
      <c r="EC99" s="319">
        <v>0</v>
      </c>
      <c r="ED99" s="320"/>
      <c r="EE99" s="319">
        <v>0</v>
      </c>
      <c r="EF99" s="320">
        <v>0</v>
      </c>
      <c r="EG99" s="319">
        <v>0</v>
      </c>
      <c r="EH99" s="320"/>
      <c r="EI99" s="319">
        <v>0</v>
      </c>
      <c r="EJ99" s="320"/>
      <c r="EK99" s="319">
        <v>0</v>
      </c>
      <c r="EL99" s="320">
        <v>0</v>
      </c>
      <c r="EM99" s="319">
        <v>0</v>
      </c>
      <c r="EN99" s="320"/>
      <c r="EO99" s="319">
        <v>0</v>
      </c>
      <c r="EP99" s="320"/>
      <c r="EQ99" s="319">
        <v>0</v>
      </c>
      <c r="ER99" s="320">
        <v>0</v>
      </c>
      <c r="ES99" s="319">
        <v>0</v>
      </c>
      <c r="ET99" s="320"/>
      <c r="EU99" s="319">
        <v>0</v>
      </c>
      <c r="EV99" s="320"/>
      <c r="EW99" s="319">
        <v>0</v>
      </c>
      <c r="EX99" s="320">
        <v>0</v>
      </c>
      <c r="EY99" s="319">
        <v>0</v>
      </c>
      <c r="EZ99" s="320"/>
      <c r="FA99" s="319">
        <v>0</v>
      </c>
      <c r="FB99" s="320"/>
      <c r="FC99" s="319">
        <v>0</v>
      </c>
      <c r="FD99" s="320">
        <v>0</v>
      </c>
      <c r="FE99" s="319">
        <v>0</v>
      </c>
      <c r="FF99" s="320"/>
      <c r="FG99" s="319">
        <v>0</v>
      </c>
      <c r="FH99" s="320"/>
      <c r="FI99" s="319">
        <v>0</v>
      </c>
      <c r="FJ99" s="320">
        <v>0</v>
      </c>
      <c r="FK99" s="319">
        <v>0</v>
      </c>
      <c r="FL99" s="320"/>
      <c r="FM99" s="319">
        <v>0</v>
      </c>
      <c r="FN99" s="320"/>
      <c r="FO99" s="319">
        <v>0</v>
      </c>
      <c r="FP99" s="320">
        <v>0</v>
      </c>
      <c r="FQ99" s="319">
        <v>0</v>
      </c>
      <c r="FR99" s="320"/>
      <c r="FS99" s="319">
        <v>0</v>
      </c>
      <c r="FT99" s="320"/>
      <c r="FU99" s="319">
        <v>0</v>
      </c>
      <c r="FV99" s="320">
        <v>0</v>
      </c>
      <c r="FW99" s="319">
        <v>0</v>
      </c>
      <c r="FX99" s="320"/>
      <c r="FY99" s="319">
        <v>0</v>
      </c>
      <c r="FZ99" s="320"/>
      <c r="GA99" s="319">
        <v>0</v>
      </c>
      <c r="GB99" s="320">
        <v>0</v>
      </c>
      <c r="GC99" s="319">
        <v>0</v>
      </c>
      <c r="GD99" s="320"/>
      <c r="GE99" s="319">
        <v>0</v>
      </c>
      <c r="GF99" s="320"/>
      <c r="GG99" s="319">
        <v>0</v>
      </c>
      <c r="GH99" s="320">
        <v>0</v>
      </c>
      <c r="GI99" s="319">
        <v>0</v>
      </c>
      <c r="GJ99" s="320"/>
      <c r="GK99" s="319">
        <v>0</v>
      </c>
      <c r="GL99" s="320"/>
      <c r="GM99" s="319">
        <v>0</v>
      </c>
      <c r="GN99" s="320">
        <v>0</v>
      </c>
      <c r="GO99" s="319">
        <v>0</v>
      </c>
      <c r="GP99" s="320"/>
      <c r="GQ99" s="319">
        <v>0</v>
      </c>
      <c r="GR99" s="320"/>
      <c r="GS99" s="319">
        <v>0</v>
      </c>
      <c r="GT99" s="320">
        <v>0</v>
      </c>
      <c r="GU99" s="319">
        <v>0</v>
      </c>
      <c r="GV99" s="320"/>
      <c r="GW99" s="319">
        <v>0</v>
      </c>
      <c r="GX99" s="320"/>
      <c r="GY99" s="319">
        <v>0</v>
      </c>
      <c r="GZ99" s="320">
        <v>0</v>
      </c>
    </row>
    <row r="100" spans="1:208" s="89" customFormat="1" ht="22.5" customHeight="1" thickBot="1" x14ac:dyDescent="0.25">
      <c r="A100" s="296" t="s">
        <v>3249</v>
      </c>
      <c r="B100" s="297" t="s">
        <v>3250</v>
      </c>
      <c r="C100" s="298" t="s">
        <v>3170</v>
      </c>
      <c r="D100" s="299" t="s">
        <v>3251</v>
      </c>
      <c r="E100" s="299" t="s">
        <v>3252</v>
      </c>
      <c r="F100" s="300" t="s">
        <v>3166</v>
      </c>
      <c r="G100" s="300" t="s">
        <v>3167</v>
      </c>
      <c r="H100" s="301" t="s">
        <v>1494</v>
      </c>
      <c r="I100" s="302" t="s">
        <v>1494</v>
      </c>
      <c r="J100" s="340" t="s">
        <v>3168</v>
      </c>
      <c r="K100" s="343" t="s">
        <v>53</v>
      </c>
      <c r="L100" s="256">
        <f>CONTINUA!BV100</f>
        <v>0</v>
      </c>
      <c r="M100" s="256">
        <f>CONTINUA!BW100</f>
        <v>0</v>
      </c>
      <c r="N100" s="564"/>
      <c r="O100" s="565" t="s">
        <v>3350</v>
      </c>
      <c r="P100" s="566">
        <v>0</v>
      </c>
      <c r="Q100" s="319">
        <v>0</v>
      </c>
      <c r="R100" s="320"/>
      <c r="S100" s="319">
        <v>0</v>
      </c>
      <c r="T100" s="320"/>
      <c r="U100" s="321">
        <v>0</v>
      </c>
      <c r="V100" s="322">
        <v>0</v>
      </c>
      <c r="W100" s="319">
        <v>0</v>
      </c>
      <c r="X100" s="320"/>
      <c r="Y100" s="319">
        <v>0</v>
      </c>
      <c r="Z100" s="320"/>
      <c r="AA100" s="321">
        <v>0</v>
      </c>
      <c r="AB100" s="322">
        <v>0</v>
      </c>
      <c r="AC100" s="319">
        <v>0</v>
      </c>
      <c r="AD100" s="320"/>
      <c r="AE100" s="319">
        <v>0</v>
      </c>
      <c r="AF100" s="320"/>
      <c r="AG100" s="321">
        <v>0</v>
      </c>
      <c r="AH100" s="322">
        <v>0</v>
      </c>
      <c r="AI100" s="319">
        <v>0</v>
      </c>
      <c r="AJ100" s="320"/>
      <c r="AK100" s="319">
        <v>0</v>
      </c>
      <c r="AL100" s="320"/>
      <c r="AM100" s="321">
        <v>0</v>
      </c>
      <c r="AN100" s="322">
        <v>0</v>
      </c>
      <c r="AO100" s="319">
        <v>0</v>
      </c>
      <c r="AP100" s="320"/>
      <c r="AQ100" s="319">
        <v>0</v>
      </c>
      <c r="AR100" s="320"/>
      <c r="AS100" s="321">
        <v>0</v>
      </c>
      <c r="AT100" s="322">
        <v>0</v>
      </c>
      <c r="AU100" s="319">
        <v>0</v>
      </c>
      <c r="AV100" s="320"/>
      <c r="AW100" s="319">
        <v>0</v>
      </c>
      <c r="AX100" s="320"/>
      <c r="AY100" s="321">
        <v>0</v>
      </c>
      <c r="AZ100" s="322">
        <v>0</v>
      </c>
      <c r="BA100" s="319">
        <v>0</v>
      </c>
      <c r="BB100" s="320"/>
      <c r="BC100" s="319">
        <v>0</v>
      </c>
      <c r="BD100" s="320"/>
      <c r="BE100" s="321">
        <v>0</v>
      </c>
      <c r="BF100" s="322">
        <v>0</v>
      </c>
      <c r="BG100" s="319">
        <v>0</v>
      </c>
      <c r="BH100" s="320"/>
      <c r="BI100" s="319">
        <v>0</v>
      </c>
      <c r="BJ100" s="320"/>
      <c r="BK100" s="321">
        <v>0</v>
      </c>
      <c r="BL100" s="322">
        <v>0</v>
      </c>
      <c r="BM100" s="319">
        <v>0</v>
      </c>
      <c r="BN100" s="320"/>
      <c r="BO100" s="319">
        <v>0</v>
      </c>
      <c r="BP100" s="320"/>
      <c r="BQ100" s="321">
        <v>0</v>
      </c>
      <c r="BR100" s="322">
        <v>0</v>
      </c>
      <c r="BS100" s="319">
        <v>0</v>
      </c>
      <c r="BT100" s="320"/>
      <c r="BU100" s="319">
        <v>0</v>
      </c>
      <c r="BV100" s="320"/>
      <c r="BW100" s="321">
        <v>0</v>
      </c>
      <c r="BX100" s="322">
        <v>0</v>
      </c>
      <c r="BY100" s="319">
        <v>0</v>
      </c>
      <c r="BZ100" s="320"/>
      <c r="CA100" s="319">
        <v>0</v>
      </c>
      <c r="CB100" s="320"/>
      <c r="CC100" s="321">
        <v>0</v>
      </c>
      <c r="CD100" s="322">
        <v>0</v>
      </c>
      <c r="CE100" s="319">
        <v>0</v>
      </c>
      <c r="CF100" s="320"/>
      <c r="CG100" s="319">
        <v>0</v>
      </c>
      <c r="CH100" s="320"/>
      <c r="CI100" s="321">
        <v>0</v>
      </c>
      <c r="CJ100" s="322">
        <v>0</v>
      </c>
      <c r="CK100" s="319">
        <v>0</v>
      </c>
      <c r="CL100" s="320"/>
      <c r="CM100" s="319">
        <v>0</v>
      </c>
      <c r="CN100" s="320"/>
      <c r="CO100" s="321">
        <v>0</v>
      </c>
      <c r="CP100" s="322">
        <v>0</v>
      </c>
      <c r="CQ100" s="319">
        <v>0</v>
      </c>
      <c r="CR100" s="320"/>
      <c r="CS100" s="319">
        <v>0</v>
      </c>
      <c r="CT100" s="320"/>
      <c r="CU100" s="321">
        <v>0</v>
      </c>
      <c r="CV100" s="322">
        <v>0</v>
      </c>
      <c r="CW100" s="319">
        <v>0</v>
      </c>
      <c r="CX100" s="320"/>
      <c r="CY100" s="319">
        <v>0</v>
      </c>
      <c r="CZ100" s="320"/>
      <c r="DA100" s="321">
        <v>0</v>
      </c>
      <c r="DB100" s="322">
        <v>0</v>
      </c>
      <c r="DC100" s="319">
        <v>0</v>
      </c>
      <c r="DD100" s="320"/>
      <c r="DE100" s="319">
        <v>0</v>
      </c>
      <c r="DF100" s="320"/>
      <c r="DG100" s="321">
        <v>0</v>
      </c>
      <c r="DH100" s="322">
        <v>0</v>
      </c>
      <c r="DI100" s="319">
        <v>0</v>
      </c>
      <c r="DJ100" s="320"/>
      <c r="DK100" s="319">
        <v>0</v>
      </c>
      <c r="DL100" s="320"/>
      <c r="DM100" s="321">
        <v>0</v>
      </c>
      <c r="DN100" s="322">
        <v>0</v>
      </c>
      <c r="DO100" s="319">
        <v>0</v>
      </c>
      <c r="DP100" s="320"/>
      <c r="DQ100" s="319">
        <v>0</v>
      </c>
      <c r="DR100" s="320"/>
      <c r="DS100" s="321">
        <v>0</v>
      </c>
      <c r="DT100" s="322">
        <v>0</v>
      </c>
      <c r="DU100" s="319">
        <v>0</v>
      </c>
      <c r="DV100" s="320"/>
      <c r="DW100" s="319">
        <v>0</v>
      </c>
      <c r="DX100" s="320"/>
      <c r="DY100" s="321">
        <v>0</v>
      </c>
      <c r="DZ100" s="322">
        <v>0</v>
      </c>
      <c r="EA100" s="319">
        <v>0</v>
      </c>
      <c r="EB100" s="320"/>
      <c r="EC100" s="319">
        <v>0</v>
      </c>
      <c r="ED100" s="320"/>
      <c r="EE100" s="321">
        <v>0</v>
      </c>
      <c r="EF100" s="322">
        <v>0</v>
      </c>
      <c r="EG100" s="319">
        <v>0</v>
      </c>
      <c r="EH100" s="320"/>
      <c r="EI100" s="319">
        <v>0</v>
      </c>
      <c r="EJ100" s="320"/>
      <c r="EK100" s="321">
        <v>0</v>
      </c>
      <c r="EL100" s="322">
        <v>0</v>
      </c>
      <c r="EM100" s="319">
        <v>0</v>
      </c>
      <c r="EN100" s="320"/>
      <c r="EO100" s="319">
        <v>0</v>
      </c>
      <c r="EP100" s="320"/>
      <c r="EQ100" s="321">
        <v>0</v>
      </c>
      <c r="ER100" s="322">
        <v>0</v>
      </c>
      <c r="ES100" s="319">
        <v>0</v>
      </c>
      <c r="ET100" s="320"/>
      <c r="EU100" s="319">
        <v>0</v>
      </c>
      <c r="EV100" s="320"/>
      <c r="EW100" s="321">
        <v>0</v>
      </c>
      <c r="EX100" s="322">
        <v>0</v>
      </c>
      <c r="EY100" s="319">
        <v>0</v>
      </c>
      <c r="EZ100" s="320"/>
      <c r="FA100" s="319">
        <v>0</v>
      </c>
      <c r="FB100" s="320"/>
      <c r="FC100" s="321">
        <v>0</v>
      </c>
      <c r="FD100" s="322">
        <v>0</v>
      </c>
      <c r="FE100" s="319">
        <v>0</v>
      </c>
      <c r="FF100" s="320"/>
      <c r="FG100" s="319">
        <v>0</v>
      </c>
      <c r="FH100" s="320"/>
      <c r="FI100" s="321">
        <v>0</v>
      </c>
      <c r="FJ100" s="322">
        <v>0</v>
      </c>
      <c r="FK100" s="319">
        <v>0</v>
      </c>
      <c r="FL100" s="320"/>
      <c r="FM100" s="319">
        <v>0</v>
      </c>
      <c r="FN100" s="320"/>
      <c r="FO100" s="321">
        <v>0</v>
      </c>
      <c r="FP100" s="322">
        <v>0</v>
      </c>
      <c r="FQ100" s="319">
        <v>0</v>
      </c>
      <c r="FR100" s="320"/>
      <c r="FS100" s="319">
        <v>0</v>
      </c>
      <c r="FT100" s="320"/>
      <c r="FU100" s="321">
        <v>0</v>
      </c>
      <c r="FV100" s="322">
        <v>0</v>
      </c>
      <c r="FW100" s="319">
        <v>0</v>
      </c>
      <c r="FX100" s="320"/>
      <c r="FY100" s="319">
        <v>0</v>
      </c>
      <c r="FZ100" s="320"/>
      <c r="GA100" s="321">
        <v>0</v>
      </c>
      <c r="GB100" s="322">
        <v>0</v>
      </c>
      <c r="GC100" s="319">
        <v>0</v>
      </c>
      <c r="GD100" s="320"/>
      <c r="GE100" s="319">
        <v>0</v>
      </c>
      <c r="GF100" s="320"/>
      <c r="GG100" s="321">
        <v>0</v>
      </c>
      <c r="GH100" s="322">
        <v>0</v>
      </c>
      <c r="GI100" s="319">
        <v>0</v>
      </c>
      <c r="GJ100" s="320"/>
      <c r="GK100" s="319">
        <v>0</v>
      </c>
      <c r="GL100" s="320"/>
      <c r="GM100" s="321">
        <v>0</v>
      </c>
      <c r="GN100" s="322">
        <v>0</v>
      </c>
      <c r="GO100" s="319">
        <v>0</v>
      </c>
      <c r="GP100" s="320"/>
      <c r="GQ100" s="319">
        <v>0</v>
      </c>
      <c r="GR100" s="320"/>
      <c r="GS100" s="321">
        <v>0</v>
      </c>
      <c r="GT100" s="322">
        <v>0</v>
      </c>
      <c r="GU100" s="319">
        <v>0</v>
      </c>
      <c r="GV100" s="320"/>
      <c r="GW100" s="319">
        <v>0</v>
      </c>
      <c r="GX100" s="320"/>
      <c r="GY100" s="321">
        <v>0</v>
      </c>
      <c r="GZ100" s="322">
        <v>0</v>
      </c>
    </row>
    <row r="101" spans="1:208" s="89" customFormat="1" ht="22.5" customHeight="1" x14ac:dyDescent="0.2">
      <c r="A101" t="s">
        <v>3253</v>
      </c>
      <c r="B101" s="429" t="s">
        <v>3254</v>
      </c>
      <c r="C101" s="430">
        <v>1</v>
      </c>
      <c r="D101" s="431" t="s">
        <v>3255</v>
      </c>
      <c r="E101" s="431" t="s">
        <v>3256</v>
      </c>
      <c r="F101" s="432" t="s">
        <v>3166</v>
      </c>
      <c r="G101" s="432" t="s">
        <v>3167</v>
      </c>
      <c r="H101" s="270" t="s">
        <v>1497</v>
      </c>
      <c r="I101" s="271" t="s">
        <v>1497</v>
      </c>
      <c r="J101" s="328" t="s">
        <v>3168</v>
      </c>
      <c r="K101" s="329" t="s">
        <v>3169</v>
      </c>
      <c r="L101" s="256">
        <f>CONTINUA!BV101</f>
        <v>0</v>
      </c>
      <c r="M101" s="256">
        <f>CONTINUA!BW101</f>
        <v>0</v>
      </c>
      <c r="N101" s="564"/>
      <c r="O101" s="565" t="s">
        <v>3351</v>
      </c>
      <c r="P101" s="566">
        <v>0</v>
      </c>
      <c r="Q101" s="319">
        <v>0</v>
      </c>
      <c r="R101" s="320"/>
      <c r="S101" s="319">
        <v>0</v>
      </c>
      <c r="T101" s="320"/>
      <c r="U101" s="321">
        <v>0</v>
      </c>
      <c r="V101" s="322">
        <v>0</v>
      </c>
      <c r="W101" s="319">
        <v>0</v>
      </c>
      <c r="X101" s="320"/>
      <c r="Y101" s="319">
        <v>0</v>
      </c>
      <c r="Z101" s="320"/>
      <c r="AA101" s="321">
        <v>0</v>
      </c>
      <c r="AB101" s="322">
        <v>0</v>
      </c>
      <c r="AC101" s="319">
        <v>0</v>
      </c>
      <c r="AD101" s="320"/>
      <c r="AE101" s="319">
        <v>0</v>
      </c>
      <c r="AF101" s="320"/>
      <c r="AG101" s="321">
        <v>0</v>
      </c>
      <c r="AH101" s="322">
        <v>0</v>
      </c>
      <c r="AI101" s="319">
        <v>0</v>
      </c>
      <c r="AJ101" s="320"/>
      <c r="AK101" s="319">
        <v>0</v>
      </c>
      <c r="AL101" s="320"/>
      <c r="AM101" s="321">
        <v>0</v>
      </c>
      <c r="AN101" s="322">
        <v>0</v>
      </c>
      <c r="AO101" s="319">
        <v>0</v>
      </c>
      <c r="AP101" s="320"/>
      <c r="AQ101" s="319">
        <v>0</v>
      </c>
      <c r="AR101" s="320"/>
      <c r="AS101" s="321">
        <v>0</v>
      </c>
      <c r="AT101" s="322">
        <v>0</v>
      </c>
      <c r="AU101" s="319">
        <v>0</v>
      </c>
      <c r="AV101" s="320"/>
      <c r="AW101" s="319">
        <v>0</v>
      </c>
      <c r="AX101" s="320"/>
      <c r="AY101" s="321">
        <v>0</v>
      </c>
      <c r="AZ101" s="322">
        <v>0</v>
      </c>
      <c r="BA101" s="319">
        <v>0</v>
      </c>
      <c r="BB101" s="320"/>
      <c r="BC101" s="319">
        <v>0</v>
      </c>
      <c r="BD101" s="320"/>
      <c r="BE101" s="321">
        <v>0</v>
      </c>
      <c r="BF101" s="322">
        <v>0</v>
      </c>
      <c r="BG101" s="319">
        <v>0</v>
      </c>
      <c r="BH101" s="320"/>
      <c r="BI101" s="319">
        <v>0</v>
      </c>
      <c r="BJ101" s="320"/>
      <c r="BK101" s="321">
        <v>0</v>
      </c>
      <c r="BL101" s="322">
        <v>0</v>
      </c>
      <c r="BM101" s="319">
        <v>0</v>
      </c>
      <c r="BN101" s="320"/>
      <c r="BO101" s="319">
        <v>0</v>
      </c>
      <c r="BP101" s="320"/>
      <c r="BQ101" s="321">
        <v>0</v>
      </c>
      <c r="BR101" s="322">
        <v>0</v>
      </c>
      <c r="BS101" s="319">
        <v>0</v>
      </c>
      <c r="BT101" s="320"/>
      <c r="BU101" s="319">
        <v>0</v>
      </c>
      <c r="BV101" s="320"/>
      <c r="BW101" s="321">
        <v>0</v>
      </c>
      <c r="BX101" s="322">
        <v>0</v>
      </c>
      <c r="BY101" s="319">
        <v>0</v>
      </c>
      <c r="BZ101" s="320"/>
      <c r="CA101" s="319">
        <v>0</v>
      </c>
      <c r="CB101" s="320"/>
      <c r="CC101" s="321">
        <v>0</v>
      </c>
      <c r="CD101" s="322">
        <v>0</v>
      </c>
      <c r="CE101" s="319">
        <v>0</v>
      </c>
      <c r="CF101" s="320"/>
      <c r="CG101" s="319">
        <v>0</v>
      </c>
      <c r="CH101" s="320"/>
      <c r="CI101" s="321">
        <v>0</v>
      </c>
      <c r="CJ101" s="322">
        <v>0</v>
      </c>
      <c r="CK101" s="319">
        <v>0</v>
      </c>
      <c r="CL101" s="320"/>
      <c r="CM101" s="319">
        <v>0</v>
      </c>
      <c r="CN101" s="320"/>
      <c r="CO101" s="321">
        <v>0</v>
      </c>
      <c r="CP101" s="322">
        <v>0</v>
      </c>
      <c r="CQ101" s="319">
        <v>0</v>
      </c>
      <c r="CR101" s="320"/>
      <c r="CS101" s="319">
        <v>0</v>
      </c>
      <c r="CT101" s="320"/>
      <c r="CU101" s="321">
        <v>0</v>
      </c>
      <c r="CV101" s="322">
        <v>0</v>
      </c>
      <c r="CW101" s="319">
        <v>0</v>
      </c>
      <c r="CX101" s="320"/>
      <c r="CY101" s="319">
        <v>0</v>
      </c>
      <c r="CZ101" s="320"/>
      <c r="DA101" s="321">
        <v>0</v>
      </c>
      <c r="DB101" s="322">
        <v>0</v>
      </c>
      <c r="DC101" s="319">
        <v>0</v>
      </c>
      <c r="DD101" s="320"/>
      <c r="DE101" s="319">
        <v>0</v>
      </c>
      <c r="DF101" s="320"/>
      <c r="DG101" s="321">
        <v>0</v>
      </c>
      <c r="DH101" s="322">
        <v>0</v>
      </c>
      <c r="DI101" s="319">
        <v>0</v>
      </c>
      <c r="DJ101" s="320"/>
      <c r="DK101" s="319">
        <v>0</v>
      </c>
      <c r="DL101" s="320"/>
      <c r="DM101" s="321">
        <v>0</v>
      </c>
      <c r="DN101" s="322">
        <v>0</v>
      </c>
      <c r="DO101" s="319">
        <v>0</v>
      </c>
      <c r="DP101" s="320"/>
      <c r="DQ101" s="319">
        <v>0</v>
      </c>
      <c r="DR101" s="320"/>
      <c r="DS101" s="321">
        <v>0</v>
      </c>
      <c r="DT101" s="322">
        <v>0</v>
      </c>
      <c r="DU101" s="319">
        <v>0</v>
      </c>
      <c r="DV101" s="320"/>
      <c r="DW101" s="319">
        <v>0</v>
      </c>
      <c r="DX101" s="320"/>
      <c r="DY101" s="321">
        <v>0</v>
      </c>
      <c r="DZ101" s="322">
        <v>0</v>
      </c>
      <c r="EA101" s="319">
        <v>0</v>
      </c>
      <c r="EB101" s="320"/>
      <c r="EC101" s="319">
        <v>0</v>
      </c>
      <c r="ED101" s="320"/>
      <c r="EE101" s="321">
        <v>0</v>
      </c>
      <c r="EF101" s="322">
        <v>0</v>
      </c>
      <c r="EG101" s="319">
        <v>0</v>
      </c>
      <c r="EH101" s="320"/>
      <c r="EI101" s="319">
        <v>0</v>
      </c>
      <c r="EJ101" s="320"/>
      <c r="EK101" s="321">
        <v>0</v>
      </c>
      <c r="EL101" s="322">
        <v>0</v>
      </c>
      <c r="EM101" s="319">
        <v>0</v>
      </c>
      <c r="EN101" s="320"/>
      <c r="EO101" s="319">
        <v>0</v>
      </c>
      <c r="EP101" s="320"/>
      <c r="EQ101" s="321">
        <v>0</v>
      </c>
      <c r="ER101" s="322">
        <v>0</v>
      </c>
      <c r="ES101" s="319">
        <v>0</v>
      </c>
      <c r="ET101" s="320"/>
      <c r="EU101" s="319">
        <v>0</v>
      </c>
      <c r="EV101" s="320"/>
      <c r="EW101" s="321">
        <v>0</v>
      </c>
      <c r="EX101" s="322">
        <v>0</v>
      </c>
      <c r="EY101" s="319">
        <v>0</v>
      </c>
      <c r="EZ101" s="320"/>
      <c r="FA101" s="319">
        <v>0</v>
      </c>
      <c r="FB101" s="320"/>
      <c r="FC101" s="321">
        <v>0</v>
      </c>
      <c r="FD101" s="322">
        <v>0</v>
      </c>
      <c r="FE101" s="319">
        <v>0</v>
      </c>
      <c r="FF101" s="320"/>
      <c r="FG101" s="319">
        <v>0</v>
      </c>
      <c r="FH101" s="320"/>
      <c r="FI101" s="321">
        <v>0</v>
      </c>
      <c r="FJ101" s="322">
        <v>0</v>
      </c>
      <c r="FK101" s="319">
        <v>0</v>
      </c>
      <c r="FL101" s="320"/>
      <c r="FM101" s="319">
        <v>0</v>
      </c>
      <c r="FN101" s="320"/>
      <c r="FO101" s="321">
        <v>0</v>
      </c>
      <c r="FP101" s="322">
        <v>0</v>
      </c>
      <c r="FQ101" s="319">
        <v>0</v>
      </c>
      <c r="FR101" s="320"/>
      <c r="FS101" s="319">
        <v>0</v>
      </c>
      <c r="FT101" s="320"/>
      <c r="FU101" s="321">
        <v>0</v>
      </c>
      <c r="FV101" s="322">
        <v>0</v>
      </c>
      <c r="FW101" s="319">
        <v>0</v>
      </c>
      <c r="FX101" s="320"/>
      <c r="FY101" s="319">
        <v>0</v>
      </c>
      <c r="FZ101" s="320"/>
      <c r="GA101" s="321">
        <v>0</v>
      </c>
      <c r="GB101" s="322">
        <v>0</v>
      </c>
      <c r="GC101" s="319">
        <v>0</v>
      </c>
      <c r="GD101" s="320"/>
      <c r="GE101" s="319">
        <v>0</v>
      </c>
      <c r="GF101" s="320"/>
      <c r="GG101" s="321">
        <v>0</v>
      </c>
      <c r="GH101" s="322">
        <v>0</v>
      </c>
      <c r="GI101" s="319">
        <v>0</v>
      </c>
      <c r="GJ101" s="320"/>
      <c r="GK101" s="319">
        <v>0</v>
      </c>
      <c r="GL101" s="320"/>
      <c r="GM101" s="321">
        <v>0</v>
      </c>
      <c r="GN101" s="322">
        <v>0</v>
      </c>
      <c r="GO101" s="319">
        <v>0</v>
      </c>
      <c r="GP101" s="320"/>
      <c r="GQ101" s="319">
        <v>0</v>
      </c>
      <c r="GR101" s="320"/>
      <c r="GS101" s="321">
        <v>0</v>
      </c>
      <c r="GT101" s="322">
        <v>0</v>
      </c>
      <c r="GU101" s="319">
        <v>0</v>
      </c>
      <c r="GV101" s="320"/>
      <c r="GW101" s="319">
        <v>0</v>
      </c>
      <c r="GX101" s="320"/>
      <c r="GY101" s="321">
        <v>0</v>
      </c>
      <c r="GZ101" s="322">
        <v>0</v>
      </c>
    </row>
    <row r="102" spans="1:208" s="89" customFormat="1" ht="22.5" customHeight="1" x14ac:dyDescent="0.2">
      <c r="A102" s="287" t="s">
        <v>3253</v>
      </c>
      <c r="B102" s="288" t="s">
        <v>3254</v>
      </c>
      <c r="C102" s="289" t="s">
        <v>3170</v>
      </c>
      <c r="D102" s="290" t="s">
        <v>3255</v>
      </c>
      <c r="E102" s="290" t="s">
        <v>3256</v>
      </c>
      <c r="F102" s="291" t="s">
        <v>3166</v>
      </c>
      <c r="G102" s="291" t="s">
        <v>3167</v>
      </c>
      <c r="H102" s="292" t="s">
        <v>1497</v>
      </c>
      <c r="I102" s="293" t="s">
        <v>1497</v>
      </c>
      <c r="J102" s="340" t="s">
        <v>3168</v>
      </c>
      <c r="K102" s="340" t="s">
        <v>3171</v>
      </c>
      <c r="L102" s="256">
        <f>CONTINUA!BV102</f>
        <v>8</v>
      </c>
      <c r="M102" s="256">
        <f>CONTINUA!BW102</f>
        <v>0</v>
      </c>
      <c r="N102" s="564"/>
      <c r="O102" s="565" t="s">
        <v>3351</v>
      </c>
      <c r="P102" s="566">
        <v>0</v>
      </c>
      <c r="Q102" s="319">
        <v>35</v>
      </c>
      <c r="R102" s="320"/>
      <c r="S102" s="319">
        <v>0</v>
      </c>
      <c r="T102" s="320"/>
      <c r="U102" s="319">
        <v>0</v>
      </c>
      <c r="V102" s="320">
        <v>0</v>
      </c>
      <c r="W102" s="319">
        <v>35</v>
      </c>
      <c r="X102" s="320"/>
      <c r="Y102" s="319">
        <v>0</v>
      </c>
      <c r="Z102" s="320"/>
      <c r="AA102" s="319">
        <v>0</v>
      </c>
      <c r="AB102" s="320">
        <v>0</v>
      </c>
      <c r="AC102" s="319">
        <v>35</v>
      </c>
      <c r="AD102" s="320"/>
      <c r="AE102" s="319">
        <v>0</v>
      </c>
      <c r="AF102" s="320"/>
      <c r="AG102" s="319">
        <v>0</v>
      </c>
      <c r="AH102" s="320">
        <v>0</v>
      </c>
      <c r="AI102" s="319">
        <v>35</v>
      </c>
      <c r="AJ102" s="320"/>
      <c r="AK102" s="319">
        <v>0</v>
      </c>
      <c r="AL102" s="320"/>
      <c r="AM102" s="319">
        <v>0</v>
      </c>
      <c r="AN102" s="320">
        <v>0</v>
      </c>
      <c r="AO102" s="319">
        <v>35</v>
      </c>
      <c r="AP102" s="320"/>
      <c r="AQ102" s="319">
        <v>0</v>
      </c>
      <c r="AR102" s="320"/>
      <c r="AS102" s="319">
        <v>0</v>
      </c>
      <c r="AT102" s="320">
        <v>0</v>
      </c>
      <c r="AU102" s="319">
        <v>35</v>
      </c>
      <c r="AV102" s="320"/>
      <c r="AW102" s="319">
        <v>0</v>
      </c>
      <c r="AX102" s="320"/>
      <c r="AY102" s="319">
        <v>0</v>
      </c>
      <c r="AZ102" s="320">
        <v>0</v>
      </c>
      <c r="BA102" s="319">
        <v>35</v>
      </c>
      <c r="BB102" s="320"/>
      <c r="BC102" s="319">
        <v>0</v>
      </c>
      <c r="BD102" s="320"/>
      <c r="BE102" s="319">
        <v>0</v>
      </c>
      <c r="BF102" s="320">
        <v>0</v>
      </c>
      <c r="BG102" s="319">
        <v>35</v>
      </c>
      <c r="BH102" s="320"/>
      <c r="BI102" s="319">
        <v>0</v>
      </c>
      <c r="BJ102" s="320"/>
      <c r="BK102" s="319">
        <v>0</v>
      </c>
      <c r="BL102" s="320">
        <v>0</v>
      </c>
      <c r="BM102" s="319">
        <v>35</v>
      </c>
      <c r="BN102" s="320"/>
      <c r="BO102" s="319">
        <v>0</v>
      </c>
      <c r="BP102" s="320"/>
      <c r="BQ102" s="319">
        <v>0</v>
      </c>
      <c r="BR102" s="320">
        <v>0</v>
      </c>
      <c r="BS102" s="319">
        <v>35</v>
      </c>
      <c r="BT102" s="320"/>
      <c r="BU102" s="319">
        <v>0</v>
      </c>
      <c r="BV102" s="320"/>
      <c r="BW102" s="319">
        <v>0</v>
      </c>
      <c r="BX102" s="320">
        <v>0</v>
      </c>
      <c r="BY102" s="319">
        <v>35</v>
      </c>
      <c r="BZ102" s="320"/>
      <c r="CA102" s="319">
        <v>0</v>
      </c>
      <c r="CB102" s="320"/>
      <c r="CC102" s="319">
        <v>0</v>
      </c>
      <c r="CD102" s="320">
        <v>0</v>
      </c>
      <c r="CE102" s="319">
        <v>35</v>
      </c>
      <c r="CF102" s="320"/>
      <c r="CG102" s="319">
        <v>0</v>
      </c>
      <c r="CH102" s="320"/>
      <c r="CI102" s="319">
        <v>0</v>
      </c>
      <c r="CJ102" s="320">
        <v>0</v>
      </c>
      <c r="CK102" s="319">
        <v>35</v>
      </c>
      <c r="CL102" s="320"/>
      <c r="CM102" s="319">
        <v>0</v>
      </c>
      <c r="CN102" s="320"/>
      <c r="CO102" s="319">
        <v>0</v>
      </c>
      <c r="CP102" s="320">
        <v>0</v>
      </c>
      <c r="CQ102" s="319">
        <v>35</v>
      </c>
      <c r="CR102" s="320"/>
      <c r="CS102" s="319">
        <v>0</v>
      </c>
      <c r="CT102" s="320"/>
      <c r="CU102" s="319">
        <v>0</v>
      </c>
      <c r="CV102" s="320">
        <v>0</v>
      </c>
      <c r="CW102" s="319">
        <v>35</v>
      </c>
      <c r="CX102" s="320"/>
      <c r="CY102" s="319">
        <v>0</v>
      </c>
      <c r="CZ102" s="320"/>
      <c r="DA102" s="319">
        <v>0</v>
      </c>
      <c r="DB102" s="320">
        <v>0</v>
      </c>
      <c r="DC102" s="319">
        <v>35</v>
      </c>
      <c r="DD102" s="320"/>
      <c r="DE102" s="319">
        <v>0</v>
      </c>
      <c r="DF102" s="320"/>
      <c r="DG102" s="319">
        <v>0</v>
      </c>
      <c r="DH102" s="320">
        <v>0</v>
      </c>
      <c r="DI102" s="319">
        <v>35</v>
      </c>
      <c r="DJ102" s="320"/>
      <c r="DK102" s="319">
        <v>0</v>
      </c>
      <c r="DL102" s="320"/>
      <c r="DM102" s="319">
        <v>0</v>
      </c>
      <c r="DN102" s="320">
        <v>0</v>
      </c>
      <c r="DO102" s="319">
        <v>35</v>
      </c>
      <c r="DP102" s="320"/>
      <c r="DQ102" s="319">
        <v>0</v>
      </c>
      <c r="DR102" s="320"/>
      <c r="DS102" s="319">
        <v>0</v>
      </c>
      <c r="DT102" s="320">
        <v>0</v>
      </c>
      <c r="DU102" s="319">
        <v>35</v>
      </c>
      <c r="DV102" s="320"/>
      <c r="DW102" s="319">
        <v>0</v>
      </c>
      <c r="DX102" s="320"/>
      <c r="DY102" s="319">
        <v>0</v>
      </c>
      <c r="DZ102" s="320">
        <v>0</v>
      </c>
      <c r="EA102" s="319">
        <v>35</v>
      </c>
      <c r="EB102" s="320"/>
      <c r="EC102" s="319">
        <v>0</v>
      </c>
      <c r="ED102" s="320"/>
      <c r="EE102" s="319">
        <v>0</v>
      </c>
      <c r="EF102" s="320">
        <v>0</v>
      </c>
      <c r="EG102" s="319">
        <v>35</v>
      </c>
      <c r="EH102" s="320"/>
      <c r="EI102" s="319">
        <v>0</v>
      </c>
      <c r="EJ102" s="320"/>
      <c r="EK102" s="319">
        <v>0</v>
      </c>
      <c r="EL102" s="320">
        <v>0</v>
      </c>
      <c r="EM102" s="319">
        <v>35</v>
      </c>
      <c r="EN102" s="320"/>
      <c r="EO102" s="319">
        <v>0</v>
      </c>
      <c r="EP102" s="320"/>
      <c r="EQ102" s="319">
        <v>0</v>
      </c>
      <c r="ER102" s="320">
        <v>0</v>
      </c>
      <c r="ES102" s="319">
        <v>35</v>
      </c>
      <c r="ET102" s="320"/>
      <c r="EU102" s="319">
        <v>0</v>
      </c>
      <c r="EV102" s="320"/>
      <c r="EW102" s="319">
        <v>0</v>
      </c>
      <c r="EX102" s="320">
        <v>0</v>
      </c>
      <c r="EY102" s="319">
        <v>35</v>
      </c>
      <c r="EZ102" s="320"/>
      <c r="FA102" s="319">
        <v>0</v>
      </c>
      <c r="FB102" s="320"/>
      <c r="FC102" s="319">
        <v>0</v>
      </c>
      <c r="FD102" s="320">
        <v>0</v>
      </c>
      <c r="FE102" s="319">
        <v>35</v>
      </c>
      <c r="FF102" s="320"/>
      <c r="FG102" s="319">
        <v>0</v>
      </c>
      <c r="FH102" s="320"/>
      <c r="FI102" s="319">
        <v>0</v>
      </c>
      <c r="FJ102" s="320">
        <v>0</v>
      </c>
      <c r="FK102" s="319">
        <v>35</v>
      </c>
      <c r="FL102" s="320"/>
      <c r="FM102" s="319">
        <v>0</v>
      </c>
      <c r="FN102" s="320"/>
      <c r="FO102" s="319">
        <v>0</v>
      </c>
      <c r="FP102" s="320">
        <v>0</v>
      </c>
      <c r="FQ102" s="319">
        <v>35</v>
      </c>
      <c r="FR102" s="320"/>
      <c r="FS102" s="319">
        <v>0</v>
      </c>
      <c r="FT102" s="320"/>
      <c r="FU102" s="319">
        <v>0</v>
      </c>
      <c r="FV102" s="320">
        <v>0</v>
      </c>
      <c r="FW102" s="319">
        <v>35</v>
      </c>
      <c r="FX102" s="320"/>
      <c r="FY102" s="319">
        <v>0</v>
      </c>
      <c r="FZ102" s="320"/>
      <c r="GA102" s="319">
        <v>0</v>
      </c>
      <c r="GB102" s="320">
        <v>0</v>
      </c>
      <c r="GC102" s="319">
        <v>35</v>
      </c>
      <c r="GD102" s="320"/>
      <c r="GE102" s="319">
        <v>0</v>
      </c>
      <c r="GF102" s="320"/>
      <c r="GG102" s="319">
        <v>0</v>
      </c>
      <c r="GH102" s="320">
        <v>0</v>
      </c>
      <c r="GI102" s="319">
        <v>35</v>
      </c>
      <c r="GJ102" s="320"/>
      <c r="GK102" s="319">
        <v>0</v>
      </c>
      <c r="GL102" s="320"/>
      <c r="GM102" s="319">
        <v>0</v>
      </c>
      <c r="GN102" s="320">
        <v>0</v>
      </c>
      <c r="GO102" s="319">
        <v>35</v>
      </c>
      <c r="GP102" s="320"/>
      <c r="GQ102" s="319">
        <v>0</v>
      </c>
      <c r="GR102" s="320"/>
      <c r="GS102" s="319">
        <v>0</v>
      </c>
      <c r="GT102" s="320">
        <v>0</v>
      </c>
      <c r="GU102" s="319">
        <v>35</v>
      </c>
      <c r="GV102" s="320"/>
      <c r="GW102" s="319">
        <v>0</v>
      </c>
      <c r="GX102" s="320"/>
      <c r="GY102" s="319">
        <v>0</v>
      </c>
      <c r="GZ102" s="320">
        <v>0</v>
      </c>
    </row>
    <row r="103" spans="1:208" s="89" customFormat="1" ht="22.5" customHeight="1" x14ac:dyDescent="0.2">
      <c r="A103" s="287" t="s">
        <v>3253</v>
      </c>
      <c r="B103" s="288" t="s">
        <v>3254</v>
      </c>
      <c r="C103" s="294" t="s">
        <v>3170</v>
      </c>
      <c r="D103" s="290" t="s">
        <v>3255</v>
      </c>
      <c r="E103" s="290" t="s">
        <v>3256</v>
      </c>
      <c r="F103" s="295" t="s">
        <v>3166</v>
      </c>
      <c r="G103" s="295" t="s">
        <v>3167</v>
      </c>
      <c r="H103" s="292" t="s">
        <v>1497</v>
      </c>
      <c r="I103" s="293" t="s">
        <v>1497</v>
      </c>
      <c r="J103" s="340" t="s">
        <v>3168</v>
      </c>
      <c r="K103" s="341" t="s">
        <v>3172</v>
      </c>
      <c r="L103" s="256">
        <f>CONTINUA!BV103</f>
        <v>0</v>
      </c>
      <c r="M103" s="256">
        <f>CONTINUA!BW103</f>
        <v>0</v>
      </c>
      <c r="N103" s="564"/>
      <c r="O103" s="565" t="s">
        <v>3351</v>
      </c>
      <c r="P103" s="566">
        <v>0</v>
      </c>
      <c r="Q103" s="319">
        <v>0</v>
      </c>
      <c r="R103" s="320"/>
      <c r="S103" s="319">
        <v>0</v>
      </c>
      <c r="T103" s="320"/>
      <c r="U103" s="319">
        <v>0</v>
      </c>
      <c r="V103" s="320">
        <v>0</v>
      </c>
      <c r="W103" s="319">
        <v>0</v>
      </c>
      <c r="X103" s="320"/>
      <c r="Y103" s="319">
        <v>0</v>
      </c>
      <c r="Z103" s="320"/>
      <c r="AA103" s="319">
        <v>0</v>
      </c>
      <c r="AB103" s="320">
        <v>0</v>
      </c>
      <c r="AC103" s="319">
        <v>0</v>
      </c>
      <c r="AD103" s="320"/>
      <c r="AE103" s="319">
        <v>0</v>
      </c>
      <c r="AF103" s="320"/>
      <c r="AG103" s="319">
        <v>0</v>
      </c>
      <c r="AH103" s="320">
        <v>0</v>
      </c>
      <c r="AI103" s="319">
        <v>0</v>
      </c>
      <c r="AJ103" s="320"/>
      <c r="AK103" s="319">
        <v>0</v>
      </c>
      <c r="AL103" s="320"/>
      <c r="AM103" s="319">
        <v>0</v>
      </c>
      <c r="AN103" s="320">
        <v>0</v>
      </c>
      <c r="AO103" s="319">
        <v>0</v>
      </c>
      <c r="AP103" s="320"/>
      <c r="AQ103" s="319">
        <v>0</v>
      </c>
      <c r="AR103" s="320"/>
      <c r="AS103" s="319">
        <v>0</v>
      </c>
      <c r="AT103" s="320">
        <v>0</v>
      </c>
      <c r="AU103" s="319">
        <v>0</v>
      </c>
      <c r="AV103" s="320"/>
      <c r="AW103" s="319">
        <v>0</v>
      </c>
      <c r="AX103" s="320"/>
      <c r="AY103" s="319">
        <v>0</v>
      </c>
      <c r="AZ103" s="320">
        <v>0</v>
      </c>
      <c r="BA103" s="319">
        <v>0</v>
      </c>
      <c r="BB103" s="320"/>
      <c r="BC103" s="319">
        <v>0</v>
      </c>
      <c r="BD103" s="320"/>
      <c r="BE103" s="319">
        <v>0</v>
      </c>
      <c r="BF103" s="320">
        <v>0</v>
      </c>
      <c r="BG103" s="319">
        <v>0</v>
      </c>
      <c r="BH103" s="320"/>
      <c r="BI103" s="319">
        <v>0</v>
      </c>
      <c r="BJ103" s="320"/>
      <c r="BK103" s="319">
        <v>0</v>
      </c>
      <c r="BL103" s="320">
        <v>0</v>
      </c>
      <c r="BM103" s="319">
        <v>0</v>
      </c>
      <c r="BN103" s="320"/>
      <c r="BO103" s="319">
        <v>0</v>
      </c>
      <c r="BP103" s="320"/>
      <c r="BQ103" s="319">
        <v>0</v>
      </c>
      <c r="BR103" s="320">
        <v>0</v>
      </c>
      <c r="BS103" s="319">
        <v>0</v>
      </c>
      <c r="BT103" s="320"/>
      <c r="BU103" s="319">
        <v>0</v>
      </c>
      <c r="BV103" s="320"/>
      <c r="BW103" s="319">
        <v>0</v>
      </c>
      <c r="BX103" s="320">
        <v>0</v>
      </c>
      <c r="BY103" s="319">
        <v>0</v>
      </c>
      <c r="BZ103" s="320"/>
      <c r="CA103" s="319">
        <v>0</v>
      </c>
      <c r="CB103" s="320"/>
      <c r="CC103" s="319">
        <v>0</v>
      </c>
      <c r="CD103" s="320">
        <v>0</v>
      </c>
      <c r="CE103" s="319">
        <v>0</v>
      </c>
      <c r="CF103" s="320"/>
      <c r="CG103" s="319">
        <v>0</v>
      </c>
      <c r="CH103" s="320"/>
      <c r="CI103" s="319">
        <v>0</v>
      </c>
      <c r="CJ103" s="320">
        <v>0</v>
      </c>
      <c r="CK103" s="319">
        <v>0</v>
      </c>
      <c r="CL103" s="320"/>
      <c r="CM103" s="319">
        <v>0</v>
      </c>
      <c r="CN103" s="320"/>
      <c r="CO103" s="319">
        <v>0</v>
      </c>
      <c r="CP103" s="320">
        <v>0</v>
      </c>
      <c r="CQ103" s="319">
        <v>0</v>
      </c>
      <c r="CR103" s="320"/>
      <c r="CS103" s="319">
        <v>0</v>
      </c>
      <c r="CT103" s="320"/>
      <c r="CU103" s="319">
        <v>0</v>
      </c>
      <c r="CV103" s="320">
        <v>0</v>
      </c>
      <c r="CW103" s="319">
        <v>0</v>
      </c>
      <c r="CX103" s="320"/>
      <c r="CY103" s="319">
        <v>0</v>
      </c>
      <c r="CZ103" s="320"/>
      <c r="DA103" s="319">
        <v>0</v>
      </c>
      <c r="DB103" s="320">
        <v>0</v>
      </c>
      <c r="DC103" s="319">
        <v>0</v>
      </c>
      <c r="DD103" s="320"/>
      <c r="DE103" s="319">
        <v>0</v>
      </c>
      <c r="DF103" s="320"/>
      <c r="DG103" s="319">
        <v>0</v>
      </c>
      <c r="DH103" s="320">
        <v>0</v>
      </c>
      <c r="DI103" s="319">
        <v>0</v>
      </c>
      <c r="DJ103" s="320"/>
      <c r="DK103" s="319">
        <v>0</v>
      </c>
      <c r="DL103" s="320"/>
      <c r="DM103" s="319">
        <v>0</v>
      </c>
      <c r="DN103" s="320">
        <v>0</v>
      </c>
      <c r="DO103" s="319">
        <v>0</v>
      </c>
      <c r="DP103" s="320"/>
      <c r="DQ103" s="319">
        <v>0</v>
      </c>
      <c r="DR103" s="320"/>
      <c r="DS103" s="319">
        <v>0</v>
      </c>
      <c r="DT103" s="320">
        <v>0</v>
      </c>
      <c r="DU103" s="319">
        <v>0</v>
      </c>
      <c r="DV103" s="320"/>
      <c r="DW103" s="319">
        <v>0</v>
      </c>
      <c r="DX103" s="320"/>
      <c r="DY103" s="319">
        <v>0</v>
      </c>
      <c r="DZ103" s="320">
        <v>0</v>
      </c>
      <c r="EA103" s="319">
        <v>0</v>
      </c>
      <c r="EB103" s="320"/>
      <c r="EC103" s="319">
        <v>0</v>
      </c>
      <c r="ED103" s="320"/>
      <c r="EE103" s="319">
        <v>0</v>
      </c>
      <c r="EF103" s="320">
        <v>0</v>
      </c>
      <c r="EG103" s="319">
        <v>0</v>
      </c>
      <c r="EH103" s="320"/>
      <c r="EI103" s="319">
        <v>0</v>
      </c>
      <c r="EJ103" s="320"/>
      <c r="EK103" s="319">
        <v>0</v>
      </c>
      <c r="EL103" s="320">
        <v>0</v>
      </c>
      <c r="EM103" s="319">
        <v>0</v>
      </c>
      <c r="EN103" s="320"/>
      <c r="EO103" s="319">
        <v>0</v>
      </c>
      <c r="EP103" s="320"/>
      <c r="EQ103" s="319">
        <v>0</v>
      </c>
      <c r="ER103" s="320">
        <v>0</v>
      </c>
      <c r="ES103" s="319">
        <v>0</v>
      </c>
      <c r="ET103" s="320"/>
      <c r="EU103" s="319">
        <v>0</v>
      </c>
      <c r="EV103" s="320"/>
      <c r="EW103" s="319">
        <v>0</v>
      </c>
      <c r="EX103" s="320">
        <v>0</v>
      </c>
      <c r="EY103" s="319">
        <v>0</v>
      </c>
      <c r="EZ103" s="320"/>
      <c r="FA103" s="319">
        <v>0</v>
      </c>
      <c r="FB103" s="320"/>
      <c r="FC103" s="319">
        <v>0</v>
      </c>
      <c r="FD103" s="320">
        <v>0</v>
      </c>
      <c r="FE103" s="319">
        <v>0</v>
      </c>
      <c r="FF103" s="320"/>
      <c r="FG103" s="319">
        <v>0</v>
      </c>
      <c r="FH103" s="320"/>
      <c r="FI103" s="319">
        <v>0</v>
      </c>
      <c r="FJ103" s="320">
        <v>0</v>
      </c>
      <c r="FK103" s="319">
        <v>0</v>
      </c>
      <c r="FL103" s="320"/>
      <c r="FM103" s="319">
        <v>0</v>
      </c>
      <c r="FN103" s="320"/>
      <c r="FO103" s="319">
        <v>0</v>
      </c>
      <c r="FP103" s="320">
        <v>0</v>
      </c>
      <c r="FQ103" s="319">
        <v>0</v>
      </c>
      <c r="FR103" s="320"/>
      <c r="FS103" s="319">
        <v>0</v>
      </c>
      <c r="FT103" s="320"/>
      <c r="FU103" s="319">
        <v>0</v>
      </c>
      <c r="FV103" s="320">
        <v>0</v>
      </c>
      <c r="FW103" s="319">
        <v>0</v>
      </c>
      <c r="FX103" s="320"/>
      <c r="FY103" s="319">
        <v>0</v>
      </c>
      <c r="FZ103" s="320"/>
      <c r="GA103" s="319">
        <v>0</v>
      </c>
      <c r="GB103" s="320">
        <v>0</v>
      </c>
      <c r="GC103" s="319">
        <v>0</v>
      </c>
      <c r="GD103" s="320"/>
      <c r="GE103" s="319">
        <v>0</v>
      </c>
      <c r="GF103" s="320"/>
      <c r="GG103" s="319">
        <v>0</v>
      </c>
      <c r="GH103" s="320">
        <v>0</v>
      </c>
      <c r="GI103" s="319">
        <v>0</v>
      </c>
      <c r="GJ103" s="320"/>
      <c r="GK103" s="319">
        <v>0</v>
      </c>
      <c r="GL103" s="320"/>
      <c r="GM103" s="319">
        <v>0</v>
      </c>
      <c r="GN103" s="320">
        <v>0</v>
      </c>
      <c r="GO103" s="319">
        <v>0</v>
      </c>
      <c r="GP103" s="320"/>
      <c r="GQ103" s="319">
        <v>0</v>
      </c>
      <c r="GR103" s="320"/>
      <c r="GS103" s="319">
        <v>0</v>
      </c>
      <c r="GT103" s="320">
        <v>0</v>
      </c>
      <c r="GU103" s="319">
        <v>0</v>
      </c>
      <c r="GV103" s="320"/>
      <c r="GW103" s="319">
        <v>0</v>
      </c>
      <c r="GX103" s="320"/>
      <c r="GY103" s="319">
        <v>0</v>
      </c>
      <c r="GZ103" s="320">
        <v>0</v>
      </c>
    </row>
    <row r="104" spans="1:208" s="89" customFormat="1" ht="22.5" customHeight="1" x14ac:dyDescent="0.2">
      <c r="A104" s="287" t="s">
        <v>3253</v>
      </c>
      <c r="B104" s="288" t="s">
        <v>3254</v>
      </c>
      <c r="C104" s="294" t="s">
        <v>3170</v>
      </c>
      <c r="D104" s="290" t="s">
        <v>3255</v>
      </c>
      <c r="E104" s="290" t="s">
        <v>3256</v>
      </c>
      <c r="F104" s="295" t="s">
        <v>3166</v>
      </c>
      <c r="G104" s="295" t="s">
        <v>3167</v>
      </c>
      <c r="H104" s="292" t="s">
        <v>1497</v>
      </c>
      <c r="I104" s="293" t="s">
        <v>1497</v>
      </c>
      <c r="J104" s="340" t="s">
        <v>3168</v>
      </c>
      <c r="K104" s="342" t="s">
        <v>3173</v>
      </c>
      <c r="L104" s="256">
        <f>CONTINUA!BV104</f>
        <v>0</v>
      </c>
      <c r="M104" s="256">
        <f>CONTINUA!BW104</f>
        <v>0</v>
      </c>
      <c r="N104" s="564"/>
      <c r="O104" s="565" t="s">
        <v>3351</v>
      </c>
      <c r="P104" s="566">
        <v>0</v>
      </c>
      <c r="Q104" s="319">
        <v>0</v>
      </c>
      <c r="R104" s="320"/>
      <c r="S104" s="319">
        <v>0</v>
      </c>
      <c r="T104" s="320"/>
      <c r="U104" s="319">
        <v>0</v>
      </c>
      <c r="V104" s="320">
        <v>0</v>
      </c>
      <c r="W104" s="319">
        <v>0</v>
      </c>
      <c r="X104" s="320"/>
      <c r="Y104" s="319">
        <v>0</v>
      </c>
      <c r="Z104" s="320"/>
      <c r="AA104" s="319">
        <v>0</v>
      </c>
      <c r="AB104" s="320">
        <v>0</v>
      </c>
      <c r="AC104" s="319">
        <v>0</v>
      </c>
      <c r="AD104" s="320"/>
      <c r="AE104" s="319">
        <v>0</v>
      </c>
      <c r="AF104" s="320"/>
      <c r="AG104" s="319">
        <v>0</v>
      </c>
      <c r="AH104" s="320">
        <v>0</v>
      </c>
      <c r="AI104" s="319">
        <v>0</v>
      </c>
      <c r="AJ104" s="320"/>
      <c r="AK104" s="319">
        <v>0</v>
      </c>
      <c r="AL104" s="320"/>
      <c r="AM104" s="319">
        <v>0</v>
      </c>
      <c r="AN104" s="320">
        <v>0</v>
      </c>
      <c r="AO104" s="319">
        <v>0</v>
      </c>
      <c r="AP104" s="320"/>
      <c r="AQ104" s="319">
        <v>0</v>
      </c>
      <c r="AR104" s="320"/>
      <c r="AS104" s="319">
        <v>0</v>
      </c>
      <c r="AT104" s="320">
        <v>0</v>
      </c>
      <c r="AU104" s="319">
        <v>0</v>
      </c>
      <c r="AV104" s="320"/>
      <c r="AW104" s="319">
        <v>0</v>
      </c>
      <c r="AX104" s="320"/>
      <c r="AY104" s="319">
        <v>0</v>
      </c>
      <c r="AZ104" s="320">
        <v>0</v>
      </c>
      <c r="BA104" s="319">
        <v>0</v>
      </c>
      <c r="BB104" s="320"/>
      <c r="BC104" s="319">
        <v>0</v>
      </c>
      <c r="BD104" s="320"/>
      <c r="BE104" s="319">
        <v>0</v>
      </c>
      <c r="BF104" s="320">
        <v>0</v>
      </c>
      <c r="BG104" s="319">
        <v>0</v>
      </c>
      <c r="BH104" s="320"/>
      <c r="BI104" s="319">
        <v>0</v>
      </c>
      <c r="BJ104" s="320"/>
      <c r="BK104" s="319">
        <v>0</v>
      </c>
      <c r="BL104" s="320">
        <v>0</v>
      </c>
      <c r="BM104" s="319">
        <v>0</v>
      </c>
      <c r="BN104" s="320"/>
      <c r="BO104" s="319">
        <v>0</v>
      </c>
      <c r="BP104" s="320"/>
      <c r="BQ104" s="319">
        <v>0</v>
      </c>
      <c r="BR104" s="320">
        <v>0</v>
      </c>
      <c r="BS104" s="319">
        <v>0</v>
      </c>
      <c r="BT104" s="320"/>
      <c r="BU104" s="319">
        <v>0</v>
      </c>
      <c r="BV104" s="320"/>
      <c r="BW104" s="319">
        <v>0</v>
      </c>
      <c r="BX104" s="320">
        <v>0</v>
      </c>
      <c r="BY104" s="319">
        <v>0</v>
      </c>
      <c r="BZ104" s="320"/>
      <c r="CA104" s="319">
        <v>0</v>
      </c>
      <c r="CB104" s="320"/>
      <c r="CC104" s="319">
        <v>0</v>
      </c>
      <c r="CD104" s="320">
        <v>0</v>
      </c>
      <c r="CE104" s="319">
        <v>0</v>
      </c>
      <c r="CF104" s="320"/>
      <c r="CG104" s="319">
        <v>0</v>
      </c>
      <c r="CH104" s="320"/>
      <c r="CI104" s="319">
        <v>0</v>
      </c>
      <c r="CJ104" s="320">
        <v>0</v>
      </c>
      <c r="CK104" s="319">
        <v>0</v>
      </c>
      <c r="CL104" s="320"/>
      <c r="CM104" s="319">
        <v>0</v>
      </c>
      <c r="CN104" s="320"/>
      <c r="CO104" s="319">
        <v>0</v>
      </c>
      <c r="CP104" s="320">
        <v>0</v>
      </c>
      <c r="CQ104" s="319">
        <v>0</v>
      </c>
      <c r="CR104" s="320"/>
      <c r="CS104" s="319">
        <v>0</v>
      </c>
      <c r="CT104" s="320"/>
      <c r="CU104" s="319">
        <v>0</v>
      </c>
      <c r="CV104" s="320">
        <v>0</v>
      </c>
      <c r="CW104" s="319">
        <v>0</v>
      </c>
      <c r="CX104" s="320"/>
      <c r="CY104" s="319">
        <v>0</v>
      </c>
      <c r="CZ104" s="320"/>
      <c r="DA104" s="319">
        <v>0</v>
      </c>
      <c r="DB104" s="320">
        <v>0</v>
      </c>
      <c r="DC104" s="319">
        <v>0</v>
      </c>
      <c r="DD104" s="320"/>
      <c r="DE104" s="319">
        <v>0</v>
      </c>
      <c r="DF104" s="320"/>
      <c r="DG104" s="319">
        <v>0</v>
      </c>
      <c r="DH104" s="320">
        <v>0</v>
      </c>
      <c r="DI104" s="319">
        <v>0</v>
      </c>
      <c r="DJ104" s="320"/>
      <c r="DK104" s="319">
        <v>0</v>
      </c>
      <c r="DL104" s="320"/>
      <c r="DM104" s="319">
        <v>0</v>
      </c>
      <c r="DN104" s="320">
        <v>0</v>
      </c>
      <c r="DO104" s="319">
        <v>0</v>
      </c>
      <c r="DP104" s="320"/>
      <c r="DQ104" s="319">
        <v>0</v>
      </c>
      <c r="DR104" s="320"/>
      <c r="DS104" s="319">
        <v>0</v>
      </c>
      <c r="DT104" s="320">
        <v>0</v>
      </c>
      <c r="DU104" s="319">
        <v>0</v>
      </c>
      <c r="DV104" s="320"/>
      <c r="DW104" s="319">
        <v>0</v>
      </c>
      <c r="DX104" s="320"/>
      <c r="DY104" s="319">
        <v>0</v>
      </c>
      <c r="DZ104" s="320">
        <v>0</v>
      </c>
      <c r="EA104" s="319">
        <v>0</v>
      </c>
      <c r="EB104" s="320"/>
      <c r="EC104" s="319">
        <v>0</v>
      </c>
      <c r="ED104" s="320"/>
      <c r="EE104" s="319">
        <v>0</v>
      </c>
      <c r="EF104" s="320">
        <v>0</v>
      </c>
      <c r="EG104" s="319">
        <v>0</v>
      </c>
      <c r="EH104" s="320"/>
      <c r="EI104" s="319">
        <v>0</v>
      </c>
      <c r="EJ104" s="320"/>
      <c r="EK104" s="319">
        <v>0</v>
      </c>
      <c r="EL104" s="320">
        <v>0</v>
      </c>
      <c r="EM104" s="319">
        <v>0</v>
      </c>
      <c r="EN104" s="320"/>
      <c r="EO104" s="319">
        <v>0</v>
      </c>
      <c r="EP104" s="320"/>
      <c r="EQ104" s="319">
        <v>0</v>
      </c>
      <c r="ER104" s="320">
        <v>0</v>
      </c>
      <c r="ES104" s="319">
        <v>0</v>
      </c>
      <c r="ET104" s="320"/>
      <c r="EU104" s="319">
        <v>0</v>
      </c>
      <c r="EV104" s="320"/>
      <c r="EW104" s="319">
        <v>0</v>
      </c>
      <c r="EX104" s="320">
        <v>0</v>
      </c>
      <c r="EY104" s="319">
        <v>0</v>
      </c>
      <c r="EZ104" s="320"/>
      <c r="FA104" s="319">
        <v>0</v>
      </c>
      <c r="FB104" s="320"/>
      <c r="FC104" s="319">
        <v>0</v>
      </c>
      <c r="FD104" s="320">
        <v>0</v>
      </c>
      <c r="FE104" s="319">
        <v>0</v>
      </c>
      <c r="FF104" s="320"/>
      <c r="FG104" s="319">
        <v>0</v>
      </c>
      <c r="FH104" s="320"/>
      <c r="FI104" s="319">
        <v>0</v>
      </c>
      <c r="FJ104" s="320">
        <v>0</v>
      </c>
      <c r="FK104" s="319">
        <v>0</v>
      </c>
      <c r="FL104" s="320"/>
      <c r="FM104" s="319">
        <v>0</v>
      </c>
      <c r="FN104" s="320"/>
      <c r="FO104" s="319">
        <v>0</v>
      </c>
      <c r="FP104" s="320">
        <v>0</v>
      </c>
      <c r="FQ104" s="319">
        <v>0</v>
      </c>
      <c r="FR104" s="320"/>
      <c r="FS104" s="319">
        <v>0</v>
      </c>
      <c r="FT104" s="320"/>
      <c r="FU104" s="319">
        <v>0</v>
      </c>
      <c r="FV104" s="320">
        <v>0</v>
      </c>
      <c r="FW104" s="319">
        <v>0</v>
      </c>
      <c r="FX104" s="320"/>
      <c r="FY104" s="319">
        <v>0</v>
      </c>
      <c r="FZ104" s="320"/>
      <c r="GA104" s="319">
        <v>0</v>
      </c>
      <c r="GB104" s="320">
        <v>0</v>
      </c>
      <c r="GC104" s="319">
        <v>0</v>
      </c>
      <c r="GD104" s="320"/>
      <c r="GE104" s="319">
        <v>0</v>
      </c>
      <c r="GF104" s="320"/>
      <c r="GG104" s="319">
        <v>0</v>
      </c>
      <c r="GH104" s="320">
        <v>0</v>
      </c>
      <c r="GI104" s="319">
        <v>0</v>
      </c>
      <c r="GJ104" s="320"/>
      <c r="GK104" s="319">
        <v>0</v>
      </c>
      <c r="GL104" s="320"/>
      <c r="GM104" s="319">
        <v>0</v>
      </c>
      <c r="GN104" s="320">
        <v>0</v>
      </c>
      <c r="GO104" s="319">
        <v>0</v>
      </c>
      <c r="GP104" s="320"/>
      <c r="GQ104" s="319">
        <v>0</v>
      </c>
      <c r="GR104" s="320"/>
      <c r="GS104" s="319">
        <v>0</v>
      </c>
      <c r="GT104" s="320">
        <v>0</v>
      </c>
      <c r="GU104" s="319">
        <v>0</v>
      </c>
      <c r="GV104" s="320"/>
      <c r="GW104" s="319">
        <v>0</v>
      </c>
      <c r="GX104" s="320"/>
      <c r="GY104" s="319">
        <v>0</v>
      </c>
      <c r="GZ104" s="320">
        <v>0</v>
      </c>
    </row>
    <row r="105" spans="1:208" s="89" customFormat="1" ht="22.5" customHeight="1" thickBot="1" x14ac:dyDescent="0.25">
      <c r="A105" s="296" t="s">
        <v>3253</v>
      </c>
      <c r="B105" s="297" t="s">
        <v>3254</v>
      </c>
      <c r="C105" s="298" t="s">
        <v>3170</v>
      </c>
      <c r="D105" s="299" t="s">
        <v>3255</v>
      </c>
      <c r="E105" s="299" t="s">
        <v>3256</v>
      </c>
      <c r="F105" s="300" t="s">
        <v>3166</v>
      </c>
      <c r="G105" s="300" t="s">
        <v>3167</v>
      </c>
      <c r="H105" s="301" t="s">
        <v>1497</v>
      </c>
      <c r="I105" s="302" t="s">
        <v>1497</v>
      </c>
      <c r="J105" s="340" t="s">
        <v>3168</v>
      </c>
      <c r="K105" s="343" t="s">
        <v>53</v>
      </c>
      <c r="L105" s="256">
        <f>CONTINUA!BV105</f>
        <v>0</v>
      </c>
      <c r="M105" s="256">
        <f>CONTINUA!BW105</f>
        <v>0</v>
      </c>
      <c r="N105" s="564"/>
      <c r="O105" s="565" t="s">
        <v>3351</v>
      </c>
      <c r="P105" s="566">
        <v>0</v>
      </c>
      <c r="Q105" s="319">
        <v>0</v>
      </c>
      <c r="R105" s="320"/>
      <c r="S105" s="319">
        <v>0</v>
      </c>
      <c r="T105" s="320"/>
      <c r="U105" s="321">
        <v>0</v>
      </c>
      <c r="V105" s="322">
        <v>0</v>
      </c>
      <c r="W105" s="319">
        <v>0</v>
      </c>
      <c r="X105" s="320"/>
      <c r="Y105" s="319">
        <v>0</v>
      </c>
      <c r="Z105" s="320"/>
      <c r="AA105" s="321">
        <v>0</v>
      </c>
      <c r="AB105" s="322">
        <v>0</v>
      </c>
      <c r="AC105" s="319">
        <v>0</v>
      </c>
      <c r="AD105" s="320"/>
      <c r="AE105" s="319">
        <v>0</v>
      </c>
      <c r="AF105" s="320"/>
      <c r="AG105" s="321">
        <v>0</v>
      </c>
      <c r="AH105" s="322">
        <v>0</v>
      </c>
      <c r="AI105" s="319">
        <v>0</v>
      </c>
      <c r="AJ105" s="320"/>
      <c r="AK105" s="319">
        <v>0</v>
      </c>
      <c r="AL105" s="320"/>
      <c r="AM105" s="321">
        <v>0</v>
      </c>
      <c r="AN105" s="322">
        <v>0</v>
      </c>
      <c r="AO105" s="319">
        <v>0</v>
      </c>
      <c r="AP105" s="320"/>
      <c r="AQ105" s="319">
        <v>0</v>
      </c>
      <c r="AR105" s="320"/>
      <c r="AS105" s="321">
        <v>0</v>
      </c>
      <c r="AT105" s="322">
        <v>0</v>
      </c>
      <c r="AU105" s="319">
        <v>0</v>
      </c>
      <c r="AV105" s="320"/>
      <c r="AW105" s="319">
        <v>0</v>
      </c>
      <c r="AX105" s="320"/>
      <c r="AY105" s="321">
        <v>0</v>
      </c>
      <c r="AZ105" s="322">
        <v>0</v>
      </c>
      <c r="BA105" s="319">
        <v>0</v>
      </c>
      <c r="BB105" s="320"/>
      <c r="BC105" s="319">
        <v>0</v>
      </c>
      <c r="BD105" s="320"/>
      <c r="BE105" s="321">
        <v>0</v>
      </c>
      <c r="BF105" s="322">
        <v>0</v>
      </c>
      <c r="BG105" s="319">
        <v>0</v>
      </c>
      <c r="BH105" s="320"/>
      <c r="BI105" s="319">
        <v>0</v>
      </c>
      <c r="BJ105" s="320"/>
      <c r="BK105" s="321">
        <v>0</v>
      </c>
      <c r="BL105" s="322">
        <v>0</v>
      </c>
      <c r="BM105" s="319">
        <v>0</v>
      </c>
      <c r="BN105" s="320"/>
      <c r="BO105" s="319">
        <v>0</v>
      </c>
      <c r="BP105" s="320"/>
      <c r="BQ105" s="321">
        <v>0</v>
      </c>
      <c r="BR105" s="322">
        <v>0</v>
      </c>
      <c r="BS105" s="319">
        <v>0</v>
      </c>
      <c r="BT105" s="320"/>
      <c r="BU105" s="319">
        <v>0</v>
      </c>
      <c r="BV105" s="320"/>
      <c r="BW105" s="321">
        <v>0</v>
      </c>
      <c r="BX105" s="322">
        <v>0</v>
      </c>
      <c r="BY105" s="319">
        <v>0</v>
      </c>
      <c r="BZ105" s="320"/>
      <c r="CA105" s="319">
        <v>0</v>
      </c>
      <c r="CB105" s="320"/>
      <c r="CC105" s="321">
        <v>0</v>
      </c>
      <c r="CD105" s="322">
        <v>0</v>
      </c>
      <c r="CE105" s="319">
        <v>0</v>
      </c>
      <c r="CF105" s="320"/>
      <c r="CG105" s="319">
        <v>0</v>
      </c>
      <c r="CH105" s="320"/>
      <c r="CI105" s="321">
        <v>0</v>
      </c>
      <c r="CJ105" s="322">
        <v>0</v>
      </c>
      <c r="CK105" s="319">
        <v>0</v>
      </c>
      <c r="CL105" s="320"/>
      <c r="CM105" s="319">
        <v>0</v>
      </c>
      <c r="CN105" s="320"/>
      <c r="CO105" s="321">
        <v>0</v>
      </c>
      <c r="CP105" s="322">
        <v>0</v>
      </c>
      <c r="CQ105" s="319">
        <v>0</v>
      </c>
      <c r="CR105" s="320"/>
      <c r="CS105" s="319">
        <v>0</v>
      </c>
      <c r="CT105" s="320"/>
      <c r="CU105" s="321">
        <v>0</v>
      </c>
      <c r="CV105" s="322">
        <v>0</v>
      </c>
      <c r="CW105" s="319">
        <v>0</v>
      </c>
      <c r="CX105" s="320"/>
      <c r="CY105" s="319">
        <v>0</v>
      </c>
      <c r="CZ105" s="320"/>
      <c r="DA105" s="321">
        <v>0</v>
      </c>
      <c r="DB105" s="322">
        <v>0</v>
      </c>
      <c r="DC105" s="319">
        <v>0</v>
      </c>
      <c r="DD105" s="320"/>
      <c r="DE105" s="319">
        <v>0</v>
      </c>
      <c r="DF105" s="320"/>
      <c r="DG105" s="321">
        <v>0</v>
      </c>
      <c r="DH105" s="322">
        <v>0</v>
      </c>
      <c r="DI105" s="319">
        <v>0</v>
      </c>
      <c r="DJ105" s="320"/>
      <c r="DK105" s="319">
        <v>0</v>
      </c>
      <c r="DL105" s="320"/>
      <c r="DM105" s="321">
        <v>0</v>
      </c>
      <c r="DN105" s="322">
        <v>0</v>
      </c>
      <c r="DO105" s="319">
        <v>0</v>
      </c>
      <c r="DP105" s="320"/>
      <c r="DQ105" s="319">
        <v>0</v>
      </c>
      <c r="DR105" s="320"/>
      <c r="DS105" s="321">
        <v>0</v>
      </c>
      <c r="DT105" s="322">
        <v>0</v>
      </c>
      <c r="DU105" s="319">
        <v>0</v>
      </c>
      <c r="DV105" s="320"/>
      <c r="DW105" s="319">
        <v>0</v>
      </c>
      <c r="DX105" s="320"/>
      <c r="DY105" s="321">
        <v>0</v>
      </c>
      <c r="DZ105" s="322">
        <v>0</v>
      </c>
      <c r="EA105" s="319">
        <v>0</v>
      </c>
      <c r="EB105" s="320"/>
      <c r="EC105" s="319">
        <v>0</v>
      </c>
      <c r="ED105" s="320"/>
      <c r="EE105" s="321">
        <v>0</v>
      </c>
      <c r="EF105" s="322">
        <v>0</v>
      </c>
      <c r="EG105" s="319">
        <v>0</v>
      </c>
      <c r="EH105" s="320"/>
      <c r="EI105" s="319">
        <v>0</v>
      </c>
      <c r="EJ105" s="320"/>
      <c r="EK105" s="321">
        <v>0</v>
      </c>
      <c r="EL105" s="322">
        <v>0</v>
      </c>
      <c r="EM105" s="319">
        <v>0</v>
      </c>
      <c r="EN105" s="320"/>
      <c r="EO105" s="319">
        <v>0</v>
      </c>
      <c r="EP105" s="320"/>
      <c r="EQ105" s="321">
        <v>0</v>
      </c>
      <c r="ER105" s="322">
        <v>0</v>
      </c>
      <c r="ES105" s="319">
        <v>0</v>
      </c>
      <c r="ET105" s="320"/>
      <c r="EU105" s="319">
        <v>0</v>
      </c>
      <c r="EV105" s="320"/>
      <c r="EW105" s="321">
        <v>0</v>
      </c>
      <c r="EX105" s="322">
        <v>0</v>
      </c>
      <c r="EY105" s="319">
        <v>0</v>
      </c>
      <c r="EZ105" s="320"/>
      <c r="FA105" s="319">
        <v>0</v>
      </c>
      <c r="FB105" s="320"/>
      <c r="FC105" s="321">
        <v>0</v>
      </c>
      <c r="FD105" s="322">
        <v>0</v>
      </c>
      <c r="FE105" s="319">
        <v>0</v>
      </c>
      <c r="FF105" s="320"/>
      <c r="FG105" s="319">
        <v>0</v>
      </c>
      <c r="FH105" s="320"/>
      <c r="FI105" s="321">
        <v>0</v>
      </c>
      <c r="FJ105" s="322">
        <v>0</v>
      </c>
      <c r="FK105" s="319">
        <v>0</v>
      </c>
      <c r="FL105" s="320"/>
      <c r="FM105" s="319">
        <v>0</v>
      </c>
      <c r="FN105" s="320"/>
      <c r="FO105" s="321">
        <v>0</v>
      </c>
      <c r="FP105" s="322">
        <v>0</v>
      </c>
      <c r="FQ105" s="319">
        <v>0</v>
      </c>
      <c r="FR105" s="320"/>
      <c r="FS105" s="319">
        <v>0</v>
      </c>
      <c r="FT105" s="320"/>
      <c r="FU105" s="321">
        <v>0</v>
      </c>
      <c r="FV105" s="322">
        <v>0</v>
      </c>
      <c r="FW105" s="319">
        <v>0</v>
      </c>
      <c r="FX105" s="320"/>
      <c r="FY105" s="319">
        <v>0</v>
      </c>
      <c r="FZ105" s="320"/>
      <c r="GA105" s="321">
        <v>0</v>
      </c>
      <c r="GB105" s="322">
        <v>0</v>
      </c>
      <c r="GC105" s="319">
        <v>0</v>
      </c>
      <c r="GD105" s="320"/>
      <c r="GE105" s="319">
        <v>0</v>
      </c>
      <c r="GF105" s="320"/>
      <c r="GG105" s="321">
        <v>0</v>
      </c>
      <c r="GH105" s="322">
        <v>0</v>
      </c>
      <c r="GI105" s="319">
        <v>0</v>
      </c>
      <c r="GJ105" s="320"/>
      <c r="GK105" s="319">
        <v>0</v>
      </c>
      <c r="GL105" s="320"/>
      <c r="GM105" s="321">
        <v>0</v>
      </c>
      <c r="GN105" s="322">
        <v>0</v>
      </c>
      <c r="GO105" s="319">
        <v>0</v>
      </c>
      <c r="GP105" s="320"/>
      <c r="GQ105" s="319">
        <v>0</v>
      </c>
      <c r="GR105" s="320"/>
      <c r="GS105" s="321">
        <v>0</v>
      </c>
      <c r="GT105" s="322">
        <v>0</v>
      </c>
      <c r="GU105" s="319">
        <v>0</v>
      </c>
      <c r="GV105" s="320"/>
      <c r="GW105" s="319">
        <v>0</v>
      </c>
      <c r="GX105" s="320"/>
      <c r="GY105" s="321">
        <v>0</v>
      </c>
      <c r="GZ105" s="322">
        <v>0</v>
      </c>
    </row>
    <row r="106" spans="1:208" s="89" customFormat="1" ht="22.5" customHeight="1" x14ac:dyDescent="0.2">
      <c r="A106" t="s">
        <v>3257</v>
      </c>
      <c r="B106" s="429" t="s">
        <v>3258</v>
      </c>
      <c r="C106" s="430">
        <v>1</v>
      </c>
      <c r="D106" s="431" t="s">
        <v>3259</v>
      </c>
      <c r="E106" s="431" t="s">
        <v>3176</v>
      </c>
      <c r="F106" s="432" t="s">
        <v>3166</v>
      </c>
      <c r="G106" s="432">
        <v>46141</v>
      </c>
      <c r="H106" s="270" t="s">
        <v>1498</v>
      </c>
      <c r="I106" s="271" t="s">
        <v>1498</v>
      </c>
      <c r="J106" s="328" t="s">
        <v>3168</v>
      </c>
      <c r="K106" s="329" t="s">
        <v>3169</v>
      </c>
      <c r="L106" s="256">
        <f>CONTINUA!BV106</f>
        <v>0</v>
      </c>
      <c r="M106" s="256">
        <f>CONTINUA!BW106</f>
        <v>0</v>
      </c>
      <c r="N106" s="564"/>
      <c r="O106" s="565" t="s">
        <v>3352</v>
      </c>
      <c r="P106" s="566">
        <v>0</v>
      </c>
      <c r="Q106" s="319">
        <v>17</v>
      </c>
      <c r="R106" s="320"/>
      <c r="S106" s="319">
        <v>0</v>
      </c>
      <c r="T106" s="320"/>
      <c r="U106" s="321">
        <v>0</v>
      </c>
      <c r="V106" s="322">
        <v>0</v>
      </c>
      <c r="W106" s="319">
        <v>17</v>
      </c>
      <c r="X106" s="320"/>
      <c r="Y106" s="319">
        <v>0</v>
      </c>
      <c r="Z106" s="320"/>
      <c r="AA106" s="321">
        <v>0</v>
      </c>
      <c r="AB106" s="322">
        <v>0</v>
      </c>
      <c r="AC106" s="319">
        <v>17</v>
      </c>
      <c r="AD106" s="320"/>
      <c r="AE106" s="319">
        <v>0</v>
      </c>
      <c r="AF106" s="320"/>
      <c r="AG106" s="321">
        <v>0</v>
      </c>
      <c r="AH106" s="322">
        <v>0</v>
      </c>
      <c r="AI106" s="319">
        <v>17</v>
      </c>
      <c r="AJ106" s="320"/>
      <c r="AK106" s="319">
        <v>0</v>
      </c>
      <c r="AL106" s="320"/>
      <c r="AM106" s="321">
        <v>0</v>
      </c>
      <c r="AN106" s="322">
        <v>0</v>
      </c>
      <c r="AO106" s="319">
        <v>17</v>
      </c>
      <c r="AP106" s="320"/>
      <c r="AQ106" s="319">
        <v>0</v>
      </c>
      <c r="AR106" s="320"/>
      <c r="AS106" s="321">
        <v>0</v>
      </c>
      <c r="AT106" s="322">
        <v>0</v>
      </c>
      <c r="AU106" s="319">
        <v>17</v>
      </c>
      <c r="AV106" s="320"/>
      <c r="AW106" s="319">
        <v>0</v>
      </c>
      <c r="AX106" s="320"/>
      <c r="AY106" s="321">
        <v>0</v>
      </c>
      <c r="AZ106" s="322">
        <v>0</v>
      </c>
      <c r="BA106" s="319">
        <v>17</v>
      </c>
      <c r="BB106" s="320"/>
      <c r="BC106" s="319">
        <v>0</v>
      </c>
      <c r="BD106" s="320"/>
      <c r="BE106" s="321">
        <v>0</v>
      </c>
      <c r="BF106" s="322">
        <v>0</v>
      </c>
      <c r="BG106" s="319">
        <v>17</v>
      </c>
      <c r="BH106" s="320"/>
      <c r="BI106" s="319">
        <v>0</v>
      </c>
      <c r="BJ106" s="320"/>
      <c r="BK106" s="321">
        <v>0</v>
      </c>
      <c r="BL106" s="322">
        <v>0</v>
      </c>
      <c r="BM106" s="319">
        <v>17</v>
      </c>
      <c r="BN106" s="320"/>
      <c r="BO106" s="319">
        <v>0</v>
      </c>
      <c r="BP106" s="320"/>
      <c r="BQ106" s="321">
        <v>0</v>
      </c>
      <c r="BR106" s="322">
        <v>0</v>
      </c>
      <c r="BS106" s="319">
        <v>17</v>
      </c>
      <c r="BT106" s="320"/>
      <c r="BU106" s="319">
        <v>0</v>
      </c>
      <c r="BV106" s="320"/>
      <c r="BW106" s="321">
        <v>0</v>
      </c>
      <c r="BX106" s="322">
        <v>0</v>
      </c>
      <c r="BY106" s="319">
        <v>17</v>
      </c>
      <c r="BZ106" s="320"/>
      <c r="CA106" s="319">
        <v>0</v>
      </c>
      <c r="CB106" s="320"/>
      <c r="CC106" s="321">
        <v>0</v>
      </c>
      <c r="CD106" s="322">
        <v>0</v>
      </c>
      <c r="CE106" s="319">
        <v>17</v>
      </c>
      <c r="CF106" s="320"/>
      <c r="CG106" s="319">
        <v>0</v>
      </c>
      <c r="CH106" s="320"/>
      <c r="CI106" s="321">
        <v>0</v>
      </c>
      <c r="CJ106" s="322">
        <v>0</v>
      </c>
      <c r="CK106" s="319">
        <v>17</v>
      </c>
      <c r="CL106" s="320"/>
      <c r="CM106" s="319">
        <v>0</v>
      </c>
      <c r="CN106" s="320"/>
      <c r="CO106" s="321">
        <v>0</v>
      </c>
      <c r="CP106" s="322">
        <v>0</v>
      </c>
      <c r="CQ106" s="319">
        <v>17</v>
      </c>
      <c r="CR106" s="320"/>
      <c r="CS106" s="319">
        <v>0</v>
      </c>
      <c r="CT106" s="320"/>
      <c r="CU106" s="321">
        <v>0</v>
      </c>
      <c r="CV106" s="322">
        <v>0</v>
      </c>
      <c r="CW106" s="319">
        <v>17</v>
      </c>
      <c r="CX106" s="320"/>
      <c r="CY106" s="319">
        <v>0</v>
      </c>
      <c r="CZ106" s="320"/>
      <c r="DA106" s="321">
        <v>0</v>
      </c>
      <c r="DB106" s="322">
        <v>0</v>
      </c>
      <c r="DC106" s="319">
        <v>17</v>
      </c>
      <c r="DD106" s="320"/>
      <c r="DE106" s="319">
        <v>0</v>
      </c>
      <c r="DF106" s="320"/>
      <c r="DG106" s="321">
        <v>0</v>
      </c>
      <c r="DH106" s="322">
        <v>0</v>
      </c>
      <c r="DI106" s="319">
        <v>17</v>
      </c>
      <c r="DJ106" s="320"/>
      <c r="DK106" s="319">
        <v>0</v>
      </c>
      <c r="DL106" s="320"/>
      <c r="DM106" s="321">
        <v>0</v>
      </c>
      <c r="DN106" s="322">
        <v>0</v>
      </c>
      <c r="DO106" s="319">
        <v>17</v>
      </c>
      <c r="DP106" s="320"/>
      <c r="DQ106" s="319">
        <v>0</v>
      </c>
      <c r="DR106" s="320"/>
      <c r="DS106" s="321">
        <v>0</v>
      </c>
      <c r="DT106" s="322">
        <v>0</v>
      </c>
      <c r="DU106" s="319">
        <v>17</v>
      </c>
      <c r="DV106" s="320"/>
      <c r="DW106" s="319">
        <v>0</v>
      </c>
      <c r="DX106" s="320"/>
      <c r="DY106" s="321">
        <v>0</v>
      </c>
      <c r="DZ106" s="322">
        <v>0</v>
      </c>
      <c r="EA106" s="319">
        <v>17</v>
      </c>
      <c r="EB106" s="320"/>
      <c r="EC106" s="319">
        <v>0</v>
      </c>
      <c r="ED106" s="320"/>
      <c r="EE106" s="321">
        <v>0</v>
      </c>
      <c r="EF106" s="322">
        <v>0</v>
      </c>
      <c r="EG106" s="319">
        <v>17</v>
      </c>
      <c r="EH106" s="320"/>
      <c r="EI106" s="319">
        <v>0</v>
      </c>
      <c r="EJ106" s="320"/>
      <c r="EK106" s="321">
        <v>0</v>
      </c>
      <c r="EL106" s="322">
        <v>0</v>
      </c>
      <c r="EM106" s="319">
        <v>17</v>
      </c>
      <c r="EN106" s="320"/>
      <c r="EO106" s="319">
        <v>0</v>
      </c>
      <c r="EP106" s="320"/>
      <c r="EQ106" s="321">
        <v>0</v>
      </c>
      <c r="ER106" s="322">
        <v>0</v>
      </c>
      <c r="ES106" s="319">
        <v>17</v>
      </c>
      <c r="ET106" s="320"/>
      <c r="EU106" s="319">
        <v>0</v>
      </c>
      <c r="EV106" s="320"/>
      <c r="EW106" s="321">
        <v>0</v>
      </c>
      <c r="EX106" s="322">
        <v>0</v>
      </c>
      <c r="EY106" s="319">
        <v>17</v>
      </c>
      <c r="EZ106" s="320"/>
      <c r="FA106" s="319">
        <v>0</v>
      </c>
      <c r="FB106" s="320"/>
      <c r="FC106" s="321">
        <v>0</v>
      </c>
      <c r="FD106" s="322">
        <v>0</v>
      </c>
      <c r="FE106" s="319">
        <v>17</v>
      </c>
      <c r="FF106" s="320"/>
      <c r="FG106" s="319">
        <v>0</v>
      </c>
      <c r="FH106" s="320"/>
      <c r="FI106" s="321">
        <v>0</v>
      </c>
      <c r="FJ106" s="322">
        <v>0</v>
      </c>
      <c r="FK106" s="319">
        <v>17</v>
      </c>
      <c r="FL106" s="320"/>
      <c r="FM106" s="319">
        <v>0</v>
      </c>
      <c r="FN106" s="320"/>
      <c r="FO106" s="321">
        <v>0</v>
      </c>
      <c r="FP106" s="322">
        <v>0</v>
      </c>
      <c r="FQ106" s="319">
        <v>17</v>
      </c>
      <c r="FR106" s="320"/>
      <c r="FS106" s="319">
        <v>0</v>
      </c>
      <c r="FT106" s="320"/>
      <c r="FU106" s="321">
        <v>0</v>
      </c>
      <c r="FV106" s="322">
        <v>0</v>
      </c>
      <c r="FW106" s="319">
        <v>17</v>
      </c>
      <c r="FX106" s="320"/>
      <c r="FY106" s="319">
        <v>0</v>
      </c>
      <c r="FZ106" s="320"/>
      <c r="GA106" s="321">
        <v>0</v>
      </c>
      <c r="GB106" s="322">
        <v>0</v>
      </c>
      <c r="GC106" s="319">
        <v>17</v>
      </c>
      <c r="GD106" s="320"/>
      <c r="GE106" s="319">
        <v>0</v>
      </c>
      <c r="GF106" s="320"/>
      <c r="GG106" s="321">
        <v>0</v>
      </c>
      <c r="GH106" s="322">
        <v>0</v>
      </c>
      <c r="GI106" s="319">
        <v>17</v>
      </c>
      <c r="GJ106" s="320"/>
      <c r="GK106" s="319">
        <v>0</v>
      </c>
      <c r="GL106" s="320"/>
      <c r="GM106" s="321">
        <v>0</v>
      </c>
      <c r="GN106" s="322">
        <v>0</v>
      </c>
      <c r="GO106" s="319">
        <v>17</v>
      </c>
      <c r="GP106" s="320"/>
      <c r="GQ106" s="319">
        <v>0</v>
      </c>
      <c r="GR106" s="320"/>
      <c r="GS106" s="321">
        <v>0</v>
      </c>
      <c r="GT106" s="322">
        <v>0</v>
      </c>
      <c r="GU106" s="319">
        <v>17</v>
      </c>
      <c r="GV106" s="320"/>
      <c r="GW106" s="319">
        <v>0</v>
      </c>
      <c r="GX106" s="320"/>
      <c r="GY106" s="321">
        <v>0</v>
      </c>
      <c r="GZ106" s="322">
        <v>0</v>
      </c>
    </row>
    <row r="107" spans="1:208" s="89" customFormat="1" ht="22.5" customHeight="1" x14ac:dyDescent="0.2">
      <c r="A107" s="287" t="s">
        <v>3257</v>
      </c>
      <c r="B107" s="288" t="s">
        <v>3258</v>
      </c>
      <c r="C107" s="289" t="s">
        <v>3170</v>
      </c>
      <c r="D107" s="290" t="s">
        <v>3259</v>
      </c>
      <c r="E107" s="290" t="s">
        <v>3176</v>
      </c>
      <c r="F107" s="291" t="s">
        <v>3166</v>
      </c>
      <c r="G107" s="291" t="s">
        <v>3167</v>
      </c>
      <c r="H107" s="292" t="s">
        <v>1498</v>
      </c>
      <c r="I107" s="293" t="s">
        <v>1498</v>
      </c>
      <c r="J107" s="340" t="s">
        <v>3168</v>
      </c>
      <c r="K107" s="340" t="s">
        <v>3171</v>
      </c>
      <c r="L107" s="256">
        <f>CONTINUA!BV107</f>
        <v>0</v>
      </c>
      <c r="M107" s="256">
        <f>CONTINUA!BW107</f>
        <v>0</v>
      </c>
      <c r="N107" s="564"/>
      <c r="O107" s="565" t="s">
        <v>3352</v>
      </c>
      <c r="P107" s="566">
        <v>0</v>
      </c>
      <c r="Q107" s="319">
        <v>7</v>
      </c>
      <c r="R107" s="320"/>
      <c r="S107" s="319">
        <v>0</v>
      </c>
      <c r="T107" s="320"/>
      <c r="U107" s="319">
        <v>0</v>
      </c>
      <c r="V107" s="320">
        <v>0</v>
      </c>
      <c r="W107" s="319">
        <v>7</v>
      </c>
      <c r="X107" s="320"/>
      <c r="Y107" s="319">
        <v>0</v>
      </c>
      <c r="Z107" s="320"/>
      <c r="AA107" s="319">
        <v>0</v>
      </c>
      <c r="AB107" s="320">
        <v>0</v>
      </c>
      <c r="AC107" s="319">
        <v>7</v>
      </c>
      <c r="AD107" s="320"/>
      <c r="AE107" s="319">
        <v>0</v>
      </c>
      <c r="AF107" s="320"/>
      <c r="AG107" s="319">
        <v>0</v>
      </c>
      <c r="AH107" s="320">
        <v>0</v>
      </c>
      <c r="AI107" s="319">
        <v>7</v>
      </c>
      <c r="AJ107" s="320"/>
      <c r="AK107" s="319">
        <v>0</v>
      </c>
      <c r="AL107" s="320"/>
      <c r="AM107" s="319">
        <v>0</v>
      </c>
      <c r="AN107" s="320">
        <v>0</v>
      </c>
      <c r="AO107" s="319">
        <v>7</v>
      </c>
      <c r="AP107" s="320"/>
      <c r="AQ107" s="319">
        <v>0</v>
      </c>
      <c r="AR107" s="320"/>
      <c r="AS107" s="319">
        <v>0</v>
      </c>
      <c r="AT107" s="320">
        <v>0</v>
      </c>
      <c r="AU107" s="319">
        <v>7</v>
      </c>
      <c r="AV107" s="320"/>
      <c r="AW107" s="319">
        <v>0</v>
      </c>
      <c r="AX107" s="320"/>
      <c r="AY107" s="319">
        <v>0</v>
      </c>
      <c r="AZ107" s="320">
        <v>0</v>
      </c>
      <c r="BA107" s="319">
        <v>7</v>
      </c>
      <c r="BB107" s="320"/>
      <c r="BC107" s="319">
        <v>0</v>
      </c>
      <c r="BD107" s="320"/>
      <c r="BE107" s="319">
        <v>0</v>
      </c>
      <c r="BF107" s="320">
        <v>0</v>
      </c>
      <c r="BG107" s="319">
        <v>7</v>
      </c>
      <c r="BH107" s="320"/>
      <c r="BI107" s="319">
        <v>0</v>
      </c>
      <c r="BJ107" s="320"/>
      <c r="BK107" s="319">
        <v>0</v>
      </c>
      <c r="BL107" s="320">
        <v>0</v>
      </c>
      <c r="BM107" s="319">
        <v>7</v>
      </c>
      <c r="BN107" s="320"/>
      <c r="BO107" s="319">
        <v>0</v>
      </c>
      <c r="BP107" s="320"/>
      <c r="BQ107" s="319">
        <v>0</v>
      </c>
      <c r="BR107" s="320">
        <v>0</v>
      </c>
      <c r="BS107" s="319">
        <v>7</v>
      </c>
      <c r="BT107" s="320"/>
      <c r="BU107" s="319">
        <v>0</v>
      </c>
      <c r="BV107" s="320"/>
      <c r="BW107" s="319">
        <v>0</v>
      </c>
      <c r="BX107" s="320">
        <v>0</v>
      </c>
      <c r="BY107" s="319">
        <v>7</v>
      </c>
      <c r="BZ107" s="320"/>
      <c r="CA107" s="319">
        <v>0</v>
      </c>
      <c r="CB107" s="320"/>
      <c r="CC107" s="319">
        <v>0</v>
      </c>
      <c r="CD107" s="320">
        <v>0</v>
      </c>
      <c r="CE107" s="319">
        <v>7</v>
      </c>
      <c r="CF107" s="320"/>
      <c r="CG107" s="319">
        <v>0</v>
      </c>
      <c r="CH107" s="320"/>
      <c r="CI107" s="319">
        <v>0</v>
      </c>
      <c r="CJ107" s="320">
        <v>0</v>
      </c>
      <c r="CK107" s="319">
        <v>7</v>
      </c>
      <c r="CL107" s="320"/>
      <c r="CM107" s="319">
        <v>0</v>
      </c>
      <c r="CN107" s="320"/>
      <c r="CO107" s="319">
        <v>0</v>
      </c>
      <c r="CP107" s="320">
        <v>0</v>
      </c>
      <c r="CQ107" s="319">
        <v>7</v>
      </c>
      <c r="CR107" s="320"/>
      <c r="CS107" s="319">
        <v>0</v>
      </c>
      <c r="CT107" s="320"/>
      <c r="CU107" s="319">
        <v>0</v>
      </c>
      <c r="CV107" s="320">
        <v>0</v>
      </c>
      <c r="CW107" s="319">
        <v>7</v>
      </c>
      <c r="CX107" s="320"/>
      <c r="CY107" s="319">
        <v>0</v>
      </c>
      <c r="CZ107" s="320"/>
      <c r="DA107" s="319">
        <v>0</v>
      </c>
      <c r="DB107" s="320">
        <v>0</v>
      </c>
      <c r="DC107" s="319">
        <v>7</v>
      </c>
      <c r="DD107" s="320"/>
      <c r="DE107" s="319">
        <v>0</v>
      </c>
      <c r="DF107" s="320"/>
      <c r="DG107" s="319">
        <v>0</v>
      </c>
      <c r="DH107" s="320">
        <v>0</v>
      </c>
      <c r="DI107" s="319">
        <v>7</v>
      </c>
      <c r="DJ107" s="320"/>
      <c r="DK107" s="319">
        <v>0</v>
      </c>
      <c r="DL107" s="320"/>
      <c r="DM107" s="319">
        <v>0</v>
      </c>
      <c r="DN107" s="320">
        <v>0</v>
      </c>
      <c r="DO107" s="319">
        <v>7</v>
      </c>
      <c r="DP107" s="320"/>
      <c r="DQ107" s="319">
        <v>0</v>
      </c>
      <c r="DR107" s="320"/>
      <c r="DS107" s="319">
        <v>0</v>
      </c>
      <c r="DT107" s="320">
        <v>0</v>
      </c>
      <c r="DU107" s="319">
        <v>7</v>
      </c>
      <c r="DV107" s="320"/>
      <c r="DW107" s="319">
        <v>0</v>
      </c>
      <c r="DX107" s="320"/>
      <c r="DY107" s="319">
        <v>0</v>
      </c>
      <c r="DZ107" s="320">
        <v>0</v>
      </c>
      <c r="EA107" s="319">
        <v>7</v>
      </c>
      <c r="EB107" s="320"/>
      <c r="EC107" s="319">
        <v>0</v>
      </c>
      <c r="ED107" s="320"/>
      <c r="EE107" s="319">
        <v>0</v>
      </c>
      <c r="EF107" s="320">
        <v>0</v>
      </c>
      <c r="EG107" s="319">
        <v>7</v>
      </c>
      <c r="EH107" s="320"/>
      <c r="EI107" s="319">
        <v>0</v>
      </c>
      <c r="EJ107" s="320"/>
      <c r="EK107" s="319">
        <v>0</v>
      </c>
      <c r="EL107" s="320">
        <v>0</v>
      </c>
      <c r="EM107" s="319">
        <v>7</v>
      </c>
      <c r="EN107" s="320"/>
      <c r="EO107" s="319">
        <v>0</v>
      </c>
      <c r="EP107" s="320"/>
      <c r="EQ107" s="319">
        <v>0</v>
      </c>
      <c r="ER107" s="320">
        <v>0</v>
      </c>
      <c r="ES107" s="319">
        <v>7</v>
      </c>
      <c r="ET107" s="320"/>
      <c r="EU107" s="319">
        <v>0</v>
      </c>
      <c r="EV107" s="320"/>
      <c r="EW107" s="319">
        <v>0</v>
      </c>
      <c r="EX107" s="320">
        <v>0</v>
      </c>
      <c r="EY107" s="319">
        <v>7</v>
      </c>
      <c r="EZ107" s="320"/>
      <c r="FA107" s="319">
        <v>0</v>
      </c>
      <c r="FB107" s="320"/>
      <c r="FC107" s="319">
        <v>0</v>
      </c>
      <c r="FD107" s="320">
        <v>0</v>
      </c>
      <c r="FE107" s="319">
        <v>7</v>
      </c>
      <c r="FF107" s="320"/>
      <c r="FG107" s="319">
        <v>0</v>
      </c>
      <c r="FH107" s="320"/>
      <c r="FI107" s="319">
        <v>0</v>
      </c>
      <c r="FJ107" s="320">
        <v>0</v>
      </c>
      <c r="FK107" s="319">
        <v>7</v>
      </c>
      <c r="FL107" s="320"/>
      <c r="FM107" s="319">
        <v>0</v>
      </c>
      <c r="FN107" s="320"/>
      <c r="FO107" s="319">
        <v>0</v>
      </c>
      <c r="FP107" s="320">
        <v>0</v>
      </c>
      <c r="FQ107" s="319">
        <v>7</v>
      </c>
      <c r="FR107" s="320"/>
      <c r="FS107" s="319">
        <v>0</v>
      </c>
      <c r="FT107" s="320"/>
      <c r="FU107" s="319">
        <v>0</v>
      </c>
      <c r="FV107" s="320">
        <v>0</v>
      </c>
      <c r="FW107" s="319">
        <v>7</v>
      </c>
      <c r="FX107" s="320"/>
      <c r="FY107" s="319">
        <v>0</v>
      </c>
      <c r="FZ107" s="320"/>
      <c r="GA107" s="319">
        <v>0</v>
      </c>
      <c r="GB107" s="320">
        <v>0</v>
      </c>
      <c r="GC107" s="319">
        <v>7</v>
      </c>
      <c r="GD107" s="320"/>
      <c r="GE107" s="319">
        <v>0</v>
      </c>
      <c r="GF107" s="320"/>
      <c r="GG107" s="319">
        <v>0</v>
      </c>
      <c r="GH107" s="320">
        <v>0</v>
      </c>
      <c r="GI107" s="319">
        <v>7</v>
      </c>
      <c r="GJ107" s="320"/>
      <c r="GK107" s="319">
        <v>0</v>
      </c>
      <c r="GL107" s="320"/>
      <c r="GM107" s="319">
        <v>0</v>
      </c>
      <c r="GN107" s="320">
        <v>0</v>
      </c>
      <c r="GO107" s="319">
        <v>7</v>
      </c>
      <c r="GP107" s="320"/>
      <c r="GQ107" s="319">
        <v>0</v>
      </c>
      <c r="GR107" s="320"/>
      <c r="GS107" s="319">
        <v>0</v>
      </c>
      <c r="GT107" s="320">
        <v>0</v>
      </c>
      <c r="GU107" s="319">
        <v>7</v>
      </c>
      <c r="GV107" s="320"/>
      <c r="GW107" s="319">
        <v>0</v>
      </c>
      <c r="GX107" s="320"/>
      <c r="GY107" s="319">
        <v>0</v>
      </c>
      <c r="GZ107" s="320">
        <v>0</v>
      </c>
    </row>
    <row r="108" spans="1:208" s="89" customFormat="1" ht="22.5" customHeight="1" x14ac:dyDescent="0.2">
      <c r="A108" s="287" t="s">
        <v>3257</v>
      </c>
      <c r="B108" s="288" t="s">
        <v>3258</v>
      </c>
      <c r="C108" s="294" t="s">
        <v>3170</v>
      </c>
      <c r="D108" s="290" t="s">
        <v>3259</v>
      </c>
      <c r="E108" s="290" t="s">
        <v>3176</v>
      </c>
      <c r="F108" s="295" t="s">
        <v>3166</v>
      </c>
      <c r="G108" s="295" t="s">
        <v>3167</v>
      </c>
      <c r="H108" s="292" t="s">
        <v>1498</v>
      </c>
      <c r="I108" s="293" t="s">
        <v>1498</v>
      </c>
      <c r="J108" s="340" t="s">
        <v>3168</v>
      </c>
      <c r="K108" s="341" t="s">
        <v>3172</v>
      </c>
      <c r="L108" s="256">
        <f>CONTINUA!BV108</f>
        <v>0</v>
      </c>
      <c r="M108" s="256">
        <f>CONTINUA!BW108</f>
        <v>0</v>
      </c>
      <c r="N108" s="564"/>
      <c r="O108" s="565" t="s">
        <v>3352</v>
      </c>
      <c r="P108" s="566">
        <v>0</v>
      </c>
      <c r="Q108" s="319">
        <v>0</v>
      </c>
      <c r="R108" s="320"/>
      <c r="S108" s="319">
        <v>0</v>
      </c>
      <c r="T108" s="320"/>
      <c r="U108" s="319">
        <v>0</v>
      </c>
      <c r="V108" s="320">
        <v>0</v>
      </c>
      <c r="W108" s="319">
        <v>0</v>
      </c>
      <c r="X108" s="320"/>
      <c r="Y108" s="319">
        <v>0</v>
      </c>
      <c r="Z108" s="320"/>
      <c r="AA108" s="319">
        <v>0</v>
      </c>
      <c r="AB108" s="320">
        <v>0</v>
      </c>
      <c r="AC108" s="319">
        <v>0</v>
      </c>
      <c r="AD108" s="320"/>
      <c r="AE108" s="319">
        <v>0</v>
      </c>
      <c r="AF108" s="320"/>
      <c r="AG108" s="319">
        <v>0</v>
      </c>
      <c r="AH108" s="320">
        <v>0</v>
      </c>
      <c r="AI108" s="319">
        <v>0</v>
      </c>
      <c r="AJ108" s="320"/>
      <c r="AK108" s="319">
        <v>0</v>
      </c>
      <c r="AL108" s="320"/>
      <c r="AM108" s="319">
        <v>0</v>
      </c>
      <c r="AN108" s="320">
        <v>0</v>
      </c>
      <c r="AO108" s="319">
        <v>0</v>
      </c>
      <c r="AP108" s="320"/>
      <c r="AQ108" s="319">
        <v>0</v>
      </c>
      <c r="AR108" s="320"/>
      <c r="AS108" s="319">
        <v>0</v>
      </c>
      <c r="AT108" s="320">
        <v>0</v>
      </c>
      <c r="AU108" s="319">
        <v>0</v>
      </c>
      <c r="AV108" s="320"/>
      <c r="AW108" s="319">
        <v>0</v>
      </c>
      <c r="AX108" s="320"/>
      <c r="AY108" s="319">
        <v>0</v>
      </c>
      <c r="AZ108" s="320">
        <v>0</v>
      </c>
      <c r="BA108" s="319">
        <v>0</v>
      </c>
      <c r="BB108" s="320"/>
      <c r="BC108" s="319">
        <v>0</v>
      </c>
      <c r="BD108" s="320"/>
      <c r="BE108" s="319">
        <v>0</v>
      </c>
      <c r="BF108" s="320">
        <v>0</v>
      </c>
      <c r="BG108" s="319">
        <v>0</v>
      </c>
      <c r="BH108" s="320"/>
      <c r="BI108" s="319">
        <v>0</v>
      </c>
      <c r="BJ108" s="320"/>
      <c r="BK108" s="319">
        <v>0</v>
      </c>
      <c r="BL108" s="320">
        <v>0</v>
      </c>
      <c r="BM108" s="319">
        <v>0</v>
      </c>
      <c r="BN108" s="320"/>
      <c r="BO108" s="319">
        <v>0</v>
      </c>
      <c r="BP108" s="320"/>
      <c r="BQ108" s="319">
        <v>0</v>
      </c>
      <c r="BR108" s="320">
        <v>0</v>
      </c>
      <c r="BS108" s="319">
        <v>0</v>
      </c>
      <c r="BT108" s="320"/>
      <c r="BU108" s="319">
        <v>0</v>
      </c>
      <c r="BV108" s="320"/>
      <c r="BW108" s="319">
        <v>0</v>
      </c>
      <c r="BX108" s="320">
        <v>0</v>
      </c>
      <c r="BY108" s="319">
        <v>0</v>
      </c>
      <c r="BZ108" s="320"/>
      <c r="CA108" s="319">
        <v>0</v>
      </c>
      <c r="CB108" s="320"/>
      <c r="CC108" s="319">
        <v>0</v>
      </c>
      <c r="CD108" s="320">
        <v>0</v>
      </c>
      <c r="CE108" s="319">
        <v>0</v>
      </c>
      <c r="CF108" s="320"/>
      <c r="CG108" s="319">
        <v>0</v>
      </c>
      <c r="CH108" s="320"/>
      <c r="CI108" s="319">
        <v>0</v>
      </c>
      <c r="CJ108" s="320">
        <v>0</v>
      </c>
      <c r="CK108" s="319">
        <v>0</v>
      </c>
      <c r="CL108" s="320"/>
      <c r="CM108" s="319">
        <v>0</v>
      </c>
      <c r="CN108" s="320"/>
      <c r="CO108" s="319">
        <v>0</v>
      </c>
      <c r="CP108" s="320">
        <v>0</v>
      </c>
      <c r="CQ108" s="319">
        <v>0</v>
      </c>
      <c r="CR108" s="320"/>
      <c r="CS108" s="319">
        <v>0</v>
      </c>
      <c r="CT108" s="320"/>
      <c r="CU108" s="319">
        <v>0</v>
      </c>
      <c r="CV108" s="320">
        <v>0</v>
      </c>
      <c r="CW108" s="319">
        <v>0</v>
      </c>
      <c r="CX108" s="320"/>
      <c r="CY108" s="319">
        <v>0</v>
      </c>
      <c r="CZ108" s="320"/>
      <c r="DA108" s="319">
        <v>0</v>
      </c>
      <c r="DB108" s="320">
        <v>0</v>
      </c>
      <c r="DC108" s="319">
        <v>0</v>
      </c>
      <c r="DD108" s="320"/>
      <c r="DE108" s="319">
        <v>0</v>
      </c>
      <c r="DF108" s="320"/>
      <c r="DG108" s="319">
        <v>0</v>
      </c>
      <c r="DH108" s="320">
        <v>0</v>
      </c>
      <c r="DI108" s="319">
        <v>0</v>
      </c>
      <c r="DJ108" s="320"/>
      <c r="DK108" s="319">
        <v>0</v>
      </c>
      <c r="DL108" s="320"/>
      <c r="DM108" s="319">
        <v>0</v>
      </c>
      <c r="DN108" s="320">
        <v>0</v>
      </c>
      <c r="DO108" s="319">
        <v>0</v>
      </c>
      <c r="DP108" s="320"/>
      <c r="DQ108" s="319">
        <v>0</v>
      </c>
      <c r="DR108" s="320"/>
      <c r="DS108" s="319">
        <v>0</v>
      </c>
      <c r="DT108" s="320">
        <v>0</v>
      </c>
      <c r="DU108" s="319">
        <v>0</v>
      </c>
      <c r="DV108" s="320"/>
      <c r="DW108" s="319">
        <v>0</v>
      </c>
      <c r="DX108" s="320"/>
      <c r="DY108" s="319">
        <v>0</v>
      </c>
      <c r="DZ108" s="320">
        <v>0</v>
      </c>
      <c r="EA108" s="319">
        <v>0</v>
      </c>
      <c r="EB108" s="320"/>
      <c r="EC108" s="319">
        <v>0</v>
      </c>
      <c r="ED108" s="320"/>
      <c r="EE108" s="319">
        <v>0</v>
      </c>
      <c r="EF108" s="320">
        <v>0</v>
      </c>
      <c r="EG108" s="319">
        <v>0</v>
      </c>
      <c r="EH108" s="320"/>
      <c r="EI108" s="319">
        <v>0</v>
      </c>
      <c r="EJ108" s="320"/>
      <c r="EK108" s="319">
        <v>0</v>
      </c>
      <c r="EL108" s="320">
        <v>0</v>
      </c>
      <c r="EM108" s="319">
        <v>0</v>
      </c>
      <c r="EN108" s="320"/>
      <c r="EO108" s="319">
        <v>0</v>
      </c>
      <c r="EP108" s="320"/>
      <c r="EQ108" s="319">
        <v>0</v>
      </c>
      <c r="ER108" s="320">
        <v>0</v>
      </c>
      <c r="ES108" s="319">
        <v>0</v>
      </c>
      <c r="ET108" s="320"/>
      <c r="EU108" s="319">
        <v>0</v>
      </c>
      <c r="EV108" s="320"/>
      <c r="EW108" s="319">
        <v>0</v>
      </c>
      <c r="EX108" s="320">
        <v>0</v>
      </c>
      <c r="EY108" s="319">
        <v>0</v>
      </c>
      <c r="EZ108" s="320"/>
      <c r="FA108" s="319">
        <v>0</v>
      </c>
      <c r="FB108" s="320"/>
      <c r="FC108" s="319">
        <v>0</v>
      </c>
      <c r="FD108" s="320">
        <v>0</v>
      </c>
      <c r="FE108" s="319">
        <v>0</v>
      </c>
      <c r="FF108" s="320"/>
      <c r="FG108" s="319">
        <v>0</v>
      </c>
      <c r="FH108" s="320"/>
      <c r="FI108" s="319">
        <v>0</v>
      </c>
      <c r="FJ108" s="320">
        <v>0</v>
      </c>
      <c r="FK108" s="319">
        <v>0</v>
      </c>
      <c r="FL108" s="320"/>
      <c r="FM108" s="319">
        <v>0</v>
      </c>
      <c r="FN108" s="320"/>
      <c r="FO108" s="319">
        <v>0</v>
      </c>
      <c r="FP108" s="320">
        <v>0</v>
      </c>
      <c r="FQ108" s="319">
        <v>0</v>
      </c>
      <c r="FR108" s="320"/>
      <c r="FS108" s="319">
        <v>0</v>
      </c>
      <c r="FT108" s="320"/>
      <c r="FU108" s="319">
        <v>0</v>
      </c>
      <c r="FV108" s="320">
        <v>0</v>
      </c>
      <c r="FW108" s="319">
        <v>0</v>
      </c>
      <c r="FX108" s="320"/>
      <c r="FY108" s="319">
        <v>0</v>
      </c>
      <c r="FZ108" s="320"/>
      <c r="GA108" s="319">
        <v>0</v>
      </c>
      <c r="GB108" s="320">
        <v>0</v>
      </c>
      <c r="GC108" s="319">
        <v>0</v>
      </c>
      <c r="GD108" s="320"/>
      <c r="GE108" s="319">
        <v>0</v>
      </c>
      <c r="GF108" s="320"/>
      <c r="GG108" s="319">
        <v>0</v>
      </c>
      <c r="GH108" s="320">
        <v>0</v>
      </c>
      <c r="GI108" s="319">
        <v>0</v>
      </c>
      <c r="GJ108" s="320"/>
      <c r="GK108" s="319">
        <v>0</v>
      </c>
      <c r="GL108" s="320"/>
      <c r="GM108" s="319">
        <v>0</v>
      </c>
      <c r="GN108" s="320">
        <v>0</v>
      </c>
      <c r="GO108" s="319">
        <v>0</v>
      </c>
      <c r="GP108" s="320"/>
      <c r="GQ108" s="319">
        <v>0</v>
      </c>
      <c r="GR108" s="320"/>
      <c r="GS108" s="319">
        <v>0</v>
      </c>
      <c r="GT108" s="320">
        <v>0</v>
      </c>
      <c r="GU108" s="319">
        <v>0</v>
      </c>
      <c r="GV108" s="320"/>
      <c r="GW108" s="319">
        <v>0</v>
      </c>
      <c r="GX108" s="320"/>
      <c r="GY108" s="319">
        <v>0</v>
      </c>
      <c r="GZ108" s="320">
        <v>0</v>
      </c>
    </row>
    <row r="109" spans="1:208" s="89" customFormat="1" ht="22.5" customHeight="1" x14ac:dyDescent="0.2">
      <c r="A109" s="287" t="s">
        <v>3257</v>
      </c>
      <c r="B109" s="288" t="s">
        <v>3258</v>
      </c>
      <c r="C109" s="294" t="s">
        <v>3170</v>
      </c>
      <c r="D109" s="290" t="s">
        <v>3259</v>
      </c>
      <c r="E109" s="290" t="s">
        <v>3176</v>
      </c>
      <c r="F109" s="295" t="s">
        <v>3166</v>
      </c>
      <c r="G109" s="295" t="s">
        <v>3167</v>
      </c>
      <c r="H109" s="292" t="s">
        <v>1498</v>
      </c>
      <c r="I109" s="293" t="s">
        <v>1498</v>
      </c>
      <c r="J109" s="340" t="s">
        <v>3168</v>
      </c>
      <c r="K109" s="342" t="s">
        <v>3173</v>
      </c>
      <c r="L109" s="256">
        <f>CONTINUA!BV109</f>
        <v>0</v>
      </c>
      <c r="M109" s="256">
        <f>CONTINUA!BW109</f>
        <v>0</v>
      </c>
      <c r="N109" s="564"/>
      <c r="O109" s="565" t="s">
        <v>3352</v>
      </c>
      <c r="P109" s="566">
        <v>0</v>
      </c>
      <c r="Q109" s="319">
        <v>0</v>
      </c>
      <c r="R109" s="320"/>
      <c r="S109" s="319">
        <v>0</v>
      </c>
      <c r="T109" s="320"/>
      <c r="U109" s="319">
        <v>0</v>
      </c>
      <c r="V109" s="320">
        <v>0</v>
      </c>
      <c r="W109" s="319">
        <v>0</v>
      </c>
      <c r="X109" s="320"/>
      <c r="Y109" s="319">
        <v>0</v>
      </c>
      <c r="Z109" s="320"/>
      <c r="AA109" s="319">
        <v>0</v>
      </c>
      <c r="AB109" s="320">
        <v>0</v>
      </c>
      <c r="AC109" s="319">
        <v>0</v>
      </c>
      <c r="AD109" s="320"/>
      <c r="AE109" s="319">
        <v>0</v>
      </c>
      <c r="AF109" s="320"/>
      <c r="AG109" s="319">
        <v>0</v>
      </c>
      <c r="AH109" s="320">
        <v>0</v>
      </c>
      <c r="AI109" s="319">
        <v>0</v>
      </c>
      <c r="AJ109" s="320"/>
      <c r="AK109" s="319">
        <v>0</v>
      </c>
      <c r="AL109" s="320"/>
      <c r="AM109" s="319">
        <v>0</v>
      </c>
      <c r="AN109" s="320">
        <v>0</v>
      </c>
      <c r="AO109" s="319">
        <v>0</v>
      </c>
      <c r="AP109" s="320"/>
      <c r="AQ109" s="319">
        <v>0</v>
      </c>
      <c r="AR109" s="320"/>
      <c r="AS109" s="319">
        <v>0</v>
      </c>
      <c r="AT109" s="320">
        <v>0</v>
      </c>
      <c r="AU109" s="319">
        <v>0</v>
      </c>
      <c r="AV109" s="320"/>
      <c r="AW109" s="319">
        <v>0</v>
      </c>
      <c r="AX109" s="320"/>
      <c r="AY109" s="319">
        <v>0</v>
      </c>
      <c r="AZ109" s="320">
        <v>0</v>
      </c>
      <c r="BA109" s="319">
        <v>0</v>
      </c>
      <c r="BB109" s="320"/>
      <c r="BC109" s="319">
        <v>0</v>
      </c>
      <c r="BD109" s="320"/>
      <c r="BE109" s="319">
        <v>0</v>
      </c>
      <c r="BF109" s="320">
        <v>0</v>
      </c>
      <c r="BG109" s="319">
        <v>0</v>
      </c>
      <c r="BH109" s="320"/>
      <c r="BI109" s="319">
        <v>0</v>
      </c>
      <c r="BJ109" s="320"/>
      <c r="BK109" s="319">
        <v>0</v>
      </c>
      <c r="BL109" s="320">
        <v>0</v>
      </c>
      <c r="BM109" s="319">
        <v>0</v>
      </c>
      <c r="BN109" s="320"/>
      <c r="BO109" s="319">
        <v>0</v>
      </c>
      <c r="BP109" s="320"/>
      <c r="BQ109" s="319">
        <v>0</v>
      </c>
      <c r="BR109" s="320">
        <v>0</v>
      </c>
      <c r="BS109" s="319">
        <v>0</v>
      </c>
      <c r="BT109" s="320"/>
      <c r="BU109" s="319">
        <v>0</v>
      </c>
      <c r="BV109" s="320"/>
      <c r="BW109" s="319">
        <v>0</v>
      </c>
      <c r="BX109" s="320">
        <v>0</v>
      </c>
      <c r="BY109" s="319">
        <v>0</v>
      </c>
      <c r="BZ109" s="320"/>
      <c r="CA109" s="319">
        <v>0</v>
      </c>
      <c r="CB109" s="320"/>
      <c r="CC109" s="319">
        <v>0</v>
      </c>
      <c r="CD109" s="320">
        <v>0</v>
      </c>
      <c r="CE109" s="319">
        <v>0</v>
      </c>
      <c r="CF109" s="320"/>
      <c r="CG109" s="319">
        <v>0</v>
      </c>
      <c r="CH109" s="320"/>
      <c r="CI109" s="319">
        <v>0</v>
      </c>
      <c r="CJ109" s="320">
        <v>0</v>
      </c>
      <c r="CK109" s="319">
        <v>0</v>
      </c>
      <c r="CL109" s="320"/>
      <c r="CM109" s="319">
        <v>0</v>
      </c>
      <c r="CN109" s="320"/>
      <c r="CO109" s="319">
        <v>0</v>
      </c>
      <c r="CP109" s="320">
        <v>0</v>
      </c>
      <c r="CQ109" s="319">
        <v>0</v>
      </c>
      <c r="CR109" s="320"/>
      <c r="CS109" s="319">
        <v>0</v>
      </c>
      <c r="CT109" s="320"/>
      <c r="CU109" s="319">
        <v>0</v>
      </c>
      <c r="CV109" s="320">
        <v>0</v>
      </c>
      <c r="CW109" s="319">
        <v>0</v>
      </c>
      <c r="CX109" s="320"/>
      <c r="CY109" s="319">
        <v>0</v>
      </c>
      <c r="CZ109" s="320"/>
      <c r="DA109" s="319">
        <v>0</v>
      </c>
      <c r="DB109" s="320">
        <v>0</v>
      </c>
      <c r="DC109" s="319">
        <v>0</v>
      </c>
      <c r="DD109" s="320"/>
      <c r="DE109" s="319">
        <v>0</v>
      </c>
      <c r="DF109" s="320"/>
      <c r="DG109" s="319">
        <v>0</v>
      </c>
      <c r="DH109" s="320">
        <v>0</v>
      </c>
      <c r="DI109" s="319">
        <v>0</v>
      </c>
      <c r="DJ109" s="320"/>
      <c r="DK109" s="319">
        <v>0</v>
      </c>
      <c r="DL109" s="320"/>
      <c r="DM109" s="319">
        <v>0</v>
      </c>
      <c r="DN109" s="320">
        <v>0</v>
      </c>
      <c r="DO109" s="319">
        <v>0</v>
      </c>
      <c r="DP109" s="320"/>
      <c r="DQ109" s="319">
        <v>0</v>
      </c>
      <c r="DR109" s="320"/>
      <c r="DS109" s="319">
        <v>0</v>
      </c>
      <c r="DT109" s="320">
        <v>0</v>
      </c>
      <c r="DU109" s="319">
        <v>0</v>
      </c>
      <c r="DV109" s="320"/>
      <c r="DW109" s="319">
        <v>0</v>
      </c>
      <c r="DX109" s="320"/>
      <c r="DY109" s="319">
        <v>0</v>
      </c>
      <c r="DZ109" s="320">
        <v>0</v>
      </c>
      <c r="EA109" s="319">
        <v>0</v>
      </c>
      <c r="EB109" s="320"/>
      <c r="EC109" s="319">
        <v>0</v>
      </c>
      <c r="ED109" s="320"/>
      <c r="EE109" s="319">
        <v>0</v>
      </c>
      <c r="EF109" s="320">
        <v>0</v>
      </c>
      <c r="EG109" s="319">
        <v>0</v>
      </c>
      <c r="EH109" s="320"/>
      <c r="EI109" s="319">
        <v>0</v>
      </c>
      <c r="EJ109" s="320"/>
      <c r="EK109" s="319">
        <v>0</v>
      </c>
      <c r="EL109" s="320">
        <v>0</v>
      </c>
      <c r="EM109" s="319">
        <v>0</v>
      </c>
      <c r="EN109" s="320"/>
      <c r="EO109" s="319">
        <v>0</v>
      </c>
      <c r="EP109" s="320"/>
      <c r="EQ109" s="319">
        <v>0</v>
      </c>
      <c r="ER109" s="320">
        <v>0</v>
      </c>
      <c r="ES109" s="319">
        <v>0</v>
      </c>
      <c r="ET109" s="320"/>
      <c r="EU109" s="319">
        <v>0</v>
      </c>
      <c r="EV109" s="320"/>
      <c r="EW109" s="319">
        <v>0</v>
      </c>
      <c r="EX109" s="320">
        <v>0</v>
      </c>
      <c r="EY109" s="319">
        <v>0</v>
      </c>
      <c r="EZ109" s="320"/>
      <c r="FA109" s="319">
        <v>0</v>
      </c>
      <c r="FB109" s="320"/>
      <c r="FC109" s="319">
        <v>0</v>
      </c>
      <c r="FD109" s="320">
        <v>0</v>
      </c>
      <c r="FE109" s="319">
        <v>0</v>
      </c>
      <c r="FF109" s="320"/>
      <c r="FG109" s="319">
        <v>0</v>
      </c>
      <c r="FH109" s="320"/>
      <c r="FI109" s="319">
        <v>0</v>
      </c>
      <c r="FJ109" s="320">
        <v>0</v>
      </c>
      <c r="FK109" s="319">
        <v>0</v>
      </c>
      <c r="FL109" s="320"/>
      <c r="FM109" s="319">
        <v>0</v>
      </c>
      <c r="FN109" s="320"/>
      <c r="FO109" s="319">
        <v>0</v>
      </c>
      <c r="FP109" s="320">
        <v>0</v>
      </c>
      <c r="FQ109" s="319">
        <v>0</v>
      </c>
      <c r="FR109" s="320"/>
      <c r="FS109" s="319">
        <v>0</v>
      </c>
      <c r="FT109" s="320"/>
      <c r="FU109" s="319">
        <v>0</v>
      </c>
      <c r="FV109" s="320">
        <v>0</v>
      </c>
      <c r="FW109" s="319">
        <v>0</v>
      </c>
      <c r="FX109" s="320"/>
      <c r="FY109" s="319">
        <v>0</v>
      </c>
      <c r="FZ109" s="320"/>
      <c r="GA109" s="319">
        <v>0</v>
      </c>
      <c r="GB109" s="320">
        <v>0</v>
      </c>
      <c r="GC109" s="319">
        <v>0</v>
      </c>
      <c r="GD109" s="320"/>
      <c r="GE109" s="319">
        <v>0</v>
      </c>
      <c r="GF109" s="320"/>
      <c r="GG109" s="319">
        <v>0</v>
      </c>
      <c r="GH109" s="320">
        <v>0</v>
      </c>
      <c r="GI109" s="319">
        <v>0</v>
      </c>
      <c r="GJ109" s="320"/>
      <c r="GK109" s="319">
        <v>0</v>
      </c>
      <c r="GL109" s="320"/>
      <c r="GM109" s="319">
        <v>0</v>
      </c>
      <c r="GN109" s="320">
        <v>0</v>
      </c>
      <c r="GO109" s="319">
        <v>0</v>
      </c>
      <c r="GP109" s="320"/>
      <c r="GQ109" s="319">
        <v>0</v>
      </c>
      <c r="GR109" s="320"/>
      <c r="GS109" s="319">
        <v>0</v>
      </c>
      <c r="GT109" s="320">
        <v>0</v>
      </c>
      <c r="GU109" s="319">
        <v>0</v>
      </c>
      <c r="GV109" s="320"/>
      <c r="GW109" s="319">
        <v>0</v>
      </c>
      <c r="GX109" s="320"/>
      <c r="GY109" s="319">
        <v>0</v>
      </c>
      <c r="GZ109" s="320">
        <v>0</v>
      </c>
    </row>
    <row r="110" spans="1:208" s="89" customFormat="1" ht="22.5" customHeight="1" thickBot="1" x14ac:dyDescent="0.25">
      <c r="A110" s="296" t="s">
        <v>3257</v>
      </c>
      <c r="B110" s="297" t="s">
        <v>3258</v>
      </c>
      <c r="C110" s="298" t="s">
        <v>3170</v>
      </c>
      <c r="D110" s="299" t="s">
        <v>3259</v>
      </c>
      <c r="E110" s="299" t="s">
        <v>3176</v>
      </c>
      <c r="F110" s="300" t="s">
        <v>3166</v>
      </c>
      <c r="G110" s="300" t="s">
        <v>3167</v>
      </c>
      <c r="H110" s="301" t="s">
        <v>1498</v>
      </c>
      <c r="I110" s="302" t="s">
        <v>1498</v>
      </c>
      <c r="J110" s="340" t="s">
        <v>3168</v>
      </c>
      <c r="K110" s="343" t="s">
        <v>53</v>
      </c>
      <c r="L110" s="256">
        <f>CONTINUA!BV110</f>
        <v>0</v>
      </c>
      <c r="M110" s="256">
        <f>CONTINUA!BW110</f>
        <v>0</v>
      </c>
      <c r="N110" s="564"/>
      <c r="O110" s="565" t="s">
        <v>3352</v>
      </c>
      <c r="P110" s="566">
        <v>0</v>
      </c>
      <c r="Q110" s="319">
        <v>0</v>
      </c>
      <c r="R110" s="320"/>
      <c r="S110" s="319">
        <v>0</v>
      </c>
      <c r="T110" s="320"/>
      <c r="U110" s="321">
        <v>0</v>
      </c>
      <c r="V110" s="322">
        <v>0</v>
      </c>
      <c r="W110" s="319">
        <v>0</v>
      </c>
      <c r="X110" s="320"/>
      <c r="Y110" s="319">
        <v>0</v>
      </c>
      <c r="Z110" s="320"/>
      <c r="AA110" s="321">
        <v>0</v>
      </c>
      <c r="AB110" s="322">
        <v>0</v>
      </c>
      <c r="AC110" s="319">
        <v>0</v>
      </c>
      <c r="AD110" s="320"/>
      <c r="AE110" s="319">
        <v>0</v>
      </c>
      <c r="AF110" s="320"/>
      <c r="AG110" s="321">
        <v>0</v>
      </c>
      <c r="AH110" s="322">
        <v>0</v>
      </c>
      <c r="AI110" s="319">
        <v>0</v>
      </c>
      <c r="AJ110" s="320"/>
      <c r="AK110" s="319">
        <v>0</v>
      </c>
      <c r="AL110" s="320"/>
      <c r="AM110" s="321">
        <v>0</v>
      </c>
      <c r="AN110" s="322">
        <v>0</v>
      </c>
      <c r="AO110" s="319">
        <v>0</v>
      </c>
      <c r="AP110" s="320"/>
      <c r="AQ110" s="319">
        <v>0</v>
      </c>
      <c r="AR110" s="320"/>
      <c r="AS110" s="321">
        <v>0</v>
      </c>
      <c r="AT110" s="322">
        <v>0</v>
      </c>
      <c r="AU110" s="319">
        <v>0</v>
      </c>
      <c r="AV110" s="320"/>
      <c r="AW110" s="319">
        <v>0</v>
      </c>
      <c r="AX110" s="320"/>
      <c r="AY110" s="321">
        <v>0</v>
      </c>
      <c r="AZ110" s="322">
        <v>0</v>
      </c>
      <c r="BA110" s="319">
        <v>0</v>
      </c>
      <c r="BB110" s="320"/>
      <c r="BC110" s="319">
        <v>0</v>
      </c>
      <c r="BD110" s="320"/>
      <c r="BE110" s="321">
        <v>0</v>
      </c>
      <c r="BF110" s="322">
        <v>0</v>
      </c>
      <c r="BG110" s="319">
        <v>0</v>
      </c>
      <c r="BH110" s="320"/>
      <c r="BI110" s="319">
        <v>0</v>
      </c>
      <c r="BJ110" s="320"/>
      <c r="BK110" s="321">
        <v>0</v>
      </c>
      <c r="BL110" s="322">
        <v>0</v>
      </c>
      <c r="BM110" s="319">
        <v>0</v>
      </c>
      <c r="BN110" s="320"/>
      <c r="BO110" s="319">
        <v>0</v>
      </c>
      <c r="BP110" s="320"/>
      <c r="BQ110" s="321">
        <v>0</v>
      </c>
      <c r="BR110" s="322">
        <v>0</v>
      </c>
      <c r="BS110" s="319">
        <v>0</v>
      </c>
      <c r="BT110" s="320"/>
      <c r="BU110" s="319">
        <v>0</v>
      </c>
      <c r="BV110" s="320"/>
      <c r="BW110" s="321">
        <v>0</v>
      </c>
      <c r="BX110" s="322">
        <v>0</v>
      </c>
      <c r="BY110" s="319">
        <v>0</v>
      </c>
      <c r="BZ110" s="320"/>
      <c r="CA110" s="319">
        <v>0</v>
      </c>
      <c r="CB110" s="320"/>
      <c r="CC110" s="321">
        <v>0</v>
      </c>
      <c r="CD110" s="322">
        <v>0</v>
      </c>
      <c r="CE110" s="319">
        <v>0</v>
      </c>
      <c r="CF110" s="320"/>
      <c r="CG110" s="319">
        <v>0</v>
      </c>
      <c r="CH110" s="320"/>
      <c r="CI110" s="321">
        <v>0</v>
      </c>
      <c r="CJ110" s="322">
        <v>0</v>
      </c>
      <c r="CK110" s="319">
        <v>0</v>
      </c>
      <c r="CL110" s="320"/>
      <c r="CM110" s="319">
        <v>0</v>
      </c>
      <c r="CN110" s="320"/>
      <c r="CO110" s="321">
        <v>0</v>
      </c>
      <c r="CP110" s="322">
        <v>0</v>
      </c>
      <c r="CQ110" s="319">
        <v>0</v>
      </c>
      <c r="CR110" s="320"/>
      <c r="CS110" s="319">
        <v>0</v>
      </c>
      <c r="CT110" s="320"/>
      <c r="CU110" s="321">
        <v>0</v>
      </c>
      <c r="CV110" s="322">
        <v>0</v>
      </c>
      <c r="CW110" s="319">
        <v>0</v>
      </c>
      <c r="CX110" s="320"/>
      <c r="CY110" s="319">
        <v>0</v>
      </c>
      <c r="CZ110" s="320"/>
      <c r="DA110" s="321">
        <v>0</v>
      </c>
      <c r="DB110" s="322">
        <v>0</v>
      </c>
      <c r="DC110" s="319">
        <v>0</v>
      </c>
      <c r="DD110" s="320"/>
      <c r="DE110" s="319">
        <v>0</v>
      </c>
      <c r="DF110" s="320"/>
      <c r="DG110" s="321">
        <v>0</v>
      </c>
      <c r="DH110" s="322">
        <v>0</v>
      </c>
      <c r="DI110" s="319">
        <v>0</v>
      </c>
      <c r="DJ110" s="320"/>
      <c r="DK110" s="319">
        <v>0</v>
      </c>
      <c r="DL110" s="320"/>
      <c r="DM110" s="321">
        <v>0</v>
      </c>
      <c r="DN110" s="322">
        <v>0</v>
      </c>
      <c r="DO110" s="319">
        <v>0</v>
      </c>
      <c r="DP110" s="320"/>
      <c r="DQ110" s="319">
        <v>0</v>
      </c>
      <c r="DR110" s="320"/>
      <c r="DS110" s="321">
        <v>0</v>
      </c>
      <c r="DT110" s="322">
        <v>0</v>
      </c>
      <c r="DU110" s="319">
        <v>0</v>
      </c>
      <c r="DV110" s="320"/>
      <c r="DW110" s="319">
        <v>0</v>
      </c>
      <c r="DX110" s="320"/>
      <c r="DY110" s="321">
        <v>0</v>
      </c>
      <c r="DZ110" s="322">
        <v>0</v>
      </c>
      <c r="EA110" s="319">
        <v>0</v>
      </c>
      <c r="EB110" s="320"/>
      <c r="EC110" s="319">
        <v>0</v>
      </c>
      <c r="ED110" s="320"/>
      <c r="EE110" s="321">
        <v>0</v>
      </c>
      <c r="EF110" s="322">
        <v>0</v>
      </c>
      <c r="EG110" s="319">
        <v>0</v>
      </c>
      <c r="EH110" s="320"/>
      <c r="EI110" s="319">
        <v>0</v>
      </c>
      <c r="EJ110" s="320"/>
      <c r="EK110" s="321">
        <v>0</v>
      </c>
      <c r="EL110" s="322">
        <v>0</v>
      </c>
      <c r="EM110" s="319">
        <v>0</v>
      </c>
      <c r="EN110" s="320"/>
      <c r="EO110" s="319">
        <v>0</v>
      </c>
      <c r="EP110" s="320"/>
      <c r="EQ110" s="321">
        <v>0</v>
      </c>
      <c r="ER110" s="322">
        <v>0</v>
      </c>
      <c r="ES110" s="319">
        <v>0</v>
      </c>
      <c r="ET110" s="320"/>
      <c r="EU110" s="319">
        <v>0</v>
      </c>
      <c r="EV110" s="320"/>
      <c r="EW110" s="321">
        <v>0</v>
      </c>
      <c r="EX110" s="322">
        <v>0</v>
      </c>
      <c r="EY110" s="319">
        <v>0</v>
      </c>
      <c r="EZ110" s="320"/>
      <c r="FA110" s="319">
        <v>0</v>
      </c>
      <c r="FB110" s="320"/>
      <c r="FC110" s="321">
        <v>0</v>
      </c>
      <c r="FD110" s="322">
        <v>0</v>
      </c>
      <c r="FE110" s="319">
        <v>0</v>
      </c>
      <c r="FF110" s="320"/>
      <c r="FG110" s="319">
        <v>0</v>
      </c>
      <c r="FH110" s="320"/>
      <c r="FI110" s="321">
        <v>0</v>
      </c>
      <c r="FJ110" s="322">
        <v>0</v>
      </c>
      <c r="FK110" s="319">
        <v>0</v>
      </c>
      <c r="FL110" s="320"/>
      <c r="FM110" s="319">
        <v>0</v>
      </c>
      <c r="FN110" s="320"/>
      <c r="FO110" s="321">
        <v>0</v>
      </c>
      <c r="FP110" s="322">
        <v>0</v>
      </c>
      <c r="FQ110" s="319">
        <v>0</v>
      </c>
      <c r="FR110" s="320"/>
      <c r="FS110" s="319">
        <v>0</v>
      </c>
      <c r="FT110" s="320"/>
      <c r="FU110" s="321">
        <v>0</v>
      </c>
      <c r="FV110" s="322">
        <v>0</v>
      </c>
      <c r="FW110" s="319">
        <v>0</v>
      </c>
      <c r="FX110" s="320"/>
      <c r="FY110" s="319">
        <v>0</v>
      </c>
      <c r="FZ110" s="320"/>
      <c r="GA110" s="321">
        <v>0</v>
      </c>
      <c r="GB110" s="322">
        <v>0</v>
      </c>
      <c r="GC110" s="319">
        <v>0</v>
      </c>
      <c r="GD110" s="320"/>
      <c r="GE110" s="319">
        <v>0</v>
      </c>
      <c r="GF110" s="320"/>
      <c r="GG110" s="321">
        <v>0</v>
      </c>
      <c r="GH110" s="322">
        <v>0</v>
      </c>
      <c r="GI110" s="319">
        <v>0</v>
      </c>
      <c r="GJ110" s="320"/>
      <c r="GK110" s="319">
        <v>0</v>
      </c>
      <c r="GL110" s="320"/>
      <c r="GM110" s="321">
        <v>0</v>
      </c>
      <c r="GN110" s="322">
        <v>0</v>
      </c>
      <c r="GO110" s="319">
        <v>0</v>
      </c>
      <c r="GP110" s="320"/>
      <c r="GQ110" s="319">
        <v>0</v>
      </c>
      <c r="GR110" s="320"/>
      <c r="GS110" s="321">
        <v>0</v>
      </c>
      <c r="GT110" s="322">
        <v>0</v>
      </c>
      <c r="GU110" s="319">
        <v>0</v>
      </c>
      <c r="GV110" s="320"/>
      <c r="GW110" s="319">
        <v>0</v>
      </c>
      <c r="GX110" s="320"/>
      <c r="GY110" s="321">
        <v>0</v>
      </c>
      <c r="GZ110" s="322">
        <v>0</v>
      </c>
    </row>
    <row r="111" spans="1:208" s="89" customFormat="1" ht="22.5" customHeight="1" x14ac:dyDescent="0.2">
      <c r="A111" t="s">
        <v>3260</v>
      </c>
      <c r="B111" s="429" t="s">
        <v>3261</v>
      </c>
      <c r="C111" s="430">
        <v>1</v>
      </c>
      <c r="D111" s="431" t="s">
        <v>3262</v>
      </c>
      <c r="E111" s="431" t="s">
        <v>3263</v>
      </c>
      <c r="F111" s="432" t="s">
        <v>3166</v>
      </c>
      <c r="G111" s="432" t="s">
        <v>3167</v>
      </c>
      <c r="H111" s="270" t="s">
        <v>1500</v>
      </c>
      <c r="I111" s="271" t="s">
        <v>1500</v>
      </c>
      <c r="J111" s="328" t="s">
        <v>3168</v>
      </c>
      <c r="K111" s="329" t="s">
        <v>3169</v>
      </c>
      <c r="L111" s="256">
        <f>CONTINUA!BV111</f>
        <v>0</v>
      </c>
      <c r="M111" s="256">
        <f>CONTINUA!BW111</f>
        <v>0</v>
      </c>
      <c r="N111" s="564"/>
      <c r="O111" s="565" t="s">
        <v>3353</v>
      </c>
      <c r="P111" s="566">
        <v>0</v>
      </c>
      <c r="Q111" s="319">
        <v>13</v>
      </c>
      <c r="R111" s="320"/>
      <c r="S111" s="319">
        <v>0</v>
      </c>
      <c r="T111" s="320"/>
      <c r="U111" s="321">
        <v>0</v>
      </c>
      <c r="V111" s="322">
        <v>0</v>
      </c>
      <c r="W111" s="319">
        <v>13</v>
      </c>
      <c r="X111" s="320"/>
      <c r="Y111" s="319">
        <v>0</v>
      </c>
      <c r="Z111" s="320"/>
      <c r="AA111" s="321">
        <v>0</v>
      </c>
      <c r="AB111" s="322">
        <v>0</v>
      </c>
      <c r="AC111" s="319">
        <v>13</v>
      </c>
      <c r="AD111" s="320"/>
      <c r="AE111" s="319">
        <v>0</v>
      </c>
      <c r="AF111" s="320"/>
      <c r="AG111" s="321">
        <v>0</v>
      </c>
      <c r="AH111" s="322">
        <v>0</v>
      </c>
      <c r="AI111" s="319">
        <v>13</v>
      </c>
      <c r="AJ111" s="320"/>
      <c r="AK111" s="319">
        <v>0</v>
      </c>
      <c r="AL111" s="320"/>
      <c r="AM111" s="321">
        <v>0</v>
      </c>
      <c r="AN111" s="322">
        <v>0</v>
      </c>
      <c r="AO111" s="319">
        <v>13</v>
      </c>
      <c r="AP111" s="320"/>
      <c r="AQ111" s="319">
        <v>0</v>
      </c>
      <c r="AR111" s="320"/>
      <c r="AS111" s="321">
        <v>0</v>
      </c>
      <c r="AT111" s="322">
        <v>0</v>
      </c>
      <c r="AU111" s="319">
        <v>13</v>
      </c>
      <c r="AV111" s="320"/>
      <c r="AW111" s="319">
        <v>0</v>
      </c>
      <c r="AX111" s="320"/>
      <c r="AY111" s="321">
        <v>0</v>
      </c>
      <c r="AZ111" s="322">
        <v>0</v>
      </c>
      <c r="BA111" s="319">
        <v>13</v>
      </c>
      <c r="BB111" s="320"/>
      <c r="BC111" s="319">
        <v>0</v>
      </c>
      <c r="BD111" s="320"/>
      <c r="BE111" s="321">
        <v>0</v>
      </c>
      <c r="BF111" s="322">
        <v>0</v>
      </c>
      <c r="BG111" s="319">
        <v>13</v>
      </c>
      <c r="BH111" s="320"/>
      <c r="BI111" s="319">
        <v>0</v>
      </c>
      <c r="BJ111" s="320"/>
      <c r="BK111" s="321">
        <v>0</v>
      </c>
      <c r="BL111" s="322">
        <v>0</v>
      </c>
      <c r="BM111" s="319">
        <v>13</v>
      </c>
      <c r="BN111" s="320"/>
      <c r="BO111" s="319">
        <v>0</v>
      </c>
      <c r="BP111" s="320"/>
      <c r="BQ111" s="321">
        <v>0</v>
      </c>
      <c r="BR111" s="322">
        <v>0</v>
      </c>
      <c r="BS111" s="319">
        <v>13</v>
      </c>
      <c r="BT111" s="320"/>
      <c r="BU111" s="319">
        <v>0</v>
      </c>
      <c r="BV111" s="320"/>
      <c r="BW111" s="321">
        <v>0</v>
      </c>
      <c r="BX111" s="322">
        <v>0</v>
      </c>
      <c r="BY111" s="319">
        <v>13</v>
      </c>
      <c r="BZ111" s="320"/>
      <c r="CA111" s="319">
        <v>0</v>
      </c>
      <c r="CB111" s="320"/>
      <c r="CC111" s="321">
        <v>0</v>
      </c>
      <c r="CD111" s="322">
        <v>0</v>
      </c>
      <c r="CE111" s="319">
        <v>13</v>
      </c>
      <c r="CF111" s="320"/>
      <c r="CG111" s="319">
        <v>0</v>
      </c>
      <c r="CH111" s="320"/>
      <c r="CI111" s="321">
        <v>0</v>
      </c>
      <c r="CJ111" s="322">
        <v>0</v>
      </c>
      <c r="CK111" s="319">
        <v>13</v>
      </c>
      <c r="CL111" s="320"/>
      <c r="CM111" s="319">
        <v>0</v>
      </c>
      <c r="CN111" s="320"/>
      <c r="CO111" s="321">
        <v>0</v>
      </c>
      <c r="CP111" s="322">
        <v>0</v>
      </c>
      <c r="CQ111" s="319">
        <v>13</v>
      </c>
      <c r="CR111" s="320"/>
      <c r="CS111" s="319">
        <v>0</v>
      </c>
      <c r="CT111" s="320"/>
      <c r="CU111" s="321">
        <v>0</v>
      </c>
      <c r="CV111" s="322">
        <v>0</v>
      </c>
      <c r="CW111" s="319">
        <v>13</v>
      </c>
      <c r="CX111" s="320"/>
      <c r="CY111" s="319">
        <v>0</v>
      </c>
      <c r="CZ111" s="320"/>
      <c r="DA111" s="321">
        <v>0</v>
      </c>
      <c r="DB111" s="322">
        <v>0</v>
      </c>
      <c r="DC111" s="319">
        <v>13</v>
      </c>
      <c r="DD111" s="320"/>
      <c r="DE111" s="319">
        <v>0</v>
      </c>
      <c r="DF111" s="320"/>
      <c r="DG111" s="321">
        <v>0</v>
      </c>
      <c r="DH111" s="322">
        <v>0</v>
      </c>
      <c r="DI111" s="319">
        <v>13</v>
      </c>
      <c r="DJ111" s="320"/>
      <c r="DK111" s="319">
        <v>0</v>
      </c>
      <c r="DL111" s="320"/>
      <c r="DM111" s="321">
        <v>0</v>
      </c>
      <c r="DN111" s="322">
        <v>0</v>
      </c>
      <c r="DO111" s="319">
        <v>13</v>
      </c>
      <c r="DP111" s="320"/>
      <c r="DQ111" s="319">
        <v>0</v>
      </c>
      <c r="DR111" s="320"/>
      <c r="DS111" s="321">
        <v>0</v>
      </c>
      <c r="DT111" s="322">
        <v>0</v>
      </c>
      <c r="DU111" s="319">
        <v>13</v>
      </c>
      <c r="DV111" s="320"/>
      <c r="DW111" s="319">
        <v>0</v>
      </c>
      <c r="DX111" s="320"/>
      <c r="DY111" s="321">
        <v>0</v>
      </c>
      <c r="DZ111" s="322">
        <v>0</v>
      </c>
      <c r="EA111" s="319">
        <v>13</v>
      </c>
      <c r="EB111" s="320"/>
      <c r="EC111" s="319">
        <v>0</v>
      </c>
      <c r="ED111" s="320"/>
      <c r="EE111" s="321">
        <v>0</v>
      </c>
      <c r="EF111" s="322">
        <v>0</v>
      </c>
      <c r="EG111" s="319">
        <v>13</v>
      </c>
      <c r="EH111" s="320"/>
      <c r="EI111" s="319">
        <v>0</v>
      </c>
      <c r="EJ111" s="320"/>
      <c r="EK111" s="321">
        <v>0</v>
      </c>
      <c r="EL111" s="322">
        <v>0</v>
      </c>
      <c r="EM111" s="319">
        <v>13</v>
      </c>
      <c r="EN111" s="320"/>
      <c r="EO111" s="319">
        <v>0</v>
      </c>
      <c r="EP111" s="320"/>
      <c r="EQ111" s="321">
        <v>0</v>
      </c>
      <c r="ER111" s="322">
        <v>0</v>
      </c>
      <c r="ES111" s="319">
        <v>13</v>
      </c>
      <c r="ET111" s="320"/>
      <c r="EU111" s="319">
        <v>0</v>
      </c>
      <c r="EV111" s="320"/>
      <c r="EW111" s="321">
        <v>0</v>
      </c>
      <c r="EX111" s="322">
        <v>0</v>
      </c>
      <c r="EY111" s="319">
        <v>13</v>
      </c>
      <c r="EZ111" s="320"/>
      <c r="FA111" s="319">
        <v>0</v>
      </c>
      <c r="FB111" s="320"/>
      <c r="FC111" s="321">
        <v>0</v>
      </c>
      <c r="FD111" s="322">
        <v>0</v>
      </c>
      <c r="FE111" s="319">
        <v>13</v>
      </c>
      <c r="FF111" s="320"/>
      <c r="FG111" s="319">
        <v>0</v>
      </c>
      <c r="FH111" s="320"/>
      <c r="FI111" s="321">
        <v>0</v>
      </c>
      <c r="FJ111" s="322">
        <v>0</v>
      </c>
      <c r="FK111" s="319">
        <v>13</v>
      </c>
      <c r="FL111" s="320"/>
      <c r="FM111" s="319">
        <v>0</v>
      </c>
      <c r="FN111" s="320"/>
      <c r="FO111" s="321">
        <v>0</v>
      </c>
      <c r="FP111" s="322">
        <v>0</v>
      </c>
      <c r="FQ111" s="319">
        <v>13</v>
      </c>
      <c r="FR111" s="320"/>
      <c r="FS111" s="319">
        <v>0</v>
      </c>
      <c r="FT111" s="320"/>
      <c r="FU111" s="321">
        <v>0</v>
      </c>
      <c r="FV111" s="322">
        <v>0</v>
      </c>
      <c r="FW111" s="319">
        <v>13</v>
      </c>
      <c r="FX111" s="320"/>
      <c r="FY111" s="319">
        <v>0</v>
      </c>
      <c r="FZ111" s="320"/>
      <c r="GA111" s="321">
        <v>0</v>
      </c>
      <c r="GB111" s="322">
        <v>0</v>
      </c>
      <c r="GC111" s="319">
        <v>13</v>
      </c>
      <c r="GD111" s="320"/>
      <c r="GE111" s="319">
        <v>0</v>
      </c>
      <c r="GF111" s="320"/>
      <c r="GG111" s="321">
        <v>0</v>
      </c>
      <c r="GH111" s="322">
        <v>0</v>
      </c>
      <c r="GI111" s="319">
        <v>13</v>
      </c>
      <c r="GJ111" s="320"/>
      <c r="GK111" s="319">
        <v>0</v>
      </c>
      <c r="GL111" s="320"/>
      <c r="GM111" s="321">
        <v>0</v>
      </c>
      <c r="GN111" s="322">
        <v>0</v>
      </c>
      <c r="GO111" s="319">
        <v>13</v>
      </c>
      <c r="GP111" s="320"/>
      <c r="GQ111" s="319">
        <v>0</v>
      </c>
      <c r="GR111" s="320"/>
      <c r="GS111" s="321">
        <v>0</v>
      </c>
      <c r="GT111" s="322">
        <v>0</v>
      </c>
      <c r="GU111" s="319">
        <v>13</v>
      </c>
      <c r="GV111" s="320"/>
      <c r="GW111" s="319">
        <v>0</v>
      </c>
      <c r="GX111" s="320"/>
      <c r="GY111" s="321">
        <v>0</v>
      </c>
      <c r="GZ111" s="322">
        <v>0</v>
      </c>
    </row>
    <row r="112" spans="1:208" s="89" customFormat="1" ht="22.5" customHeight="1" x14ac:dyDescent="0.2">
      <c r="A112" s="287" t="s">
        <v>3260</v>
      </c>
      <c r="B112" s="288" t="s">
        <v>3261</v>
      </c>
      <c r="C112" s="289" t="s">
        <v>3170</v>
      </c>
      <c r="D112" s="290" t="s">
        <v>3262</v>
      </c>
      <c r="E112" s="290" t="s">
        <v>3263</v>
      </c>
      <c r="F112" s="291" t="s">
        <v>3166</v>
      </c>
      <c r="G112" s="291" t="s">
        <v>3167</v>
      </c>
      <c r="H112" s="292" t="s">
        <v>1500</v>
      </c>
      <c r="I112" s="293" t="s">
        <v>1500</v>
      </c>
      <c r="J112" s="340" t="s">
        <v>3168</v>
      </c>
      <c r="K112" s="340" t="s">
        <v>3171</v>
      </c>
      <c r="L112" s="256">
        <f>CONTINUA!BV112</f>
        <v>24</v>
      </c>
      <c r="M112" s="256">
        <f>CONTINUA!BW112</f>
        <v>0</v>
      </c>
      <c r="N112" s="564"/>
      <c r="O112" s="565" t="s">
        <v>3353</v>
      </c>
      <c r="P112" s="566">
        <v>0</v>
      </c>
      <c r="Q112" s="319">
        <v>26</v>
      </c>
      <c r="R112" s="320"/>
      <c r="S112" s="319">
        <v>0</v>
      </c>
      <c r="T112" s="320"/>
      <c r="U112" s="319">
        <v>0</v>
      </c>
      <c r="V112" s="320">
        <v>0</v>
      </c>
      <c r="W112" s="319">
        <v>26</v>
      </c>
      <c r="X112" s="320"/>
      <c r="Y112" s="319">
        <v>0</v>
      </c>
      <c r="Z112" s="320"/>
      <c r="AA112" s="319">
        <v>0</v>
      </c>
      <c r="AB112" s="320">
        <v>0</v>
      </c>
      <c r="AC112" s="319">
        <v>26</v>
      </c>
      <c r="AD112" s="320"/>
      <c r="AE112" s="319">
        <v>0</v>
      </c>
      <c r="AF112" s="320"/>
      <c r="AG112" s="319">
        <v>0</v>
      </c>
      <c r="AH112" s="320">
        <v>0</v>
      </c>
      <c r="AI112" s="319">
        <v>26</v>
      </c>
      <c r="AJ112" s="320"/>
      <c r="AK112" s="319">
        <v>0</v>
      </c>
      <c r="AL112" s="320"/>
      <c r="AM112" s="319">
        <v>0</v>
      </c>
      <c r="AN112" s="320">
        <v>0</v>
      </c>
      <c r="AO112" s="319">
        <v>26</v>
      </c>
      <c r="AP112" s="320"/>
      <c r="AQ112" s="319">
        <v>0</v>
      </c>
      <c r="AR112" s="320"/>
      <c r="AS112" s="319">
        <v>0</v>
      </c>
      <c r="AT112" s="320">
        <v>0</v>
      </c>
      <c r="AU112" s="319">
        <v>26</v>
      </c>
      <c r="AV112" s="320"/>
      <c r="AW112" s="319">
        <v>0</v>
      </c>
      <c r="AX112" s="320"/>
      <c r="AY112" s="319">
        <v>0</v>
      </c>
      <c r="AZ112" s="320">
        <v>0</v>
      </c>
      <c r="BA112" s="319">
        <v>26</v>
      </c>
      <c r="BB112" s="320"/>
      <c r="BC112" s="319">
        <v>0</v>
      </c>
      <c r="BD112" s="320"/>
      <c r="BE112" s="319">
        <v>0</v>
      </c>
      <c r="BF112" s="320">
        <v>0</v>
      </c>
      <c r="BG112" s="319">
        <v>26</v>
      </c>
      <c r="BH112" s="320"/>
      <c r="BI112" s="319">
        <v>0</v>
      </c>
      <c r="BJ112" s="320"/>
      <c r="BK112" s="319">
        <v>0</v>
      </c>
      <c r="BL112" s="320">
        <v>0</v>
      </c>
      <c r="BM112" s="319">
        <v>26</v>
      </c>
      <c r="BN112" s="320"/>
      <c r="BO112" s="319">
        <v>0</v>
      </c>
      <c r="BP112" s="320"/>
      <c r="BQ112" s="319">
        <v>0</v>
      </c>
      <c r="BR112" s="320">
        <v>0</v>
      </c>
      <c r="BS112" s="319">
        <v>26</v>
      </c>
      <c r="BT112" s="320"/>
      <c r="BU112" s="319">
        <v>0</v>
      </c>
      <c r="BV112" s="320"/>
      <c r="BW112" s="319">
        <v>0</v>
      </c>
      <c r="BX112" s="320">
        <v>0</v>
      </c>
      <c r="BY112" s="319">
        <v>26</v>
      </c>
      <c r="BZ112" s="320"/>
      <c r="CA112" s="319">
        <v>0</v>
      </c>
      <c r="CB112" s="320"/>
      <c r="CC112" s="319">
        <v>0</v>
      </c>
      <c r="CD112" s="320">
        <v>0</v>
      </c>
      <c r="CE112" s="319">
        <v>26</v>
      </c>
      <c r="CF112" s="320"/>
      <c r="CG112" s="319">
        <v>0</v>
      </c>
      <c r="CH112" s="320"/>
      <c r="CI112" s="319">
        <v>0</v>
      </c>
      <c r="CJ112" s="320">
        <v>0</v>
      </c>
      <c r="CK112" s="319">
        <v>26</v>
      </c>
      <c r="CL112" s="320"/>
      <c r="CM112" s="319">
        <v>0</v>
      </c>
      <c r="CN112" s="320"/>
      <c r="CO112" s="319">
        <v>0</v>
      </c>
      <c r="CP112" s="320">
        <v>0</v>
      </c>
      <c r="CQ112" s="319">
        <v>26</v>
      </c>
      <c r="CR112" s="320"/>
      <c r="CS112" s="319">
        <v>0</v>
      </c>
      <c r="CT112" s="320"/>
      <c r="CU112" s="319">
        <v>0</v>
      </c>
      <c r="CV112" s="320">
        <v>0</v>
      </c>
      <c r="CW112" s="319">
        <v>26</v>
      </c>
      <c r="CX112" s="320"/>
      <c r="CY112" s="319">
        <v>0</v>
      </c>
      <c r="CZ112" s="320"/>
      <c r="DA112" s="319">
        <v>0</v>
      </c>
      <c r="DB112" s="320">
        <v>0</v>
      </c>
      <c r="DC112" s="319">
        <v>26</v>
      </c>
      <c r="DD112" s="320"/>
      <c r="DE112" s="319">
        <v>0</v>
      </c>
      <c r="DF112" s="320"/>
      <c r="DG112" s="319">
        <v>0</v>
      </c>
      <c r="DH112" s="320">
        <v>0</v>
      </c>
      <c r="DI112" s="319">
        <v>26</v>
      </c>
      <c r="DJ112" s="320"/>
      <c r="DK112" s="319">
        <v>0</v>
      </c>
      <c r="DL112" s="320"/>
      <c r="DM112" s="319">
        <v>0</v>
      </c>
      <c r="DN112" s="320">
        <v>0</v>
      </c>
      <c r="DO112" s="319">
        <v>26</v>
      </c>
      <c r="DP112" s="320"/>
      <c r="DQ112" s="319">
        <v>0</v>
      </c>
      <c r="DR112" s="320"/>
      <c r="DS112" s="319">
        <v>0</v>
      </c>
      <c r="DT112" s="320">
        <v>0</v>
      </c>
      <c r="DU112" s="319">
        <v>26</v>
      </c>
      <c r="DV112" s="320"/>
      <c r="DW112" s="319">
        <v>0</v>
      </c>
      <c r="DX112" s="320"/>
      <c r="DY112" s="319">
        <v>0</v>
      </c>
      <c r="DZ112" s="320">
        <v>0</v>
      </c>
      <c r="EA112" s="319">
        <v>26</v>
      </c>
      <c r="EB112" s="320"/>
      <c r="EC112" s="319">
        <v>0</v>
      </c>
      <c r="ED112" s="320"/>
      <c r="EE112" s="319">
        <v>0</v>
      </c>
      <c r="EF112" s="320">
        <v>0</v>
      </c>
      <c r="EG112" s="319">
        <v>26</v>
      </c>
      <c r="EH112" s="320"/>
      <c r="EI112" s="319">
        <v>0</v>
      </c>
      <c r="EJ112" s="320"/>
      <c r="EK112" s="319">
        <v>0</v>
      </c>
      <c r="EL112" s="320">
        <v>0</v>
      </c>
      <c r="EM112" s="319">
        <v>26</v>
      </c>
      <c r="EN112" s="320"/>
      <c r="EO112" s="319">
        <v>0</v>
      </c>
      <c r="EP112" s="320"/>
      <c r="EQ112" s="319">
        <v>0</v>
      </c>
      <c r="ER112" s="320">
        <v>0</v>
      </c>
      <c r="ES112" s="319">
        <v>26</v>
      </c>
      <c r="ET112" s="320"/>
      <c r="EU112" s="319">
        <v>0</v>
      </c>
      <c r="EV112" s="320"/>
      <c r="EW112" s="319">
        <v>0</v>
      </c>
      <c r="EX112" s="320">
        <v>0</v>
      </c>
      <c r="EY112" s="319">
        <v>26</v>
      </c>
      <c r="EZ112" s="320"/>
      <c r="FA112" s="319">
        <v>0</v>
      </c>
      <c r="FB112" s="320"/>
      <c r="FC112" s="319">
        <v>0</v>
      </c>
      <c r="FD112" s="320">
        <v>0</v>
      </c>
      <c r="FE112" s="319">
        <v>26</v>
      </c>
      <c r="FF112" s="320"/>
      <c r="FG112" s="319">
        <v>0</v>
      </c>
      <c r="FH112" s="320"/>
      <c r="FI112" s="319">
        <v>0</v>
      </c>
      <c r="FJ112" s="320">
        <v>0</v>
      </c>
      <c r="FK112" s="319">
        <v>26</v>
      </c>
      <c r="FL112" s="320"/>
      <c r="FM112" s="319">
        <v>0</v>
      </c>
      <c r="FN112" s="320"/>
      <c r="FO112" s="319">
        <v>0</v>
      </c>
      <c r="FP112" s="320">
        <v>0</v>
      </c>
      <c r="FQ112" s="319">
        <v>26</v>
      </c>
      <c r="FR112" s="320"/>
      <c r="FS112" s="319">
        <v>0</v>
      </c>
      <c r="FT112" s="320"/>
      <c r="FU112" s="319">
        <v>0</v>
      </c>
      <c r="FV112" s="320">
        <v>0</v>
      </c>
      <c r="FW112" s="319">
        <v>26</v>
      </c>
      <c r="FX112" s="320"/>
      <c r="FY112" s="319">
        <v>0</v>
      </c>
      <c r="FZ112" s="320"/>
      <c r="GA112" s="319">
        <v>0</v>
      </c>
      <c r="GB112" s="320">
        <v>0</v>
      </c>
      <c r="GC112" s="319">
        <v>26</v>
      </c>
      <c r="GD112" s="320"/>
      <c r="GE112" s="319">
        <v>0</v>
      </c>
      <c r="GF112" s="320"/>
      <c r="GG112" s="319">
        <v>0</v>
      </c>
      <c r="GH112" s="320">
        <v>0</v>
      </c>
      <c r="GI112" s="319">
        <v>26</v>
      </c>
      <c r="GJ112" s="320"/>
      <c r="GK112" s="319">
        <v>0</v>
      </c>
      <c r="GL112" s="320"/>
      <c r="GM112" s="319">
        <v>0</v>
      </c>
      <c r="GN112" s="320">
        <v>0</v>
      </c>
      <c r="GO112" s="319">
        <v>26</v>
      </c>
      <c r="GP112" s="320"/>
      <c r="GQ112" s="319">
        <v>0</v>
      </c>
      <c r="GR112" s="320"/>
      <c r="GS112" s="319">
        <v>0</v>
      </c>
      <c r="GT112" s="320">
        <v>0</v>
      </c>
      <c r="GU112" s="319">
        <v>26</v>
      </c>
      <c r="GV112" s="320"/>
      <c r="GW112" s="319">
        <v>0</v>
      </c>
      <c r="GX112" s="320"/>
      <c r="GY112" s="319">
        <v>0</v>
      </c>
      <c r="GZ112" s="320">
        <v>0</v>
      </c>
    </row>
    <row r="113" spans="1:208" s="89" customFormat="1" ht="22.5" customHeight="1" x14ac:dyDescent="0.2">
      <c r="A113" s="287" t="s">
        <v>3260</v>
      </c>
      <c r="B113" s="288" t="s">
        <v>3261</v>
      </c>
      <c r="C113" s="294" t="s">
        <v>3170</v>
      </c>
      <c r="D113" s="290" t="s">
        <v>3262</v>
      </c>
      <c r="E113" s="290" t="s">
        <v>3263</v>
      </c>
      <c r="F113" s="295" t="s">
        <v>3166</v>
      </c>
      <c r="G113" s="295" t="s">
        <v>3167</v>
      </c>
      <c r="H113" s="292" t="s">
        <v>1500</v>
      </c>
      <c r="I113" s="293" t="s">
        <v>1500</v>
      </c>
      <c r="J113" s="340" t="s">
        <v>3168</v>
      </c>
      <c r="K113" s="341" t="s">
        <v>3172</v>
      </c>
      <c r="L113" s="256">
        <f>CONTINUA!BV113</f>
        <v>0</v>
      </c>
      <c r="M113" s="256">
        <f>CONTINUA!BW113</f>
        <v>0</v>
      </c>
      <c r="N113" s="564"/>
      <c r="O113" s="565" t="s">
        <v>3353</v>
      </c>
      <c r="P113" s="566">
        <v>0</v>
      </c>
      <c r="Q113" s="319">
        <v>0</v>
      </c>
      <c r="R113" s="320"/>
      <c r="S113" s="319">
        <v>0</v>
      </c>
      <c r="T113" s="320"/>
      <c r="U113" s="319">
        <v>0</v>
      </c>
      <c r="V113" s="320">
        <v>0</v>
      </c>
      <c r="W113" s="319">
        <v>0</v>
      </c>
      <c r="X113" s="320"/>
      <c r="Y113" s="319">
        <v>0</v>
      </c>
      <c r="Z113" s="320"/>
      <c r="AA113" s="319">
        <v>0</v>
      </c>
      <c r="AB113" s="320">
        <v>0</v>
      </c>
      <c r="AC113" s="319">
        <v>0</v>
      </c>
      <c r="AD113" s="320"/>
      <c r="AE113" s="319">
        <v>0</v>
      </c>
      <c r="AF113" s="320"/>
      <c r="AG113" s="319">
        <v>0</v>
      </c>
      <c r="AH113" s="320">
        <v>0</v>
      </c>
      <c r="AI113" s="319">
        <v>0</v>
      </c>
      <c r="AJ113" s="320"/>
      <c r="AK113" s="319">
        <v>0</v>
      </c>
      <c r="AL113" s="320"/>
      <c r="AM113" s="319">
        <v>0</v>
      </c>
      <c r="AN113" s="320">
        <v>0</v>
      </c>
      <c r="AO113" s="319">
        <v>0</v>
      </c>
      <c r="AP113" s="320"/>
      <c r="AQ113" s="319">
        <v>0</v>
      </c>
      <c r="AR113" s="320"/>
      <c r="AS113" s="319">
        <v>0</v>
      </c>
      <c r="AT113" s="320">
        <v>0</v>
      </c>
      <c r="AU113" s="319">
        <v>0</v>
      </c>
      <c r="AV113" s="320"/>
      <c r="AW113" s="319">
        <v>0</v>
      </c>
      <c r="AX113" s="320"/>
      <c r="AY113" s="319">
        <v>0</v>
      </c>
      <c r="AZ113" s="320">
        <v>0</v>
      </c>
      <c r="BA113" s="319">
        <v>0</v>
      </c>
      <c r="BB113" s="320"/>
      <c r="BC113" s="319">
        <v>0</v>
      </c>
      <c r="BD113" s="320"/>
      <c r="BE113" s="319">
        <v>0</v>
      </c>
      <c r="BF113" s="320">
        <v>0</v>
      </c>
      <c r="BG113" s="319">
        <v>0</v>
      </c>
      <c r="BH113" s="320"/>
      <c r="BI113" s="319">
        <v>0</v>
      </c>
      <c r="BJ113" s="320"/>
      <c r="BK113" s="319">
        <v>0</v>
      </c>
      <c r="BL113" s="320">
        <v>0</v>
      </c>
      <c r="BM113" s="319">
        <v>0</v>
      </c>
      <c r="BN113" s="320"/>
      <c r="BO113" s="319">
        <v>0</v>
      </c>
      <c r="BP113" s="320"/>
      <c r="BQ113" s="319">
        <v>0</v>
      </c>
      <c r="BR113" s="320">
        <v>0</v>
      </c>
      <c r="BS113" s="319">
        <v>0</v>
      </c>
      <c r="BT113" s="320"/>
      <c r="BU113" s="319">
        <v>0</v>
      </c>
      <c r="BV113" s="320"/>
      <c r="BW113" s="319">
        <v>0</v>
      </c>
      <c r="BX113" s="320">
        <v>0</v>
      </c>
      <c r="BY113" s="319">
        <v>0</v>
      </c>
      <c r="BZ113" s="320"/>
      <c r="CA113" s="319">
        <v>0</v>
      </c>
      <c r="CB113" s="320"/>
      <c r="CC113" s="319">
        <v>0</v>
      </c>
      <c r="CD113" s="320">
        <v>0</v>
      </c>
      <c r="CE113" s="319">
        <v>0</v>
      </c>
      <c r="CF113" s="320"/>
      <c r="CG113" s="319">
        <v>0</v>
      </c>
      <c r="CH113" s="320"/>
      <c r="CI113" s="319">
        <v>0</v>
      </c>
      <c r="CJ113" s="320">
        <v>0</v>
      </c>
      <c r="CK113" s="319">
        <v>0</v>
      </c>
      <c r="CL113" s="320"/>
      <c r="CM113" s="319">
        <v>0</v>
      </c>
      <c r="CN113" s="320"/>
      <c r="CO113" s="319">
        <v>0</v>
      </c>
      <c r="CP113" s="320">
        <v>0</v>
      </c>
      <c r="CQ113" s="319">
        <v>0</v>
      </c>
      <c r="CR113" s="320"/>
      <c r="CS113" s="319">
        <v>0</v>
      </c>
      <c r="CT113" s="320"/>
      <c r="CU113" s="319">
        <v>0</v>
      </c>
      <c r="CV113" s="320">
        <v>0</v>
      </c>
      <c r="CW113" s="319">
        <v>0</v>
      </c>
      <c r="CX113" s="320"/>
      <c r="CY113" s="319">
        <v>0</v>
      </c>
      <c r="CZ113" s="320"/>
      <c r="DA113" s="319">
        <v>0</v>
      </c>
      <c r="DB113" s="320">
        <v>0</v>
      </c>
      <c r="DC113" s="319">
        <v>0</v>
      </c>
      <c r="DD113" s="320"/>
      <c r="DE113" s="319">
        <v>0</v>
      </c>
      <c r="DF113" s="320"/>
      <c r="DG113" s="319">
        <v>0</v>
      </c>
      <c r="DH113" s="320">
        <v>0</v>
      </c>
      <c r="DI113" s="319">
        <v>0</v>
      </c>
      <c r="DJ113" s="320"/>
      <c r="DK113" s="319">
        <v>0</v>
      </c>
      <c r="DL113" s="320"/>
      <c r="DM113" s="319">
        <v>0</v>
      </c>
      <c r="DN113" s="320">
        <v>0</v>
      </c>
      <c r="DO113" s="319">
        <v>0</v>
      </c>
      <c r="DP113" s="320"/>
      <c r="DQ113" s="319">
        <v>0</v>
      </c>
      <c r="DR113" s="320"/>
      <c r="DS113" s="319">
        <v>0</v>
      </c>
      <c r="DT113" s="320">
        <v>0</v>
      </c>
      <c r="DU113" s="319">
        <v>0</v>
      </c>
      <c r="DV113" s="320"/>
      <c r="DW113" s="319">
        <v>0</v>
      </c>
      <c r="DX113" s="320"/>
      <c r="DY113" s="319">
        <v>0</v>
      </c>
      <c r="DZ113" s="320">
        <v>0</v>
      </c>
      <c r="EA113" s="319">
        <v>0</v>
      </c>
      <c r="EB113" s="320"/>
      <c r="EC113" s="319">
        <v>0</v>
      </c>
      <c r="ED113" s="320"/>
      <c r="EE113" s="319">
        <v>0</v>
      </c>
      <c r="EF113" s="320">
        <v>0</v>
      </c>
      <c r="EG113" s="319">
        <v>0</v>
      </c>
      <c r="EH113" s="320"/>
      <c r="EI113" s="319">
        <v>0</v>
      </c>
      <c r="EJ113" s="320"/>
      <c r="EK113" s="319">
        <v>0</v>
      </c>
      <c r="EL113" s="320">
        <v>0</v>
      </c>
      <c r="EM113" s="319">
        <v>0</v>
      </c>
      <c r="EN113" s="320"/>
      <c r="EO113" s="319">
        <v>0</v>
      </c>
      <c r="EP113" s="320"/>
      <c r="EQ113" s="319">
        <v>0</v>
      </c>
      <c r="ER113" s="320">
        <v>0</v>
      </c>
      <c r="ES113" s="319">
        <v>0</v>
      </c>
      <c r="ET113" s="320"/>
      <c r="EU113" s="319">
        <v>0</v>
      </c>
      <c r="EV113" s="320"/>
      <c r="EW113" s="319">
        <v>0</v>
      </c>
      <c r="EX113" s="320">
        <v>0</v>
      </c>
      <c r="EY113" s="319">
        <v>0</v>
      </c>
      <c r="EZ113" s="320"/>
      <c r="FA113" s="319">
        <v>0</v>
      </c>
      <c r="FB113" s="320"/>
      <c r="FC113" s="319">
        <v>0</v>
      </c>
      <c r="FD113" s="320">
        <v>0</v>
      </c>
      <c r="FE113" s="319">
        <v>0</v>
      </c>
      <c r="FF113" s="320"/>
      <c r="FG113" s="319">
        <v>0</v>
      </c>
      <c r="FH113" s="320"/>
      <c r="FI113" s="319">
        <v>0</v>
      </c>
      <c r="FJ113" s="320">
        <v>0</v>
      </c>
      <c r="FK113" s="319">
        <v>0</v>
      </c>
      <c r="FL113" s="320"/>
      <c r="FM113" s="319">
        <v>0</v>
      </c>
      <c r="FN113" s="320"/>
      <c r="FO113" s="319">
        <v>0</v>
      </c>
      <c r="FP113" s="320">
        <v>0</v>
      </c>
      <c r="FQ113" s="319">
        <v>0</v>
      </c>
      <c r="FR113" s="320"/>
      <c r="FS113" s="319">
        <v>0</v>
      </c>
      <c r="FT113" s="320"/>
      <c r="FU113" s="319">
        <v>0</v>
      </c>
      <c r="FV113" s="320">
        <v>0</v>
      </c>
      <c r="FW113" s="319">
        <v>0</v>
      </c>
      <c r="FX113" s="320"/>
      <c r="FY113" s="319">
        <v>0</v>
      </c>
      <c r="FZ113" s="320"/>
      <c r="GA113" s="319">
        <v>0</v>
      </c>
      <c r="GB113" s="320">
        <v>0</v>
      </c>
      <c r="GC113" s="319">
        <v>0</v>
      </c>
      <c r="GD113" s="320"/>
      <c r="GE113" s="319">
        <v>0</v>
      </c>
      <c r="GF113" s="320"/>
      <c r="GG113" s="319">
        <v>0</v>
      </c>
      <c r="GH113" s="320">
        <v>0</v>
      </c>
      <c r="GI113" s="319">
        <v>0</v>
      </c>
      <c r="GJ113" s="320"/>
      <c r="GK113" s="319">
        <v>0</v>
      </c>
      <c r="GL113" s="320"/>
      <c r="GM113" s="319">
        <v>0</v>
      </c>
      <c r="GN113" s="320">
        <v>0</v>
      </c>
      <c r="GO113" s="319">
        <v>0</v>
      </c>
      <c r="GP113" s="320"/>
      <c r="GQ113" s="319">
        <v>0</v>
      </c>
      <c r="GR113" s="320"/>
      <c r="GS113" s="319">
        <v>0</v>
      </c>
      <c r="GT113" s="320">
        <v>0</v>
      </c>
      <c r="GU113" s="319">
        <v>0</v>
      </c>
      <c r="GV113" s="320"/>
      <c r="GW113" s="319">
        <v>0</v>
      </c>
      <c r="GX113" s="320"/>
      <c r="GY113" s="319">
        <v>0</v>
      </c>
      <c r="GZ113" s="320">
        <v>0</v>
      </c>
    </row>
    <row r="114" spans="1:208" s="89" customFormat="1" ht="22.5" customHeight="1" x14ac:dyDescent="0.2">
      <c r="A114" s="287" t="s">
        <v>3260</v>
      </c>
      <c r="B114" s="288" t="s">
        <v>3261</v>
      </c>
      <c r="C114" s="294" t="s">
        <v>3170</v>
      </c>
      <c r="D114" s="290" t="s">
        <v>3262</v>
      </c>
      <c r="E114" s="290" t="s">
        <v>3263</v>
      </c>
      <c r="F114" s="295" t="s">
        <v>3166</v>
      </c>
      <c r="G114" s="295" t="s">
        <v>3167</v>
      </c>
      <c r="H114" s="292" t="s">
        <v>1500</v>
      </c>
      <c r="I114" s="293" t="s">
        <v>1500</v>
      </c>
      <c r="J114" s="340" t="s">
        <v>3168</v>
      </c>
      <c r="K114" s="342" t="s">
        <v>3173</v>
      </c>
      <c r="L114" s="256">
        <f>CONTINUA!BV114</f>
        <v>0</v>
      </c>
      <c r="M114" s="256">
        <f>CONTINUA!BW114</f>
        <v>0</v>
      </c>
      <c r="N114" s="564"/>
      <c r="O114" s="565" t="s">
        <v>3353</v>
      </c>
      <c r="P114" s="566">
        <v>0</v>
      </c>
      <c r="Q114" s="319">
        <v>0</v>
      </c>
      <c r="R114" s="320"/>
      <c r="S114" s="319">
        <v>0</v>
      </c>
      <c r="T114" s="320"/>
      <c r="U114" s="319">
        <v>0</v>
      </c>
      <c r="V114" s="320">
        <v>0</v>
      </c>
      <c r="W114" s="319">
        <v>0</v>
      </c>
      <c r="X114" s="320"/>
      <c r="Y114" s="319">
        <v>0</v>
      </c>
      <c r="Z114" s="320"/>
      <c r="AA114" s="319">
        <v>0</v>
      </c>
      <c r="AB114" s="320">
        <v>0</v>
      </c>
      <c r="AC114" s="319">
        <v>0</v>
      </c>
      <c r="AD114" s="320"/>
      <c r="AE114" s="319">
        <v>0</v>
      </c>
      <c r="AF114" s="320"/>
      <c r="AG114" s="319">
        <v>0</v>
      </c>
      <c r="AH114" s="320">
        <v>0</v>
      </c>
      <c r="AI114" s="319">
        <v>0</v>
      </c>
      <c r="AJ114" s="320"/>
      <c r="AK114" s="319">
        <v>0</v>
      </c>
      <c r="AL114" s="320"/>
      <c r="AM114" s="319">
        <v>0</v>
      </c>
      <c r="AN114" s="320">
        <v>0</v>
      </c>
      <c r="AO114" s="319">
        <v>0</v>
      </c>
      <c r="AP114" s="320"/>
      <c r="AQ114" s="319">
        <v>0</v>
      </c>
      <c r="AR114" s="320"/>
      <c r="AS114" s="319">
        <v>0</v>
      </c>
      <c r="AT114" s="320">
        <v>0</v>
      </c>
      <c r="AU114" s="319">
        <v>0</v>
      </c>
      <c r="AV114" s="320"/>
      <c r="AW114" s="319">
        <v>0</v>
      </c>
      <c r="AX114" s="320"/>
      <c r="AY114" s="319">
        <v>0</v>
      </c>
      <c r="AZ114" s="320">
        <v>0</v>
      </c>
      <c r="BA114" s="319">
        <v>0</v>
      </c>
      <c r="BB114" s="320"/>
      <c r="BC114" s="319">
        <v>0</v>
      </c>
      <c r="BD114" s="320"/>
      <c r="BE114" s="319">
        <v>0</v>
      </c>
      <c r="BF114" s="320">
        <v>0</v>
      </c>
      <c r="BG114" s="319">
        <v>0</v>
      </c>
      <c r="BH114" s="320"/>
      <c r="BI114" s="319">
        <v>0</v>
      </c>
      <c r="BJ114" s="320"/>
      <c r="BK114" s="319">
        <v>0</v>
      </c>
      <c r="BL114" s="320">
        <v>0</v>
      </c>
      <c r="BM114" s="319">
        <v>0</v>
      </c>
      <c r="BN114" s="320"/>
      <c r="BO114" s="319">
        <v>0</v>
      </c>
      <c r="BP114" s="320"/>
      <c r="BQ114" s="319">
        <v>0</v>
      </c>
      <c r="BR114" s="320">
        <v>0</v>
      </c>
      <c r="BS114" s="319">
        <v>0</v>
      </c>
      <c r="BT114" s="320"/>
      <c r="BU114" s="319">
        <v>0</v>
      </c>
      <c r="BV114" s="320"/>
      <c r="BW114" s="319">
        <v>0</v>
      </c>
      <c r="BX114" s="320">
        <v>0</v>
      </c>
      <c r="BY114" s="319">
        <v>0</v>
      </c>
      <c r="BZ114" s="320"/>
      <c r="CA114" s="319">
        <v>0</v>
      </c>
      <c r="CB114" s="320"/>
      <c r="CC114" s="319">
        <v>0</v>
      </c>
      <c r="CD114" s="320">
        <v>0</v>
      </c>
      <c r="CE114" s="319">
        <v>0</v>
      </c>
      <c r="CF114" s="320"/>
      <c r="CG114" s="319">
        <v>0</v>
      </c>
      <c r="CH114" s="320"/>
      <c r="CI114" s="319">
        <v>0</v>
      </c>
      <c r="CJ114" s="320">
        <v>0</v>
      </c>
      <c r="CK114" s="319">
        <v>0</v>
      </c>
      <c r="CL114" s="320"/>
      <c r="CM114" s="319">
        <v>0</v>
      </c>
      <c r="CN114" s="320"/>
      <c r="CO114" s="319">
        <v>0</v>
      </c>
      <c r="CP114" s="320">
        <v>0</v>
      </c>
      <c r="CQ114" s="319">
        <v>0</v>
      </c>
      <c r="CR114" s="320"/>
      <c r="CS114" s="319">
        <v>0</v>
      </c>
      <c r="CT114" s="320"/>
      <c r="CU114" s="319">
        <v>0</v>
      </c>
      <c r="CV114" s="320">
        <v>0</v>
      </c>
      <c r="CW114" s="319">
        <v>0</v>
      </c>
      <c r="CX114" s="320"/>
      <c r="CY114" s="319">
        <v>0</v>
      </c>
      <c r="CZ114" s="320"/>
      <c r="DA114" s="319">
        <v>0</v>
      </c>
      <c r="DB114" s="320">
        <v>0</v>
      </c>
      <c r="DC114" s="319">
        <v>0</v>
      </c>
      <c r="DD114" s="320"/>
      <c r="DE114" s="319">
        <v>0</v>
      </c>
      <c r="DF114" s="320"/>
      <c r="DG114" s="319">
        <v>0</v>
      </c>
      <c r="DH114" s="320">
        <v>0</v>
      </c>
      <c r="DI114" s="319">
        <v>0</v>
      </c>
      <c r="DJ114" s="320"/>
      <c r="DK114" s="319">
        <v>0</v>
      </c>
      <c r="DL114" s="320"/>
      <c r="DM114" s="319">
        <v>0</v>
      </c>
      <c r="DN114" s="320">
        <v>0</v>
      </c>
      <c r="DO114" s="319">
        <v>0</v>
      </c>
      <c r="DP114" s="320"/>
      <c r="DQ114" s="319">
        <v>0</v>
      </c>
      <c r="DR114" s="320"/>
      <c r="DS114" s="319">
        <v>0</v>
      </c>
      <c r="DT114" s="320">
        <v>0</v>
      </c>
      <c r="DU114" s="319">
        <v>0</v>
      </c>
      <c r="DV114" s="320"/>
      <c r="DW114" s="319">
        <v>0</v>
      </c>
      <c r="DX114" s="320"/>
      <c r="DY114" s="319">
        <v>0</v>
      </c>
      <c r="DZ114" s="320">
        <v>0</v>
      </c>
      <c r="EA114" s="319">
        <v>0</v>
      </c>
      <c r="EB114" s="320"/>
      <c r="EC114" s="319">
        <v>0</v>
      </c>
      <c r="ED114" s="320"/>
      <c r="EE114" s="319">
        <v>0</v>
      </c>
      <c r="EF114" s="320">
        <v>0</v>
      </c>
      <c r="EG114" s="319">
        <v>0</v>
      </c>
      <c r="EH114" s="320"/>
      <c r="EI114" s="319">
        <v>0</v>
      </c>
      <c r="EJ114" s="320"/>
      <c r="EK114" s="319">
        <v>0</v>
      </c>
      <c r="EL114" s="320">
        <v>0</v>
      </c>
      <c r="EM114" s="319">
        <v>0</v>
      </c>
      <c r="EN114" s="320"/>
      <c r="EO114" s="319">
        <v>0</v>
      </c>
      <c r="EP114" s="320"/>
      <c r="EQ114" s="319">
        <v>0</v>
      </c>
      <c r="ER114" s="320">
        <v>0</v>
      </c>
      <c r="ES114" s="319">
        <v>0</v>
      </c>
      <c r="ET114" s="320"/>
      <c r="EU114" s="319">
        <v>0</v>
      </c>
      <c r="EV114" s="320"/>
      <c r="EW114" s="319">
        <v>0</v>
      </c>
      <c r="EX114" s="320">
        <v>0</v>
      </c>
      <c r="EY114" s="319">
        <v>0</v>
      </c>
      <c r="EZ114" s="320"/>
      <c r="FA114" s="319">
        <v>0</v>
      </c>
      <c r="FB114" s="320"/>
      <c r="FC114" s="319">
        <v>0</v>
      </c>
      <c r="FD114" s="320">
        <v>0</v>
      </c>
      <c r="FE114" s="319">
        <v>0</v>
      </c>
      <c r="FF114" s="320"/>
      <c r="FG114" s="319">
        <v>0</v>
      </c>
      <c r="FH114" s="320"/>
      <c r="FI114" s="319">
        <v>0</v>
      </c>
      <c r="FJ114" s="320">
        <v>0</v>
      </c>
      <c r="FK114" s="319">
        <v>0</v>
      </c>
      <c r="FL114" s="320"/>
      <c r="FM114" s="319">
        <v>0</v>
      </c>
      <c r="FN114" s="320"/>
      <c r="FO114" s="319">
        <v>0</v>
      </c>
      <c r="FP114" s="320">
        <v>0</v>
      </c>
      <c r="FQ114" s="319">
        <v>0</v>
      </c>
      <c r="FR114" s="320"/>
      <c r="FS114" s="319">
        <v>0</v>
      </c>
      <c r="FT114" s="320"/>
      <c r="FU114" s="319">
        <v>0</v>
      </c>
      <c r="FV114" s="320">
        <v>0</v>
      </c>
      <c r="FW114" s="319">
        <v>0</v>
      </c>
      <c r="FX114" s="320"/>
      <c r="FY114" s="319">
        <v>0</v>
      </c>
      <c r="FZ114" s="320"/>
      <c r="GA114" s="319">
        <v>0</v>
      </c>
      <c r="GB114" s="320">
        <v>0</v>
      </c>
      <c r="GC114" s="319">
        <v>0</v>
      </c>
      <c r="GD114" s="320"/>
      <c r="GE114" s="319">
        <v>0</v>
      </c>
      <c r="GF114" s="320"/>
      <c r="GG114" s="319">
        <v>0</v>
      </c>
      <c r="GH114" s="320">
        <v>0</v>
      </c>
      <c r="GI114" s="319">
        <v>0</v>
      </c>
      <c r="GJ114" s="320"/>
      <c r="GK114" s="319">
        <v>0</v>
      </c>
      <c r="GL114" s="320"/>
      <c r="GM114" s="319">
        <v>0</v>
      </c>
      <c r="GN114" s="320">
        <v>0</v>
      </c>
      <c r="GO114" s="319">
        <v>0</v>
      </c>
      <c r="GP114" s="320"/>
      <c r="GQ114" s="319">
        <v>0</v>
      </c>
      <c r="GR114" s="320"/>
      <c r="GS114" s="319">
        <v>0</v>
      </c>
      <c r="GT114" s="320">
        <v>0</v>
      </c>
      <c r="GU114" s="319">
        <v>0</v>
      </c>
      <c r="GV114" s="320"/>
      <c r="GW114" s="319">
        <v>0</v>
      </c>
      <c r="GX114" s="320"/>
      <c r="GY114" s="319">
        <v>0</v>
      </c>
      <c r="GZ114" s="320">
        <v>0</v>
      </c>
    </row>
    <row r="115" spans="1:208" s="89" customFormat="1" ht="22.5" customHeight="1" thickBot="1" x14ac:dyDescent="0.25">
      <c r="A115" s="296" t="s">
        <v>3260</v>
      </c>
      <c r="B115" s="297" t="s">
        <v>3261</v>
      </c>
      <c r="C115" s="298" t="s">
        <v>3170</v>
      </c>
      <c r="D115" s="299" t="s">
        <v>3262</v>
      </c>
      <c r="E115" s="299" t="s">
        <v>3263</v>
      </c>
      <c r="F115" s="300" t="s">
        <v>3166</v>
      </c>
      <c r="G115" s="300" t="s">
        <v>3167</v>
      </c>
      <c r="H115" s="301" t="s">
        <v>1500</v>
      </c>
      <c r="I115" s="302" t="s">
        <v>1500</v>
      </c>
      <c r="J115" s="340" t="s">
        <v>3168</v>
      </c>
      <c r="K115" s="343" t="s">
        <v>53</v>
      </c>
      <c r="L115" s="256">
        <f>CONTINUA!BV115</f>
        <v>0</v>
      </c>
      <c r="M115" s="256">
        <f>CONTINUA!BW115</f>
        <v>0</v>
      </c>
      <c r="N115" s="564"/>
      <c r="O115" s="565" t="s">
        <v>3353</v>
      </c>
      <c r="P115" s="566">
        <v>0</v>
      </c>
      <c r="Q115" s="319">
        <v>0</v>
      </c>
      <c r="R115" s="320"/>
      <c r="S115" s="319">
        <v>0</v>
      </c>
      <c r="T115" s="320"/>
      <c r="U115" s="321">
        <v>0</v>
      </c>
      <c r="V115" s="322">
        <v>0</v>
      </c>
      <c r="W115" s="319">
        <v>0</v>
      </c>
      <c r="X115" s="320"/>
      <c r="Y115" s="319">
        <v>0</v>
      </c>
      <c r="Z115" s="320"/>
      <c r="AA115" s="321">
        <v>0</v>
      </c>
      <c r="AB115" s="322">
        <v>0</v>
      </c>
      <c r="AC115" s="319">
        <v>0</v>
      </c>
      <c r="AD115" s="320"/>
      <c r="AE115" s="319">
        <v>0</v>
      </c>
      <c r="AF115" s="320"/>
      <c r="AG115" s="321">
        <v>0</v>
      </c>
      <c r="AH115" s="322">
        <v>0</v>
      </c>
      <c r="AI115" s="319">
        <v>0</v>
      </c>
      <c r="AJ115" s="320"/>
      <c r="AK115" s="319">
        <v>0</v>
      </c>
      <c r="AL115" s="320"/>
      <c r="AM115" s="321">
        <v>0</v>
      </c>
      <c r="AN115" s="322">
        <v>0</v>
      </c>
      <c r="AO115" s="319">
        <v>0</v>
      </c>
      <c r="AP115" s="320"/>
      <c r="AQ115" s="319">
        <v>0</v>
      </c>
      <c r="AR115" s="320"/>
      <c r="AS115" s="321">
        <v>0</v>
      </c>
      <c r="AT115" s="322">
        <v>0</v>
      </c>
      <c r="AU115" s="319">
        <v>0</v>
      </c>
      <c r="AV115" s="320"/>
      <c r="AW115" s="319">
        <v>0</v>
      </c>
      <c r="AX115" s="320"/>
      <c r="AY115" s="321">
        <v>0</v>
      </c>
      <c r="AZ115" s="322">
        <v>0</v>
      </c>
      <c r="BA115" s="319">
        <v>0</v>
      </c>
      <c r="BB115" s="320"/>
      <c r="BC115" s="319">
        <v>0</v>
      </c>
      <c r="BD115" s="320"/>
      <c r="BE115" s="321">
        <v>0</v>
      </c>
      <c r="BF115" s="322">
        <v>0</v>
      </c>
      <c r="BG115" s="319">
        <v>0</v>
      </c>
      <c r="BH115" s="320"/>
      <c r="BI115" s="319">
        <v>0</v>
      </c>
      <c r="BJ115" s="320"/>
      <c r="BK115" s="321">
        <v>0</v>
      </c>
      <c r="BL115" s="322">
        <v>0</v>
      </c>
      <c r="BM115" s="319">
        <v>0</v>
      </c>
      <c r="BN115" s="320"/>
      <c r="BO115" s="319">
        <v>0</v>
      </c>
      <c r="BP115" s="320"/>
      <c r="BQ115" s="321">
        <v>0</v>
      </c>
      <c r="BR115" s="322">
        <v>0</v>
      </c>
      <c r="BS115" s="319">
        <v>0</v>
      </c>
      <c r="BT115" s="320"/>
      <c r="BU115" s="319">
        <v>0</v>
      </c>
      <c r="BV115" s="320"/>
      <c r="BW115" s="321">
        <v>0</v>
      </c>
      <c r="BX115" s="322">
        <v>0</v>
      </c>
      <c r="BY115" s="319">
        <v>0</v>
      </c>
      <c r="BZ115" s="320"/>
      <c r="CA115" s="319">
        <v>0</v>
      </c>
      <c r="CB115" s="320"/>
      <c r="CC115" s="321">
        <v>0</v>
      </c>
      <c r="CD115" s="322">
        <v>0</v>
      </c>
      <c r="CE115" s="319">
        <v>0</v>
      </c>
      <c r="CF115" s="320"/>
      <c r="CG115" s="319">
        <v>0</v>
      </c>
      <c r="CH115" s="320"/>
      <c r="CI115" s="321">
        <v>0</v>
      </c>
      <c r="CJ115" s="322">
        <v>0</v>
      </c>
      <c r="CK115" s="319">
        <v>0</v>
      </c>
      <c r="CL115" s="320"/>
      <c r="CM115" s="319">
        <v>0</v>
      </c>
      <c r="CN115" s="320"/>
      <c r="CO115" s="321">
        <v>0</v>
      </c>
      <c r="CP115" s="322">
        <v>0</v>
      </c>
      <c r="CQ115" s="319">
        <v>0</v>
      </c>
      <c r="CR115" s="320"/>
      <c r="CS115" s="319">
        <v>0</v>
      </c>
      <c r="CT115" s="320"/>
      <c r="CU115" s="321">
        <v>0</v>
      </c>
      <c r="CV115" s="322">
        <v>0</v>
      </c>
      <c r="CW115" s="319">
        <v>0</v>
      </c>
      <c r="CX115" s="320"/>
      <c r="CY115" s="319">
        <v>0</v>
      </c>
      <c r="CZ115" s="320"/>
      <c r="DA115" s="321">
        <v>0</v>
      </c>
      <c r="DB115" s="322">
        <v>0</v>
      </c>
      <c r="DC115" s="319">
        <v>0</v>
      </c>
      <c r="DD115" s="320"/>
      <c r="DE115" s="319">
        <v>0</v>
      </c>
      <c r="DF115" s="320"/>
      <c r="DG115" s="321">
        <v>0</v>
      </c>
      <c r="DH115" s="322">
        <v>0</v>
      </c>
      <c r="DI115" s="319">
        <v>0</v>
      </c>
      <c r="DJ115" s="320"/>
      <c r="DK115" s="319">
        <v>0</v>
      </c>
      <c r="DL115" s="320"/>
      <c r="DM115" s="321">
        <v>0</v>
      </c>
      <c r="DN115" s="322">
        <v>0</v>
      </c>
      <c r="DO115" s="319">
        <v>0</v>
      </c>
      <c r="DP115" s="320"/>
      <c r="DQ115" s="319">
        <v>0</v>
      </c>
      <c r="DR115" s="320"/>
      <c r="DS115" s="321">
        <v>0</v>
      </c>
      <c r="DT115" s="322">
        <v>0</v>
      </c>
      <c r="DU115" s="319">
        <v>0</v>
      </c>
      <c r="DV115" s="320"/>
      <c r="DW115" s="319">
        <v>0</v>
      </c>
      <c r="DX115" s="320"/>
      <c r="DY115" s="321">
        <v>0</v>
      </c>
      <c r="DZ115" s="322">
        <v>0</v>
      </c>
      <c r="EA115" s="319">
        <v>0</v>
      </c>
      <c r="EB115" s="320"/>
      <c r="EC115" s="319">
        <v>0</v>
      </c>
      <c r="ED115" s="320"/>
      <c r="EE115" s="321">
        <v>0</v>
      </c>
      <c r="EF115" s="322">
        <v>0</v>
      </c>
      <c r="EG115" s="319">
        <v>0</v>
      </c>
      <c r="EH115" s="320"/>
      <c r="EI115" s="319">
        <v>0</v>
      </c>
      <c r="EJ115" s="320"/>
      <c r="EK115" s="321">
        <v>0</v>
      </c>
      <c r="EL115" s="322">
        <v>0</v>
      </c>
      <c r="EM115" s="319">
        <v>0</v>
      </c>
      <c r="EN115" s="320"/>
      <c r="EO115" s="319">
        <v>0</v>
      </c>
      <c r="EP115" s="320"/>
      <c r="EQ115" s="321">
        <v>0</v>
      </c>
      <c r="ER115" s="322">
        <v>0</v>
      </c>
      <c r="ES115" s="319">
        <v>0</v>
      </c>
      <c r="ET115" s="320"/>
      <c r="EU115" s="319">
        <v>0</v>
      </c>
      <c r="EV115" s="320"/>
      <c r="EW115" s="321">
        <v>0</v>
      </c>
      <c r="EX115" s="322">
        <v>0</v>
      </c>
      <c r="EY115" s="319">
        <v>0</v>
      </c>
      <c r="EZ115" s="320"/>
      <c r="FA115" s="319">
        <v>0</v>
      </c>
      <c r="FB115" s="320"/>
      <c r="FC115" s="321">
        <v>0</v>
      </c>
      <c r="FD115" s="322">
        <v>0</v>
      </c>
      <c r="FE115" s="319">
        <v>0</v>
      </c>
      <c r="FF115" s="320"/>
      <c r="FG115" s="319">
        <v>0</v>
      </c>
      <c r="FH115" s="320"/>
      <c r="FI115" s="321">
        <v>0</v>
      </c>
      <c r="FJ115" s="322">
        <v>0</v>
      </c>
      <c r="FK115" s="319">
        <v>0</v>
      </c>
      <c r="FL115" s="320"/>
      <c r="FM115" s="319">
        <v>0</v>
      </c>
      <c r="FN115" s="320"/>
      <c r="FO115" s="321">
        <v>0</v>
      </c>
      <c r="FP115" s="322">
        <v>0</v>
      </c>
      <c r="FQ115" s="319">
        <v>0</v>
      </c>
      <c r="FR115" s="320"/>
      <c r="FS115" s="319">
        <v>0</v>
      </c>
      <c r="FT115" s="320"/>
      <c r="FU115" s="321">
        <v>0</v>
      </c>
      <c r="FV115" s="322">
        <v>0</v>
      </c>
      <c r="FW115" s="319">
        <v>0</v>
      </c>
      <c r="FX115" s="320"/>
      <c r="FY115" s="319">
        <v>0</v>
      </c>
      <c r="FZ115" s="320"/>
      <c r="GA115" s="321">
        <v>0</v>
      </c>
      <c r="GB115" s="322">
        <v>0</v>
      </c>
      <c r="GC115" s="319">
        <v>0</v>
      </c>
      <c r="GD115" s="320"/>
      <c r="GE115" s="319">
        <v>0</v>
      </c>
      <c r="GF115" s="320"/>
      <c r="GG115" s="321">
        <v>0</v>
      </c>
      <c r="GH115" s="322">
        <v>0</v>
      </c>
      <c r="GI115" s="319">
        <v>0</v>
      </c>
      <c r="GJ115" s="320"/>
      <c r="GK115" s="319">
        <v>0</v>
      </c>
      <c r="GL115" s="320"/>
      <c r="GM115" s="321">
        <v>0</v>
      </c>
      <c r="GN115" s="322">
        <v>0</v>
      </c>
      <c r="GO115" s="319">
        <v>0</v>
      </c>
      <c r="GP115" s="320"/>
      <c r="GQ115" s="319">
        <v>0</v>
      </c>
      <c r="GR115" s="320"/>
      <c r="GS115" s="321">
        <v>0</v>
      </c>
      <c r="GT115" s="322">
        <v>0</v>
      </c>
      <c r="GU115" s="319">
        <v>0</v>
      </c>
      <c r="GV115" s="320"/>
      <c r="GW115" s="319">
        <v>0</v>
      </c>
      <c r="GX115" s="320"/>
      <c r="GY115" s="321">
        <v>0</v>
      </c>
      <c r="GZ115" s="322">
        <v>0</v>
      </c>
    </row>
    <row r="116" spans="1:208" s="89" customFormat="1" ht="22.5" customHeight="1" x14ac:dyDescent="0.2">
      <c r="A116" t="s">
        <v>3264</v>
      </c>
      <c r="B116" s="429" t="s">
        <v>3265</v>
      </c>
      <c r="C116" s="430">
        <v>1</v>
      </c>
      <c r="D116" s="431" t="s">
        <v>3266</v>
      </c>
      <c r="E116" s="431" t="s">
        <v>3267</v>
      </c>
      <c r="F116" s="432" t="s">
        <v>3166</v>
      </c>
      <c r="G116" s="432" t="s">
        <v>3167</v>
      </c>
      <c r="H116" s="270" t="s">
        <v>1501</v>
      </c>
      <c r="I116" s="271" t="s">
        <v>1501</v>
      </c>
      <c r="J116" s="328" t="s">
        <v>3168</v>
      </c>
      <c r="K116" s="329" t="s">
        <v>3169</v>
      </c>
      <c r="L116" s="256">
        <f>CONTINUA!BV116</f>
        <v>0</v>
      </c>
      <c r="M116" s="256">
        <f>CONTINUA!BW116</f>
        <v>0</v>
      </c>
      <c r="N116" s="564"/>
      <c r="O116" s="565" t="s">
        <v>3354</v>
      </c>
      <c r="P116" s="566">
        <v>0</v>
      </c>
      <c r="Q116" s="319">
        <v>38</v>
      </c>
      <c r="R116" s="320"/>
      <c r="S116" s="319">
        <v>0</v>
      </c>
      <c r="T116" s="320"/>
      <c r="U116" s="321">
        <v>0</v>
      </c>
      <c r="V116" s="322">
        <v>0</v>
      </c>
      <c r="W116" s="319">
        <v>38</v>
      </c>
      <c r="X116" s="320"/>
      <c r="Y116" s="319">
        <v>0</v>
      </c>
      <c r="Z116" s="320"/>
      <c r="AA116" s="321">
        <v>0</v>
      </c>
      <c r="AB116" s="322">
        <v>0</v>
      </c>
      <c r="AC116" s="319">
        <v>38</v>
      </c>
      <c r="AD116" s="320"/>
      <c r="AE116" s="319">
        <v>0</v>
      </c>
      <c r="AF116" s="320"/>
      <c r="AG116" s="321">
        <v>0</v>
      </c>
      <c r="AH116" s="322">
        <v>0</v>
      </c>
      <c r="AI116" s="319">
        <v>38</v>
      </c>
      <c r="AJ116" s="320"/>
      <c r="AK116" s="319">
        <v>0</v>
      </c>
      <c r="AL116" s="320"/>
      <c r="AM116" s="321">
        <v>0</v>
      </c>
      <c r="AN116" s="322">
        <v>0</v>
      </c>
      <c r="AO116" s="319">
        <v>38</v>
      </c>
      <c r="AP116" s="320"/>
      <c r="AQ116" s="319">
        <v>0</v>
      </c>
      <c r="AR116" s="320"/>
      <c r="AS116" s="321">
        <v>0</v>
      </c>
      <c r="AT116" s="322">
        <v>0</v>
      </c>
      <c r="AU116" s="319">
        <v>38</v>
      </c>
      <c r="AV116" s="320"/>
      <c r="AW116" s="319">
        <v>0</v>
      </c>
      <c r="AX116" s="320"/>
      <c r="AY116" s="321">
        <v>0</v>
      </c>
      <c r="AZ116" s="322">
        <v>0</v>
      </c>
      <c r="BA116" s="319">
        <v>38</v>
      </c>
      <c r="BB116" s="320"/>
      <c r="BC116" s="319">
        <v>0</v>
      </c>
      <c r="BD116" s="320"/>
      <c r="BE116" s="321">
        <v>0</v>
      </c>
      <c r="BF116" s="322">
        <v>0</v>
      </c>
      <c r="BG116" s="319">
        <v>38</v>
      </c>
      <c r="BH116" s="320"/>
      <c r="BI116" s="319">
        <v>0</v>
      </c>
      <c r="BJ116" s="320"/>
      <c r="BK116" s="321">
        <v>0</v>
      </c>
      <c r="BL116" s="322">
        <v>0</v>
      </c>
      <c r="BM116" s="319">
        <v>38</v>
      </c>
      <c r="BN116" s="320"/>
      <c r="BO116" s="319">
        <v>0</v>
      </c>
      <c r="BP116" s="320"/>
      <c r="BQ116" s="321">
        <v>0</v>
      </c>
      <c r="BR116" s="322">
        <v>0</v>
      </c>
      <c r="BS116" s="319">
        <v>38</v>
      </c>
      <c r="BT116" s="320"/>
      <c r="BU116" s="319">
        <v>0</v>
      </c>
      <c r="BV116" s="320"/>
      <c r="BW116" s="321">
        <v>0</v>
      </c>
      <c r="BX116" s="322">
        <v>0</v>
      </c>
      <c r="BY116" s="319">
        <v>38</v>
      </c>
      <c r="BZ116" s="320"/>
      <c r="CA116" s="319">
        <v>0</v>
      </c>
      <c r="CB116" s="320"/>
      <c r="CC116" s="321">
        <v>0</v>
      </c>
      <c r="CD116" s="322">
        <v>0</v>
      </c>
      <c r="CE116" s="319">
        <v>38</v>
      </c>
      <c r="CF116" s="320"/>
      <c r="CG116" s="319">
        <v>0</v>
      </c>
      <c r="CH116" s="320"/>
      <c r="CI116" s="321">
        <v>0</v>
      </c>
      <c r="CJ116" s="322">
        <v>0</v>
      </c>
      <c r="CK116" s="319">
        <v>38</v>
      </c>
      <c r="CL116" s="320"/>
      <c r="CM116" s="319">
        <v>0</v>
      </c>
      <c r="CN116" s="320"/>
      <c r="CO116" s="321">
        <v>0</v>
      </c>
      <c r="CP116" s="322">
        <v>0</v>
      </c>
      <c r="CQ116" s="319">
        <v>38</v>
      </c>
      <c r="CR116" s="320"/>
      <c r="CS116" s="319">
        <v>0</v>
      </c>
      <c r="CT116" s="320"/>
      <c r="CU116" s="321">
        <v>0</v>
      </c>
      <c r="CV116" s="322">
        <v>0</v>
      </c>
      <c r="CW116" s="319">
        <v>38</v>
      </c>
      <c r="CX116" s="320"/>
      <c r="CY116" s="319">
        <v>0</v>
      </c>
      <c r="CZ116" s="320"/>
      <c r="DA116" s="321">
        <v>0</v>
      </c>
      <c r="DB116" s="322">
        <v>0</v>
      </c>
      <c r="DC116" s="319">
        <v>38</v>
      </c>
      <c r="DD116" s="320"/>
      <c r="DE116" s="319">
        <v>0</v>
      </c>
      <c r="DF116" s="320"/>
      <c r="DG116" s="321">
        <v>0</v>
      </c>
      <c r="DH116" s="322">
        <v>0</v>
      </c>
      <c r="DI116" s="319">
        <v>38</v>
      </c>
      <c r="DJ116" s="320"/>
      <c r="DK116" s="319">
        <v>0</v>
      </c>
      <c r="DL116" s="320"/>
      <c r="DM116" s="321">
        <v>0</v>
      </c>
      <c r="DN116" s="322">
        <v>0</v>
      </c>
      <c r="DO116" s="319">
        <v>38</v>
      </c>
      <c r="DP116" s="320"/>
      <c r="DQ116" s="319">
        <v>0</v>
      </c>
      <c r="DR116" s="320"/>
      <c r="DS116" s="321">
        <v>0</v>
      </c>
      <c r="DT116" s="322">
        <v>0</v>
      </c>
      <c r="DU116" s="319">
        <v>38</v>
      </c>
      <c r="DV116" s="320"/>
      <c r="DW116" s="319">
        <v>0</v>
      </c>
      <c r="DX116" s="320"/>
      <c r="DY116" s="321">
        <v>0</v>
      </c>
      <c r="DZ116" s="322">
        <v>0</v>
      </c>
      <c r="EA116" s="319">
        <v>38</v>
      </c>
      <c r="EB116" s="320"/>
      <c r="EC116" s="319">
        <v>0</v>
      </c>
      <c r="ED116" s="320"/>
      <c r="EE116" s="321">
        <v>0</v>
      </c>
      <c r="EF116" s="322">
        <v>0</v>
      </c>
      <c r="EG116" s="319">
        <v>38</v>
      </c>
      <c r="EH116" s="320"/>
      <c r="EI116" s="319">
        <v>0</v>
      </c>
      <c r="EJ116" s="320"/>
      <c r="EK116" s="321">
        <v>0</v>
      </c>
      <c r="EL116" s="322">
        <v>0</v>
      </c>
      <c r="EM116" s="319">
        <v>38</v>
      </c>
      <c r="EN116" s="320"/>
      <c r="EO116" s="319">
        <v>0</v>
      </c>
      <c r="EP116" s="320"/>
      <c r="EQ116" s="321">
        <v>0</v>
      </c>
      <c r="ER116" s="322">
        <v>0</v>
      </c>
      <c r="ES116" s="319">
        <v>38</v>
      </c>
      <c r="ET116" s="320"/>
      <c r="EU116" s="319">
        <v>0</v>
      </c>
      <c r="EV116" s="320"/>
      <c r="EW116" s="321">
        <v>0</v>
      </c>
      <c r="EX116" s="322">
        <v>0</v>
      </c>
      <c r="EY116" s="319">
        <v>38</v>
      </c>
      <c r="EZ116" s="320"/>
      <c r="FA116" s="319">
        <v>0</v>
      </c>
      <c r="FB116" s="320"/>
      <c r="FC116" s="321">
        <v>0</v>
      </c>
      <c r="FD116" s="322">
        <v>0</v>
      </c>
      <c r="FE116" s="319">
        <v>38</v>
      </c>
      <c r="FF116" s="320"/>
      <c r="FG116" s="319">
        <v>0</v>
      </c>
      <c r="FH116" s="320"/>
      <c r="FI116" s="321">
        <v>0</v>
      </c>
      <c r="FJ116" s="322">
        <v>0</v>
      </c>
      <c r="FK116" s="319">
        <v>38</v>
      </c>
      <c r="FL116" s="320"/>
      <c r="FM116" s="319">
        <v>0</v>
      </c>
      <c r="FN116" s="320"/>
      <c r="FO116" s="321">
        <v>0</v>
      </c>
      <c r="FP116" s="322">
        <v>0</v>
      </c>
      <c r="FQ116" s="319">
        <v>38</v>
      </c>
      <c r="FR116" s="320"/>
      <c r="FS116" s="319">
        <v>0</v>
      </c>
      <c r="FT116" s="320"/>
      <c r="FU116" s="321">
        <v>0</v>
      </c>
      <c r="FV116" s="322">
        <v>0</v>
      </c>
      <c r="FW116" s="319">
        <v>38</v>
      </c>
      <c r="FX116" s="320"/>
      <c r="FY116" s="319">
        <v>0</v>
      </c>
      <c r="FZ116" s="320"/>
      <c r="GA116" s="321">
        <v>0</v>
      </c>
      <c r="GB116" s="322">
        <v>0</v>
      </c>
      <c r="GC116" s="319">
        <v>38</v>
      </c>
      <c r="GD116" s="320"/>
      <c r="GE116" s="319">
        <v>0</v>
      </c>
      <c r="GF116" s="320"/>
      <c r="GG116" s="321">
        <v>0</v>
      </c>
      <c r="GH116" s="322">
        <v>0</v>
      </c>
      <c r="GI116" s="319">
        <v>38</v>
      </c>
      <c r="GJ116" s="320"/>
      <c r="GK116" s="319">
        <v>0</v>
      </c>
      <c r="GL116" s="320"/>
      <c r="GM116" s="321">
        <v>0</v>
      </c>
      <c r="GN116" s="322">
        <v>0</v>
      </c>
      <c r="GO116" s="319">
        <v>38</v>
      </c>
      <c r="GP116" s="320"/>
      <c r="GQ116" s="319">
        <v>0</v>
      </c>
      <c r="GR116" s="320"/>
      <c r="GS116" s="321">
        <v>0</v>
      </c>
      <c r="GT116" s="322">
        <v>0</v>
      </c>
      <c r="GU116" s="319">
        <v>38</v>
      </c>
      <c r="GV116" s="320"/>
      <c r="GW116" s="319">
        <v>0</v>
      </c>
      <c r="GX116" s="320"/>
      <c r="GY116" s="321">
        <v>0</v>
      </c>
      <c r="GZ116" s="322">
        <v>0</v>
      </c>
    </row>
    <row r="117" spans="1:208" s="89" customFormat="1" ht="22.5" customHeight="1" x14ac:dyDescent="0.2">
      <c r="A117" s="287" t="s">
        <v>3264</v>
      </c>
      <c r="B117" s="288" t="s">
        <v>3265</v>
      </c>
      <c r="C117" s="289" t="s">
        <v>3170</v>
      </c>
      <c r="D117" s="290" t="s">
        <v>3266</v>
      </c>
      <c r="E117" s="290" t="s">
        <v>3267</v>
      </c>
      <c r="F117" s="291" t="s">
        <v>3166</v>
      </c>
      <c r="G117" s="291" t="s">
        <v>3167</v>
      </c>
      <c r="H117" s="292" t="s">
        <v>1501</v>
      </c>
      <c r="I117" s="293" t="s">
        <v>1501</v>
      </c>
      <c r="J117" s="340" t="s">
        <v>3168</v>
      </c>
      <c r="K117" s="340" t="s">
        <v>3171</v>
      </c>
      <c r="L117" s="256">
        <f>CONTINUA!BV117</f>
        <v>0</v>
      </c>
      <c r="M117" s="256">
        <f>CONTINUA!BW117</f>
        <v>0</v>
      </c>
      <c r="N117" s="564"/>
      <c r="O117" s="565" t="s">
        <v>3354</v>
      </c>
      <c r="P117" s="566">
        <v>0</v>
      </c>
      <c r="Q117" s="319">
        <v>0</v>
      </c>
      <c r="R117" s="320"/>
      <c r="S117" s="319">
        <v>0</v>
      </c>
      <c r="T117" s="320"/>
      <c r="U117" s="319">
        <v>0</v>
      </c>
      <c r="V117" s="320">
        <v>0</v>
      </c>
      <c r="W117" s="319">
        <v>0</v>
      </c>
      <c r="X117" s="320"/>
      <c r="Y117" s="319">
        <v>0</v>
      </c>
      <c r="Z117" s="320"/>
      <c r="AA117" s="319">
        <v>0</v>
      </c>
      <c r="AB117" s="320">
        <v>0</v>
      </c>
      <c r="AC117" s="319">
        <v>0</v>
      </c>
      <c r="AD117" s="320"/>
      <c r="AE117" s="319">
        <v>0</v>
      </c>
      <c r="AF117" s="320"/>
      <c r="AG117" s="319">
        <v>0</v>
      </c>
      <c r="AH117" s="320">
        <v>0</v>
      </c>
      <c r="AI117" s="319">
        <v>0</v>
      </c>
      <c r="AJ117" s="320"/>
      <c r="AK117" s="319">
        <v>0</v>
      </c>
      <c r="AL117" s="320"/>
      <c r="AM117" s="319">
        <v>0</v>
      </c>
      <c r="AN117" s="320">
        <v>0</v>
      </c>
      <c r="AO117" s="319">
        <v>0</v>
      </c>
      <c r="AP117" s="320"/>
      <c r="AQ117" s="319">
        <v>0</v>
      </c>
      <c r="AR117" s="320"/>
      <c r="AS117" s="319">
        <v>0</v>
      </c>
      <c r="AT117" s="320">
        <v>0</v>
      </c>
      <c r="AU117" s="319">
        <v>0</v>
      </c>
      <c r="AV117" s="320"/>
      <c r="AW117" s="319">
        <v>0</v>
      </c>
      <c r="AX117" s="320"/>
      <c r="AY117" s="319">
        <v>0</v>
      </c>
      <c r="AZ117" s="320">
        <v>0</v>
      </c>
      <c r="BA117" s="319">
        <v>0</v>
      </c>
      <c r="BB117" s="320"/>
      <c r="BC117" s="319">
        <v>0</v>
      </c>
      <c r="BD117" s="320"/>
      <c r="BE117" s="319">
        <v>0</v>
      </c>
      <c r="BF117" s="320">
        <v>0</v>
      </c>
      <c r="BG117" s="319">
        <v>0</v>
      </c>
      <c r="BH117" s="320"/>
      <c r="BI117" s="319">
        <v>0</v>
      </c>
      <c r="BJ117" s="320"/>
      <c r="BK117" s="319">
        <v>0</v>
      </c>
      <c r="BL117" s="320">
        <v>0</v>
      </c>
      <c r="BM117" s="319">
        <v>0</v>
      </c>
      <c r="BN117" s="320"/>
      <c r="BO117" s="319">
        <v>0</v>
      </c>
      <c r="BP117" s="320"/>
      <c r="BQ117" s="319">
        <v>0</v>
      </c>
      <c r="BR117" s="320">
        <v>0</v>
      </c>
      <c r="BS117" s="319">
        <v>0</v>
      </c>
      <c r="BT117" s="320"/>
      <c r="BU117" s="319">
        <v>0</v>
      </c>
      <c r="BV117" s="320"/>
      <c r="BW117" s="319">
        <v>0</v>
      </c>
      <c r="BX117" s="320">
        <v>0</v>
      </c>
      <c r="BY117" s="319">
        <v>0</v>
      </c>
      <c r="BZ117" s="320"/>
      <c r="CA117" s="319">
        <v>0</v>
      </c>
      <c r="CB117" s="320"/>
      <c r="CC117" s="319">
        <v>0</v>
      </c>
      <c r="CD117" s="320">
        <v>0</v>
      </c>
      <c r="CE117" s="319">
        <v>0</v>
      </c>
      <c r="CF117" s="320"/>
      <c r="CG117" s="319">
        <v>0</v>
      </c>
      <c r="CH117" s="320"/>
      <c r="CI117" s="319">
        <v>0</v>
      </c>
      <c r="CJ117" s="320">
        <v>0</v>
      </c>
      <c r="CK117" s="319">
        <v>0</v>
      </c>
      <c r="CL117" s="320"/>
      <c r="CM117" s="319">
        <v>0</v>
      </c>
      <c r="CN117" s="320"/>
      <c r="CO117" s="319">
        <v>0</v>
      </c>
      <c r="CP117" s="320">
        <v>0</v>
      </c>
      <c r="CQ117" s="319">
        <v>0</v>
      </c>
      <c r="CR117" s="320"/>
      <c r="CS117" s="319">
        <v>0</v>
      </c>
      <c r="CT117" s="320"/>
      <c r="CU117" s="319">
        <v>0</v>
      </c>
      <c r="CV117" s="320">
        <v>0</v>
      </c>
      <c r="CW117" s="319">
        <v>0</v>
      </c>
      <c r="CX117" s="320"/>
      <c r="CY117" s="319">
        <v>0</v>
      </c>
      <c r="CZ117" s="320"/>
      <c r="DA117" s="319">
        <v>0</v>
      </c>
      <c r="DB117" s="320">
        <v>0</v>
      </c>
      <c r="DC117" s="319">
        <v>0</v>
      </c>
      <c r="DD117" s="320"/>
      <c r="DE117" s="319">
        <v>0</v>
      </c>
      <c r="DF117" s="320"/>
      <c r="DG117" s="319">
        <v>0</v>
      </c>
      <c r="DH117" s="320">
        <v>0</v>
      </c>
      <c r="DI117" s="319">
        <v>0</v>
      </c>
      <c r="DJ117" s="320"/>
      <c r="DK117" s="319">
        <v>0</v>
      </c>
      <c r="DL117" s="320"/>
      <c r="DM117" s="319">
        <v>0</v>
      </c>
      <c r="DN117" s="320">
        <v>0</v>
      </c>
      <c r="DO117" s="319">
        <v>0</v>
      </c>
      <c r="DP117" s="320"/>
      <c r="DQ117" s="319">
        <v>0</v>
      </c>
      <c r="DR117" s="320"/>
      <c r="DS117" s="319">
        <v>0</v>
      </c>
      <c r="DT117" s="320">
        <v>0</v>
      </c>
      <c r="DU117" s="319">
        <v>0</v>
      </c>
      <c r="DV117" s="320"/>
      <c r="DW117" s="319">
        <v>0</v>
      </c>
      <c r="DX117" s="320"/>
      <c r="DY117" s="319">
        <v>0</v>
      </c>
      <c r="DZ117" s="320">
        <v>0</v>
      </c>
      <c r="EA117" s="319">
        <v>0</v>
      </c>
      <c r="EB117" s="320"/>
      <c r="EC117" s="319">
        <v>0</v>
      </c>
      <c r="ED117" s="320"/>
      <c r="EE117" s="319">
        <v>0</v>
      </c>
      <c r="EF117" s="320">
        <v>0</v>
      </c>
      <c r="EG117" s="319">
        <v>0</v>
      </c>
      <c r="EH117" s="320"/>
      <c r="EI117" s="319">
        <v>0</v>
      </c>
      <c r="EJ117" s="320"/>
      <c r="EK117" s="319">
        <v>0</v>
      </c>
      <c r="EL117" s="320">
        <v>0</v>
      </c>
      <c r="EM117" s="319">
        <v>0</v>
      </c>
      <c r="EN117" s="320"/>
      <c r="EO117" s="319">
        <v>0</v>
      </c>
      <c r="EP117" s="320"/>
      <c r="EQ117" s="319">
        <v>0</v>
      </c>
      <c r="ER117" s="320">
        <v>0</v>
      </c>
      <c r="ES117" s="319">
        <v>0</v>
      </c>
      <c r="ET117" s="320"/>
      <c r="EU117" s="319">
        <v>0</v>
      </c>
      <c r="EV117" s="320"/>
      <c r="EW117" s="319">
        <v>0</v>
      </c>
      <c r="EX117" s="320">
        <v>0</v>
      </c>
      <c r="EY117" s="319">
        <v>0</v>
      </c>
      <c r="EZ117" s="320"/>
      <c r="FA117" s="319">
        <v>0</v>
      </c>
      <c r="FB117" s="320"/>
      <c r="FC117" s="319">
        <v>0</v>
      </c>
      <c r="FD117" s="320">
        <v>0</v>
      </c>
      <c r="FE117" s="319">
        <v>0</v>
      </c>
      <c r="FF117" s="320"/>
      <c r="FG117" s="319">
        <v>0</v>
      </c>
      <c r="FH117" s="320"/>
      <c r="FI117" s="319">
        <v>0</v>
      </c>
      <c r="FJ117" s="320">
        <v>0</v>
      </c>
      <c r="FK117" s="319">
        <v>0</v>
      </c>
      <c r="FL117" s="320"/>
      <c r="FM117" s="319">
        <v>0</v>
      </c>
      <c r="FN117" s="320"/>
      <c r="FO117" s="319">
        <v>0</v>
      </c>
      <c r="FP117" s="320">
        <v>0</v>
      </c>
      <c r="FQ117" s="319">
        <v>0</v>
      </c>
      <c r="FR117" s="320"/>
      <c r="FS117" s="319">
        <v>0</v>
      </c>
      <c r="FT117" s="320"/>
      <c r="FU117" s="319">
        <v>0</v>
      </c>
      <c r="FV117" s="320">
        <v>0</v>
      </c>
      <c r="FW117" s="319">
        <v>0</v>
      </c>
      <c r="FX117" s="320"/>
      <c r="FY117" s="319">
        <v>0</v>
      </c>
      <c r="FZ117" s="320"/>
      <c r="GA117" s="319">
        <v>0</v>
      </c>
      <c r="GB117" s="320">
        <v>0</v>
      </c>
      <c r="GC117" s="319">
        <v>0</v>
      </c>
      <c r="GD117" s="320"/>
      <c r="GE117" s="319">
        <v>0</v>
      </c>
      <c r="GF117" s="320"/>
      <c r="GG117" s="319">
        <v>0</v>
      </c>
      <c r="GH117" s="320">
        <v>0</v>
      </c>
      <c r="GI117" s="319">
        <v>0</v>
      </c>
      <c r="GJ117" s="320"/>
      <c r="GK117" s="319">
        <v>0</v>
      </c>
      <c r="GL117" s="320"/>
      <c r="GM117" s="319">
        <v>0</v>
      </c>
      <c r="GN117" s="320">
        <v>0</v>
      </c>
      <c r="GO117" s="319">
        <v>0</v>
      </c>
      <c r="GP117" s="320"/>
      <c r="GQ117" s="319">
        <v>0</v>
      </c>
      <c r="GR117" s="320"/>
      <c r="GS117" s="319">
        <v>0</v>
      </c>
      <c r="GT117" s="320">
        <v>0</v>
      </c>
      <c r="GU117" s="319">
        <v>0</v>
      </c>
      <c r="GV117" s="320"/>
      <c r="GW117" s="319">
        <v>0</v>
      </c>
      <c r="GX117" s="320"/>
      <c r="GY117" s="319">
        <v>0</v>
      </c>
      <c r="GZ117" s="320">
        <v>0</v>
      </c>
    </row>
    <row r="118" spans="1:208" s="89" customFormat="1" ht="22.5" customHeight="1" x14ac:dyDescent="0.2">
      <c r="A118" s="287" t="s">
        <v>3264</v>
      </c>
      <c r="B118" s="288" t="s">
        <v>3265</v>
      </c>
      <c r="C118" s="294" t="s">
        <v>3170</v>
      </c>
      <c r="D118" s="290" t="s">
        <v>3266</v>
      </c>
      <c r="E118" s="290" t="s">
        <v>3267</v>
      </c>
      <c r="F118" s="295" t="s">
        <v>3166</v>
      </c>
      <c r="G118" s="295" t="s">
        <v>3167</v>
      </c>
      <c r="H118" s="292" t="s">
        <v>1501</v>
      </c>
      <c r="I118" s="293" t="s">
        <v>1501</v>
      </c>
      <c r="J118" s="340" t="s">
        <v>3168</v>
      </c>
      <c r="K118" s="341" t="s">
        <v>3172</v>
      </c>
      <c r="L118" s="256">
        <f>CONTINUA!BV118</f>
        <v>0</v>
      </c>
      <c r="M118" s="256">
        <f>CONTINUA!BW118</f>
        <v>0</v>
      </c>
      <c r="N118" s="564"/>
      <c r="O118" s="565" t="s">
        <v>3354</v>
      </c>
      <c r="P118" s="566">
        <v>0</v>
      </c>
      <c r="Q118" s="319">
        <v>0</v>
      </c>
      <c r="R118" s="320"/>
      <c r="S118" s="319">
        <v>0</v>
      </c>
      <c r="T118" s="320"/>
      <c r="U118" s="319">
        <v>0</v>
      </c>
      <c r="V118" s="320">
        <v>0</v>
      </c>
      <c r="W118" s="319">
        <v>0</v>
      </c>
      <c r="X118" s="320"/>
      <c r="Y118" s="319">
        <v>0</v>
      </c>
      <c r="Z118" s="320"/>
      <c r="AA118" s="319">
        <v>0</v>
      </c>
      <c r="AB118" s="320">
        <v>0</v>
      </c>
      <c r="AC118" s="319">
        <v>0</v>
      </c>
      <c r="AD118" s="320"/>
      <c r="AE118" s="319">
        <v>0</v>
      </c>
      <c r="AF118" s="320"/>
      <c r="AG118" s="319">
        <v>0</v>
      </c>
      <c r="AH118" s="320">
        <v>0</v>
      </c>
      <c r="AI118" s="319">
        <v>0</v>
      </c>
      <c r="AJ118" s="320"/>
      <c r="AK118" s="319">
        <v>0</v>
      </c>
      <c r="AL118" s="320"/>
      <c r="AM118" s="319">
        <v>0</v>
      </c>
      <c r="AN118" s="320">
        <v>0</v>
      </c>
      <c r="AO118" s="319">
        <v>0</v>
      </c>
      <c r="AP118" s="320"/>
      <c r="AQ118" s="319">
        <v>0</v>
      </c>
      <c r="AR118" s="320"/>
      <c r="AS118" s="319">
        <v>0</v>
      </c>
      <c r="AT118" s="320">
        <v>0</v>
      </c>
      <c r="AU118" s="319">
        <v>0</v>
      </c>
      <c r="AV118" s="320"/>
      <c r="AW118" s="319">
        <v>0</v>
      </c>
      <c r="AX118" s="320"/>
      <c r="AY118" s="319">
        <v>0</v>
      </c>
      <c r="AZ118" s="320">
        <v>0</v>
      </c>
      <c r="BA118" s="319">
        <v>0</v>
      </c>
      <c r="BB118" s="320"/>
      <c r="BC118" s="319">
        <v>0</v>
      </c>
      <c r="BD118" s="320"/>
      <c r="BE118" s="319">
        <v>0</v>
      </c>
      <c r="BF118" s="320">
        <v>0</v>
      </c>
      <c r="BG118" s="319">
        <v>0</v>
      </c>
      <c r="BH118" s="320"/>
      <c r="BI118" s="319">
        <v>0</v>
      </c>
      <c r="BJ118" s="320"/>
      <c r="BK118" s="319">
        <v>0</v>
      </c>
      <c r="BL118" s="320">
        <v>0</v>
      </c>
      <c r="BM118" s="319">
        <v>0</v>
      </c>
      <c r="BN118" s="320"/>
      <c r="BO118" s="319">
        <v>0</v>
      </c>
      <c r="BP118" s="320"/>
      <c r="BQ118" s="319">
        <v>0</v>
      </c>
      <c r="BR118" s="320">
        <v>0</v>
      </c>
      <c r="BS118" s="319">
        <v>0</v>
      </c>
      <c r="BT118" s="320"/>
      <c r="BU118" s="319">
        <v>0</v>
      </c>
      <c r="BV118" s="320"/>
      <c r="BW118" s="319">
        <v>0</v>
      </c>
      <c r="BX118" s="320">
        <v>0</v>
      </c>
      <c r="BY118" s="319">
        <v>0</v>
      </c>
      <c r="BZ118" s="320"/>
      <c r="CA118" s="319">
        <v>0</v>
      </c>
      <c r="CB118" s="320"/>
      <c r="CC118" s="319">
        <v>0</v>
      </c>
      <c r="CD118" s="320">
        <v>0</v>
      </c>
      <c r="CE118" s="319">
        <v>0</v>
      </c>
      <c r="CF118" s="320"/>
      <c r="CG118" s="319">
        <v>0</v>
      </c>
      <c r="CH118" s="320"/>
      <c r="CI118" s="319">
        <v>0</v>
      </c>
      <c r="CJ118" s="320">
        <v>0</v>
      </c>
      <c r="CK118" s="319">
        <v>0</v>
      </c>
      <c r="CL118" s="320"/>
      <c r="CM118" s="319">
        <v>0</v>
      </c>
      <c r="CN118" s="320"/>
      <c r="CO118" s="319">
        <v>0</v>
      </c>
      <c r="CP118" s="320">
        <v>0</v>
      </c>
      <c r="CQ118" s="319">
        <v>0</v>
      </c>
      <c r="CR118" s="320"/>
      <c r="CS118" s="319">
        <v>0</v>
      </c>
      <c r="CT118" s="320"/>
      <c r="CU118" s="319">
        <v>0</v>
      </c>
      <c r="CV118" s="320">
        <v>0</v>
      </c>
      <c r="CW118" s="319">
        <v>0</v>
      </c>
      <c r="CX118" s="320"/>
      <c r="CY118" s="319">
        <v>0</v>
      </c>
      <c r="CZ118" s="320"/>
      <c r="DA118" s="319">
        <v>0</v>
      </c>
      <c r="DB118" s="320">
        <v>0</v>
      </c>
      <c r="DC118" s="319">
        <v>0</v>
      </c>
      <c r="DD118" s="320"/>
      <c r="DE118" s="319">
        <v>0</v>
      </c>
      <c r="DF118" s="320"/>
      <c r="DG118" s="319">
        <v>0</v>
      </c>
      <c r="DH118" s="320">
        <v>0</v>
      </c>
      <c r="DI118" s="319">
        <v>0</v>
      </c>
      <c r="DJ118" s="320"/>
      <c r="DK118" s="319">
        <v>0</v>
      </c>
      <c r="DL118" s="320"/>
      <c r="DM118" s="319">
        <v>0</v>
      </c>
      <c r="DN118" s="320">
        <v>0</v>
      </c>
      <c r="DO118" s="319">
        <v>0</v>
      </c>
      <c r="DP118" s="320"/>
      <c r="DQ118" s="319">
        <v>0</v>
      </c>
      <c r="DR118" s="320"/>
      <c r="DS118" s="319">
        <v>0</v>
      </c>
      <c r="DT118" s="320">
        <v>0</v>
      </c>
      <c r="DU118" s="319">
        <v>0</v>
      </c>
      <c r="DV118" s="320"/>
      <c r="DW118" s="319">
        <v>0</v>
      </c>
      <c r="DX118" s="320"/>
      <c r="DY118" s="319">
        <v>0</v>
      </c>
      <c r="DZ118" s="320">
        <v>0</v>
      </c>
      <c r="EA118" s="319">
        <v>0</v>
      </c>
      <c r="EB118" s="320"/>
      <c r="EC118" s="319">
        <v>0</v>
      </c>
      <c r="ED118" s="320"/>
      <c r="EE118" s="319">
        <v>0</v>
      </c>
      <c r="EF118" s="320">
        <v>0</v>
      </c>
      <c r="EG118" s="319">
        <v>0</v>
      </c>
      <c r="EH118" s="320"/>
      <c r="EI118" s="319">
        <v>0</v>
      </c>
      <c r="EJ118" s="320"/>
      <c r="EK118" s="319">
        <v>0</v>
      </c>
      <c r="EL118" s="320">
        <v>0</v>
      </c>
      <c r="EM118" s="319">
        <v>0</v>
      </c>
      <c r="EN118" s="320"/>
      <c r="EO118" s="319">
        <v>0</v>
      </c>
      <c r="EP118" s="320"/>
      <c r="EQ118" s="319">
        <v>0</v>
      </c>
      <c r="ER118" s="320">
        <v>0</v>
      </c>
      <c r="ES118" s="319">
        <v>0</v>
      </c>
      <c r="ET118" s="320"/>
      <c r="EU118" s="319">
        <v>0</v>
      </c>
      <c r="EV118" s="320"/>
      <c r="EW118" s="319">
        <v>0</v>
      </c>
      <c r="EX118" s="320">
        <v>0</v>
      </c>
      <c r="EY118" s="319">
        <v>0</v>
      </c>
      <c r="EZ118" s="320"/>
      <c r="FA118" s="319">
        <v>0</v>
      </c>
      <c r="FB118" s="320"/>
      <c r="FC118" s="319">
        <v>0</v>
      </c>
      <c r="FD118" s="320">
        <v>0</v>
      </c>
      <c r="FE118" s="319">
        <v>0</v>
      </c>
      <c r="FF118" s="320"/>
      <c r="FG118" s="319">
        <v>0</v>
      </c>
      <c r="FH118" s="320"/>
      <c r="FI118" s="319">
        <v>0</v>
      </c>
      <c r="FJ118" s="320">
        <v>0</v>
      </c>
      <c r="FK118" s="319">
        <v>0</v>
      </c>
      <c r="FL118" s="320"/>
      <c r="FM118" s="319">
        <v>0</v>
      </c>
      <c r="FN118" s="320"/>
      <c r="FO118" s="319">
        <v>0</v>
      </c>
      <c r="FP118" s="320">
        <v>0</v>
      </c>
      <c r="FQ118" s="319">
        <v>0</v>
      </c>
      <c r="FR118" s="320"/>
      <c r="FS118" s="319">
        <v>0</v>
      </c>
      <c r="FT118" s="320"/>
      <c r="FU118" s="319">
        <v>0</v>
      </c>
      <c r="FV118" s="320">
        <v>0</v>
      </c>
      <c r="FW118" s="319">
        <v>0</v>
      </c>
      <c r="FX118" s="320"/>
      <c r="FY118" s="319">
        <v>0</v>
      </c>
      <c r="FZ118" s="320"/>
      <c r="GA118" s="319">
        <v>0</v>
      </c>
      <c r="GB118" s="320">
        <v>0</v>
      </c>
      <c r="GC118" s="319">
        <v>0</v>
      </c>
      <c r="GD118" s="320"/>
      <c r="GE118" s="319">
        <v>0</v>
      </c>
      <c r="GF118" s="320"/>
      <c r="GG118" s="319">
        <v>0</v>
      </c>
      <c r="GH118" s="320">
        <v>0</v>
      </c>
      <c r="GI118" s="319">
        <v>0</v>
      </c>
      <c r="GJ118" s="320"/>
      <c r="GK118" s="319">
        <v>0</v>
      </c>
      <c r="GL118" s="320"/>
      <c r="GM118" s="319">
        <v>0</v>
      </c>
      <c r="GN118" s="320">
        <v>0</v>
      </c>
      <c r="GO118" s="319">
        <v>0</v>
      </c>
      <c r="GP118" s="320"/>
      <c r="GQ118" s="319">
        <v>0</v>
      </c>
      <c r="GR118" s="320"/>
      <c r="GS118" s="319">
        <v>0</v>
      </c>
      <c r="GT118" s="320">
        <v>0</v>
      </c>
      <c r="GU118" s="319">
        <v>0</v>
      </c>
      <c r="GV118" s="320"/>
      <c r="GW118" s="319">
        <v>0</v>
      </c>
      <c r="GX118" s="320"/>
      <c r="GY118" s="319">
        <v>0</v>
      </c>
      <c r="GZ118" s="320">
        <v>0</v>
      </c>
    </row>
    <row r="119" spans="1:208" s="89" customFormat="1" ht="22.5" customHeight="1" x14ac:dyDescent="0.2">
      <c r="A119" s="287" t="s">
        <v>3264</v>
      </c>
      <c r="B119" s="288" t="s">
        <v>3265</v>
      </c>
      <c r="C119" s="294" t="s">
        <v>3170</v>
      </c>
      <c r="D119" s="290" t="s">
        <v>3266</v>
      </c>
      <c r="E119" s="290" t="s">
        <v>3267</v>
      </c>
      <c r="F119" s="295" t="s">
        <v>3166</v>
      </c>
      <c r="G119" s="295" t="s">
        <v>3167</v>
      </c>
      <c r="H119" s="292" t="s">
        <v>1501</v>
      </c>
      <c r="I119" s="293" t="s">
        <v>1501</v>
      </c>
      <c r="J119" s="340" t="s">
        <v>3168</v>
      </c>
      <c r="K119" s="342" t="s">
        <v>3173</v>
      </c>
      <c r="L119" s="256">
        <f>CONTINUA!BV119</f>
        <v>0</v>
      </c>
      <c r="M119" s="256">
        <f>CONTINUA!BW119</f>
        <v>0</v>
      </c>
      <c r="N119" s="564"/>
      <c r="O119" s="565" t="s">
        <v>3354</v>
      </c>
      <c r="P119" s="566">
        <v>0</v>
      </c>
      <c r="Q119" s="319">
        <v>0</v>
      </c>
      <c r="R119" s="320"/>
      <c r="S119" s="319">
        <v>0</v>
      </c>
      <c r="T119" s="320"/>
      <c r="U119" s="319">
        <v>0</v>
      </c>
      <c r="V119" s="320">
        <v>0</v>
      </c>
      <c r="W119" s="319">
        <v>0</v>
      </c>
      <c r="X119" s="320"/>
      <c r="Y119" s="319">
        <v>0</v>
      </c>
      <c r="Z119" s="320"/>
      <c r="AA119" s="319">
        <v>0</v>
      </c>
      <c r="AB119" s="320">
        <v>0</v>
      </c>
      <c r="AC119" s="319">
        <v>0</v>
      </c>
      <c r="AD119" s="320"/>
      <c r="AE119" s="319">
        <v>0</v>
      </c>
      <c r="AF119" s="320"/>
      <c r="AG119" s="319">
        <v>0</v>
      </c>
      <c r="AH119" s="320">
        <v>0</v>
      </c>
      <c r="AI119" s="319">
        <v>0</v>
      </c>
      <c r="AJ119" s="320"/>
      <c r="AK119" s="319">
        <v>0</v>
      </c>
      <c r="AL119" s="320"/>
      <c r="AM119" s="319">
        <v>0</v>
      </c>
      <c r="AN119" s="320">
        <v>0</v>
      </c>
      <c r="AO119" s="319">
        <v>0</v>
      </c>
      <c r="AP119" s="320"/>
      <c r="AQ119" s="319">
        <v>0</v>
      </c>
      <c r="AR119" s="320"/>
      <c r="AS119" s="319">
        <v>0</v>
      </c>
      <c r="AT119" s="320">
        <v>0</v>
      </c>
      <c r="AU119" s="319">
        <v>0</v>
      </c>
      <c r="AV119" s="320"/>
      <c r="AW119" s="319">
        <v>0</v>
      </c>
      <c r="AX119" s="320"/>
      <c r="AY119" s="319">
        <v>0</v>
      </c>
      <c r="AZ119" s="320">
        <v>0</v>
      </c>
      <c r="BA119" s="319">
        <v>0</v>
      </c>
      <c r="BB119" s="320"/>
      <c r="BC119" s="319">
        <v>0</v>
      </c>
      <c r="BD119" s="320"/>
      <c r="BE119" s="319">
        <v>0</v>
      </c>
      <c r="BF119" s="320">
        <v>0</v>
      </c>
      <c r="BG119" s="319">
        <v>0</v>
      </c>
      <c r="BH119" s="320"/>
      <c r="BI119" s="319">
        <v>0</v>
      </c>
      <c r="BJ119" s="320"/>
      <c r="BK119" s="319">
        <v>0</v>
      </c>
      <c r="BL119" s="320">
        <v>0</v>
      </c>
      <c r="BM119" s="319">
        <v>0</v>
      </c>
      <c r="BN119" s="320"/>
      <c r="BO119" s="319">
        <v>0</v>
      </c>
      <c r="BP119" s="320"/>
      <c r="BQ119" s="319">
        <v>0</v>
      </c>
      <c r="BR119" s="320">
        <v>0</v>
      </c>
      <c r="BS119" s="319">
        <v>0</v>
      </c>
      <c r="BT119" s="320"/>
      <c r="BU119" s="319">
        <v>0</v>
      </c>
      <c r="BV119" s="320"/>
      <c r="BW119" s="319">
        <v>0</v>
      </c>
      <c r="BX119" s="320">
        <v>0</v>
      </c>
      <c r="BY119" s="319">
        <v>0</v>
      </c>
      <c r="BZ119" s="320"/>
      <c r="CA119" s="319">
        <v>0</v>
      </c>
      <c r="CB119" s="320"/>
      <c r="CC119" s="319">
        <v>0</v>
      </c>
      <c r="CD119" s="320">
        <v>0</v>
      </c>
      <c r="CE119" s="319">
        <v>0</v>
      </c>
      <c r="CF119" s="320"/>
      <c r="CG119" s="319">
        <v>0</v>
      </c>
      <c r="CH119" s="320"/>
      <c r="CI119" s="319">
        <v>0</v>
      </c>
      <c r="CJ119" s="320">
        <v>0</v>
      </c>
      <c r="CK119" s="319">
        <v>0</v>
      </c>
      <c r="CL119" s="320"/>
      <c r="CM119" s="319">
        <v>0</v>
      </c>
      <c r="CN119" s="320"/>
      <c r="CO119" s="319">
        <v>0</v>
      </c>
      <c r="CP119" s="320">
        <v>0</v>
      </c>
      <c r="CQ119" s="319">
        <v>0</v>
      </c>
      <c r="CR119" s="320"/>
      <c r="CS119" s="319">
        <v>0</v>
      </c>
      <c r="CT119" s="320"/>
      <c r="CU119" s="319">
        <v>0</v>
      </c>
      <c r="CV119" s="320">
        <v>0</v>
      </c>
      <c r="CW119" s="319">
        <v>0</v>
      </c>
      <c r="CX119" s="320"/>
      <c r="CY119" s="319">
        <v>0</v>
      </c>
      <c r="CZ119" s="320"/>
      <c r="DA119" s="319">
        <v>0</v>
      </c>
      <c r="DB119" s="320">
        <v>0</v>
      </c>
      <c r="DC119" s="319">
        <v>0</v>
      </c>
      <c r="DD119" s="320"/>
      <c r="DE119" s="319">
        <v>0</v>
      </c>
      <c r="DF119" s="320"/>
      <c r="DG119" s="319">
        <v>0</v>
      </c>
      <c r="DH119" s="320">
        <v>0</v>
      </c>
      <c r="DI119" s="319">
        <v>0</v>
      </c>
      <c r="DJ119" s="320"/>
      <c r="DK119" s="319">
        <v>0</v>
      </c>
      <c r="DL119" s="320"/>
      <c r="DM119" s="319">
        <v>0</v>
      </c>
      <c r="DN119" s="320">
        <v>0</v>
      </c>
      <c r="DO119" s="319">
        <v>0</v>
      </c>
      <c r="DP119" s="320"/>
      <c r="DQ119" s="319">
        <v>0</v>
      </c>
      <c r="DR119" s="320"/>
      <c r="DS119" s="319">
        <v>0</v>
      </c>
      <c r="DT119" s="320">
        <v>0</v>
      </c>
      <c r="DU119" s="319">
        <v>0</v>
      </c>
      <c r="DV119" s="320"/>
      <c r="DW119" s="319">
        <v>0</v>
      </c>
      <c r="DX119" s="320"/>
      <c r="DY119" s="319">
        <v>0</v>
      </c>
      <c r="DZ119" s="320">
        <v>0</v>
      </c>
      <c r="EA119" s="319">
        <v>0</v>
      </c>
      <c r="EB119" s="320"/>
      <c r="EC119" s="319">
        <v>0</v>
      </c>
      <c r="ED119" s="320"/>
      <c r="EE119" s="319">
        <v>0</v>
      </c>
      <c r="EF119" s="320">
        <v>0</v>
      </c>
      <c r="EG119" s="319">
        <v>0</v>
      </c>
      <c r="EH119" s="320"/>
      <c r="EI119" s="319">
        <v>0</v>
      </c>
      <c r="EJ119" s="320"/>
      <c r="EK119" s="319">
        <v>0</v>
      </c>
      <c r="EL119" s="320">
        <v>0</v>
      </c>
      <c r="EM119" s="319">
        <v>0</v>
      </c>
      <c r="EN119" s="320"/>
      <c r="EO119" s="319">
        <v>0</v>
      </c>
      <c r="EP119" s="320"/>
      <c r="EQ119" s="319">
        <v>0</v>
      </c>
      <c r="ER119" s="320">
        <v>0</v>
      </c>
      <c r="ES119" s="319">
        <v>0</v>
      </c>
      <c r="ET119" s="320"/>
      <c r="EU119" s="319">
        <v>0</v>
      </c>
      <c r="EV119" s="320"/>
      <c r="EW119" s="319">
        <v>0</v>
      </c>
      <c r="EX119" s="320">
        <v>0</v>
      </c>
      <c r="EY119" s="319">
        <v>0</v>
      </c>
      <c r="EZ119" s="320"/>
      <c r="FA119" s="319">
        <v>0</v>
      </c>
      <c r="FB119" s="320"/>
      <c r="FC119" s="319">
        <v>0</v>
      </c>
      <c r="FD119" s="320">
        <v>0</v>
      </c>
      <c r="FE119" s="319">
        <v>0</v>
      </c>
      <c r="FF119" s="320"/>
      <c r="FG119" s="319">
        <v>0</v>
      </c>
      <c r="FH119" s="320"/>
      <c r="FI119" s="319">
        <v>0</v>
      </c>
      <c r="FJ119" s="320">
        <v>0</v>
      </c>
      <c r="FK119" s="319">
        <v>0</v>
      </c>
      <c r="FL119" s="320"/>
      <c r="FM119" s="319">
        <v>0</v>
      </c>
      <c r="FN119" s="320"/>
      <c r="FO119" s="319">
        <v>0</v>
      </c>
      <c r="FP119" s="320">
        <v>0</v>
      </c>
      <c r="FQ119" s="319">
        <v>0</v>
      </c>
      <c r="FR119" s="320"/>
      <c r="FS119" s="319">
        <v>0</v>
      </c>
      <c r="FT119" s="320"/>
      <c r="FU119" s="319">
        <v>0</v>
      </c>
      <c r="FV119" s="320">
        <v>0</v>
      </c>
      <c r="FW119" s="319">
        <v>0</v>
      </c>
      <c r="FX119" s="320"/>
      <c r="FY119" s="319">
        <v>0</v>
      </c>
      <c r="FZ119" s="320"/>
      <c r="GA119" s="319">
        <v>0</v>
      </c>
      <c r="GB119" s="320">
        <v>0</v>
      </c>
      <c r="GC119" s="319">
        <v>0</v>
      </c>
      <c r="GD119" s="320"/>
      <c r="GE119" s="319">
        <v>0</v>
      </c>
      <c r="GF119" s="320"/>
      <c r="GG119" s="319">
        <v>0</v>
      </c>
      <c r="GH119" s="320">
        <v>0</v>
      </c>
      <c r="GI119" s="319">
        <v>0</v>
      </c>
      <c r="GJ119" s="320"/>
      <c r="GK119" s="319">
        <v>0</v>
      </c>
      <c r="GL119" s="320"/>
      <c r="GM119" s="319">
        <v>0</v>
      </c>
      <c r="GN119" s="320">
        <v>0</v>
      </c>
      <c r="GO119" s="319">
        <v>0</v>
      </c>
      <c r="GP119" s="320"/>
      <c r="GQ119" s="319">
        <v>0</v>
      </c>
      <c r="GR119" s="320"/>
      <c r="GS119" s="319">
        <v>0</v>
      </c>
      <c r="GT119" s="320">
        <v>0</v>
      </c>
      <c r="GU119" s="319">
        <v>0</v>
      </c>
      <c r="GV119" s="320"/>
      <c r="GW119" s="319">
        <v>0</v>
      </c>
      <c r="GX119" s="320"/>
      <c r="GY119" s="319">
        <v>0</v>
      </c>
      <c r="GZ119" s="320">
        <v>0</v>
      </c>
    </row>
    <row r="120" spans="1:208" s="89" customFormat="1" ht="22.5" customHeight="1" thickBot="1" x14ac:dyDescent="0.25">
      <c r="A120" s="296" t="s">
        <v>3264</v>
      </c>
      <c r="B120" s="297" t="s">
        <v>3265</v>
      </c>
      <c r="C120" s="298" t="s">
        <v>3170</v>
      </c>
      <c r="D120" s="299" t="s">
        <v>3266</v>
      </c>
      <c r="E120" s="299" t="s">
        <v>3267</v>
      </c>
      <c r="F120" s="300" t="s">
        <v>3166</v>
      </c>
      <c r="G120" s="300" t="s">
        <v>3167</v>
      </c>
      <c r="H120" s="301" t="s">
        <v>1501</v>
      </c>
      <c r="I120" s="302" t="s">
        <v>1501</v>
      </c>
      <c r="J120" s="340" t="s">
        <v>3168</v>
      </c>
      <c r="K120" s="343" t="s">
        <v>53</v>
      </c>
      <c r="L120" s="256">
        <f>CONTINUA!BV120</f>
        <v>0</v>
      </c>
      <c r="M120" s="256">
        <f>CONTINUA!BW120</f>
        <v>0</v>
      </c>
      <c r="N120" s="564"/>
      <c r="O120" s="565" t="s">
        <v>3354</v>
      </c>
      <c r="P120" s="566">
        <v>0</v>
      </c>
      <c r="Q120" s="319">
        <v>0</v>
      </c>
      <c r="R120" s="320"/>
      <c r="S120" s="319">
        <v>0</v>
      </c>
      <c r="T120" s="320"/>
      <c r="U120" s="321">
        <v>0</v>
      </c>
      <c r="V120" s="322">
        <v>0</v>
      </c>
      <c r="W120" s="319">
        <v>0</v>
      </c>
      <c r="X120" s="320"/>
      <c r="Y120" s="319">
        <v>0</v>
      </c>
      <c r="Z120" s="320"/>
      <c r="AA120" s="321">
        <v>0</v>
      </c>
      <c r="AB120" s="322">
        <v>0</v>
      </c>
      <c r="AC120" s="319">
        <v>0</v>
      </c>
      <c r="AD120" s="320"/>
      <c r="AE120" s="319">
        <v>0</v>
      </c>
      <c r="AF120" s="320"/>
      <c r="AG120" s="321">
        <v>0</v>
      </c>
      <c r="AH120" s="322">
        <v>0</v>
      </c>
      <c r="AI120" s="319">
        <v>0</v>
      </c>
      <c r="AJ120" s="320"/>
      <c r="AK120" s="319">
        <v>0</v>
      </c>
      <c r="AL120" s="320"/>
      <c r="AM120" s="321">
        <v>0</v>
      </c>
      <c r="AN120" s="322">
        <v>0</v>
      </c>
      <c r="AO120" s="319">
        <v>0</v>
      </c>
      <c r="AP120" s="320"/>
      <c r="AQ120" s="319">
        <v>0</v>
      </c>
      <c r="AR120" s="320"/>
      <c r="AS120" s="321">
        <v>0</v>
      </c>
      <c r="AT120" s="322">
        <v>0</v>
      </c>
      <c r="AU120" s="319">
        <v>0</v>
      </c>
      <c r="AV120" s="320"/>
      <c r="AW120" s="319">
        <v>0</v>
      </c>
      <c r="AX120" s="320"/>
      <c r="AY120" s="321">
        <v>0</v>
      </c>
      <c r="AZ120" s="322">
        <v>0</v>
      </c>
      <c r="BA120" s="319">
        <v>0</v>
      </c>
      <c r="BB120" s="320"/>
      <c r="BC120" s="319">
        <v>0</v>
      </c>
      <c r="BD120" s="320"/>
      <c r="BE120" s="321">
        <v>0</v>
      </c>
      <c r="BF120" s="322">
        <v>0</v>
      </c>
      <c r="BG120" s="319">
        <v>0</v>
      </c>
      <c r="BH120" s="320"/>
      <c r="BI120" s="319">
        <v>0</v>
      </c>
      <c r="BJ120" s="320"/>
      <c r="BK120" s="321">
        <v>0</v>
      </c>
      <c r="BL120" s="322">
        <v>0</v>
      </c>
      <c r="BM120" s="319">
        <v>0</v>
      </c>
      <c r="BN120" s="320"/>
      <c r="BO120" s="319">
        <v>0</v>
      </c>
      <c r="BP120" s="320"/>
      <c r="BQ120" s="321">
        <v>0</v>
      </c>
      <c r="BR120" s="322">
        <v>0</v>
      </c>
      <c r="BS120" s="319">
        <v>0</v>
      </c>
      <c r="BT120" s="320"/>
      <c r="BU120" s="319">
        <v>0</v>
      </c>
      <c r="BV120" s="320"/>
      <c r="BW120" s="321">
        <v>0</v>
      </c>
      <c r="BX120" s="322">
        <v>0</v>
      </c>
      <c r="BY120" s="319">
        <v>0</v>
      </c>
      <c r="BZ120" s="320"/>
      <c r="CA120" s="319">
        <v>0</v>
      </c>
      <c r="CB120" s="320"/>
      <c r="CC120" s="321">
        <v>0</v>
      </c>
      <c r="CD120" s="322">
        <v>0</v>
      </c>
      <c r="CE120" s="319">
        <v>0</v>
      </c>
      <c r="CF120" s="320"/>
      <c r="CG120" s="319">
        <v>0</v>
      </c>
      <c r="CH120" s="320"/>
      <c r="CI120" s="321">
        <v>0</v>
      </c>
      <c r="CJ120" s="322">
        <v>0</v>
      </c>
      <c r="CK120" s="319">
        <v>0</v>
      </c>
      <c r="CL120" s="320"/>
      <c r="CM120" s="319">
        <v>0</v>
      </c>
      <c r="CN120" s="320"/>
      <c r="CO120" s="321">
        <v>0</v>
      </c>
      <c r="CP120" s="322">
        <v>0</v>
      </c>
      <c r="CQ120" s="319">
        <v>0</v>
      </c>
      <c r="CR120" s="320"/>
      <c r="CS120" s="319">
        <v>0</v>
      </c>
      <c r="CT120" s="320"/>
      <c r="CU120" s="321">
        <v>0</v>
      </c>
      <c r="CV120" s="322">
        <v>0</v>
      </c>
      <c r="CW120" s="319">
        <v>0</v>
      </c>
      <c r="CX120" s="320"/>
      <c r="CY120" s="319">
        <v>0</v>
      </c>
      <c r="CZ120" s="320"/>
      <c r="DA120" s="321">
        <v>0</v>
      </c>
      <c r="DB120" s="322">
        <v>0</v>
      </c>
      <c r="DC120" s="319">
        <v>0</v>
      </c>
      <c r="DD120" s="320"/>
      <c r="DE120" s="319">
        <v>0</v>
      </c>
      <c r="DF120" s="320"/>
      <c r="DG120" s="321">
        <v>0</v>
      </c>
      <c r="DH120" s="322">
        <v>0</v>
      </c>
      <c r="DI120" s="319">
        <v>0</v>
      </c>
      <c r="DJ120" s="320"/>
      <c r="DK120" s="319">
        <v>0</v>
      </c>
      <c r="DL120" s="320"/>
      <c r="DM120" s="321">
        <v>0</v>
      </c>
      <c r="DN120" s="322">
        <v>0</v>
      </c>
      <c r="DO120" s="319">
        <v>0</v>
      </c>
      <c r="DP120" s="320"/>
      <c r="DQ120" s="319">
        <v>0</v>
      </c>
      <c r="DR120" s="320"/>
      <c r="DS120" s="321">
        <v>0</v>
      </c>
      <c r="DT120" s="322">
        <v>0</v>
      </c>
      <c r="DU120" s="319">
        <v>0</v>
      </c>
      <c r="DV120" s="320"/>
      <c r="DW120" s="319">
        <v>0</v>
      </c>
      <c r="DX120" s="320"/>
      <c r="DY120" s="321">
        <v>0</v>
      </c>
      <c r="DZ120" s="322">
        <v>0</v>
      </c>
      <c r="EA120" s="319">
        <v>0</v>
      </c>
      <c r="EB120" s="320"/>
      <c r="EC120" s="319">
        <v>0</v>
      </c>
      <c r="ED120" s="320"/>
      <c r="EE120" s="321">
        <v>0</v>
      </c>
      <c r="EF120" s="322">
        <v>0</v>
      </c>
      <c r="EG120" s="319">
        <v>0</v>
      </c>
      <c r="EH120" s="320"/>
      <c r="EI120" s="319">
        <v>0</v>
      </c>
      <c r="EJ120" s="320"/>
      <c r="EK120" s="321">
        <v>0</v>
      </c>
      <c r="EL120" s="322">
        <v>0</v>
      </c>
      <c r="EM120" s="319">
        <v>0</v>
      </c>
      <c r="EN120" s="320"/>
      <c r="EO120" s="319">
        <v>0</v>
      </c>
      <c r="EP120" s="320"/>
      <c r="EQ120" s="321">
        <v>0</v>
      </c>
      <c r="ER120" s="322">
        <v>0</v>
      </c>
      <c r="ES120" s="319">
        <v>0</v>
      </c>
      <c r="ET120" s="320"/>
      <c r="EU120" s="319">
        <v>0</v>
      </c>
      <c r="EV120" s="320"/>
      <c r="EW120" s="321">
        <v>0</v>
      </c>
      <c r="EX120" s="322">
        <v>0</v>
      </c>
      <c r="EY120" s="319">
        <v>0</v>
      </c>
      <c r="EZ120" s="320"/>
      <c r="FA120" s="319">
        <v>0</v>
      </c>
      <c r="FB120" s="320"/>
      <c r="FC120" s="321">
        <v>0</v>
      </c>
      <c r="FD120" s="322">
        <v>0</v>
      </c>
      <c r="FE120" s="319">
        <v>0</v>
      </c>
      <c r="FF120" s="320"/>
      <c r="FG120" s="319">
        <v>0</v>
      </c>
      <c r="FH120" s="320"/>
      <c r="FI120" s="321">
        <v>0</v>
      </c>
      <c r="FJ120" s="322">
        <v>0</v>
      </c>
      <c r="FK120" s="319">
        <v>0</v>
      </c>
      <c r="FL120" s="320"/>
      <c r="FM120" s="319">
        <v>0</v>
      </c>
      <c r="FN120" s="320"/>
      <c r="FO120" s="321">
        <v>0</v>
      </c>
      <c r="FP120" s="322">
        <v>0</v>
      </c>
      <c r="FQ120" s="319">
        <v>0</v>
      </c>
      <c r="FR120" s="320"/>
      <c r="FS120" s="319">
        <v>0</v>
      </c>
      <c r="FT120" s="320"/>
      <c r="FU120" s="321">
        <v>0</v>
      </c>
      <c r="FV120" s="322">
        <v>0</v>
      </c>
      <c r="FW120" s="319">
        <v>0</v>
      </c>
      <c r="FX120" s="320"/>
      <c r="FY120" s="319">
        <v>0</v>
      </c>
      <c r="FZ120" s="320"/>
      <c r="GA120" s="321">
        <v>0</v>
      </c>
      <c r="GB120" s="322">
        <v>0</v>
      </c>
      <c r="GC120" s="319">
        <v>0</v>
      </c>
      <c r="GD120" s="320"/>
      <c r="GE120" s="319">
        <v>0</v>
      </c>
      <c r="GF120" s="320"/>
      <c r="GG120" s="321">
        <v>0</v>
      </c>
      <c r="GH120" s="322">
        <v>0</v>
      </c>
      <c r="GI120" s="319">
        <v>0</v>
      </c>
      <c r="GJ120" s="320"/>
      <c r="GK120" s="319">
        <v>0</v>
      </c>
      <c r="GL120" s="320"/>
      <c r="GM120" s="321">
        <v>0</v>
      </c>
      <c r="GN120" s="322">
        <v>0</v>
      </c>
      <c r="GO120" s="319">
        <v>0</v>
      </c>
      <c r="GP120" s="320"/>
      <c r="GQ120" s="319">
        <v>0</v>
      </c>
      <c r="GR120" s="320"/>
      <c r="GS120" s="321">
        <v>0</v>
      </c>
      <c r="GT120" s="322">
        <v>0</v>
      </c>
      <c r="GU120" s="319">
        <v>0</v>
      </c>
      <c r="GV120" s="320"/>
      <c r="GW120" s="319">
        <v>0</v>
      </c>
      <c r="GX120" s="320"/>
      <c r="GY120" s="321">
        <v>0</v>
      </c>
      <c r="GZ120" s="322">
        <v>0</v>
      </c>
    </row>
    <row r="121" spans="1:208" s="89" customFormat="1" ht="22.5" customHeight="1" x14ac:dyDescent="0.2">
      <c r="A121" t="s">
        <v>3268</v>
      </c>
      <c r="B121" s="429" t="s">
        <v>3269</v>
      </c>
      <c r="C121" s="430">
        <v>1</v>
      </c>
      <c r="D121" s="431" t="s">
        <v>3270</v>
      </c>
      <c r="E121" s="431" t="s">
        <v>3271</v>
      </c>
      <c r="F121" s="432" t="s">
        <v>3166</v>
      </c>
      <c r="G121" s="432" t="s">
        <v>3167</v>
      </c>
      <c r="H121" s="270" t="s">
        <v>1502</v>
      </c>
      <c r="I121" s="271" t="s">
        <v>1502</v>
      </c>
      <c r="J121" s="328" t="s">
        <v>3168</v>
      </c>
      <c r="K121" s="329" t="s">
        <v>3169</v>
      </c>
      <c r="L121" s="256">
        <f>CONTINUA!BV121</f>
        <v>0</v>
      </c>
      <c r="M121" s="256">
        <f>CONTINUA!BW121</f>
        <v>0</v>
      </c>
      <c r="N121" s="564"/>
      <c r="O121" s="565" t="s">
        <v>3355</v>
      </c>
      <c r="P121" s="566">
        <v>0</v>
      </c>
      <c r="Q121" s="319">
        <v>40</v>
      </c>
      <c r="R121" s="320"/>
      <c r="S121" s="319">
        <v>0</v>
      </c>
      <c r="T121" s="320"/>
      <c r="U121" s="321">
        <v>0</v>
      </c>
      <c r="V121" s="322">
        <v>0</v>
      </c>
      <c r="W121" s="319">
        <v>40</v>
      </c>
      <c r="X121" s="320"/>
      <c r="Y121" s="319">
        <v>0</v>
      </c>
      <c r="Z121" s="320"/>
      <c r="AA121" s="321">
        <v>0</v>
      </c>
      <c r="AB121" s="322">
        <v>0</v>
      </c>
      <c r="AC121" s="319">
        <v>40</v>
      </c>
      <c r="AD121" s="320"/>
      <c r="AE121" s="319">
        <v>0</v>
      </c>
      <c r="AF121" s="320"/>
      <c r="AG121" s="321">
        <v>0</v>
      </c>
      <c r="AH121" s="322">
        <v>0</v>
      </c>
      <c r="AI121" s="319">
        <v>40</v>
      </c>
      <c r="AJ121" s="320"/>
      <c r="AK121" s="319">
        <v>0</v>
      </c>
      <c r="AL121" s="320"/>
      <c r="AM121" s="321">
        <v>0</v>
      </c>
      <c r="AN121" s="322">
        <v>0</v>
      </c>
      <c r="AO121" s="319">
        <v>40</v>
      </c>
      <c r="AP121" s="320"/>
      <c r="AQ121" s="319">
        <v>0</v>
      </c>
      <c r="AR121" s="320"/>
      <c r="AS121" s="321">
        <v>0</v>
      </c>
      <c r="AT121" s="322">
        <v>0</v>
      </c>
      <c r="AU121" s="319">
        <v>40</v>
      </c>
      <c r="AV121" s="320"/>
      <c r="AW121" s="319">
        <v>0</v>
      </c>
      <c r="AX121" s="320"/>
      <c r="AY121" s="321">
        <v>0</v>
      </c>
      <c r="AZ121" s="322">
        <v>0</v>
      </c>
      <c r="BA121" s="319">
        <v>40</v>
      </c>
      <c r="BB121" s="320"/>
      <c r="BC121" s="319">
        <v>0</v>
      </c>
      <c r="BD121" s="320"/>
      <c r="BE121" s="321">
        <v>0</v>
      </c>
      <c r="BF121" s="322">
        <v>0</v>
      </c>
      <c r="BG121" s="319">
        <v>40</v>
      </c>
      <c r="BH121" s="320"/>
      <c r="BI121" s="319">
        <v>0</v>
      </c>
      <c r="BJ121" s="320"/>
      <c r="BK121" s="321">
        <v>0</v>
      </c>
      <c r="BL121" s="322">
        <v>0</v>
      </c>
      <c r="BM121" s="319">
        <v>40</v>
      </c>
      <c r="BN121" s="320"/>
      <c r="BO121" s="319">
        <v>0</v>
      </c>
      <c r="BP121" s="320"/>
      <c r="BQ121" s="321">
        <v>0</v>
      </c>
      <c r="BR121" s="322">
        <v>0</v>
      </c>
      <c r="BS121" s="319">
        <v>40</v>
      </c>
      <c r="BT121" s="320"/>
      <c r="BU121" s="319">
        <v>0</v>
      </c>
      <c r="BV121" s="320"/>
      <c r="BW121" s="321">
        <v>0</v>
      </c>
      <c r="BX121" s="322">
        <v>0</v>
      </c>
      <c r="BY121" s="319">
        <v>40</v>
      </c>
      <c r="BZ121" s="320"/>
      <c r="CA121" s="319">
        <v>0</v>
      </c>
      <c r="CB121" s="320"/>
      <c r="CC121" s="321">
        <v>0</v>
      </c>
      <c r="CD121" s="322">
        <v>0</v>
      </c>
      <c r="CE121" s="319">
        <v>40</v>
      </c>
      <c r="CF121" s="320"/>
      <c r="CG121" s="319">
        <v>0</v>
      </c>
      <c r="CH121" s="320"/>
      <c r="CI121" s="321">
        <v>0</v>
      </c>
      <c r="CJ121" s="322">
        <v>0</v>
      </c>
      <c r="CK121" s="319">
        <v>40</v>
      </c>
      <c r="CL121" s="320"/>
      <c r="CM121" s="319">
        <v>0</v>
      </c>
      <c r="CN121" s="320"/>
      <c r="CO121" s="321">
        <v>0</v>
      </c>
      <c r="CP121" s="322">
        <v>0</v>
      </c>
      <c r="CQ121" s="319">
        <v>40</v>
      </c>
      <c r="CR121" s="320"/>
      <c r="CS121" s="319">
        <v>0</v>
      </c>
      <c r="CT121" s="320"/>
      <c r="CU121" s="321">
        <v>0</v>
      </c>
      <c r="CV121" s="322">
        <v>0</v>
      </c>
      <c r="CW121" s="319">
        <v>40</v>
      </c>
      <c r="CX121" s="320"/>
      <c r="CY121" s="319">
        <v>0</v>
      </c>
      <c r="CZ121" s="320"/>
      <c r="DA121" s="321">
        <v>0</v>
      </c>
      <c r="DB121" s="322">
        <v>0</v>
      </c>
      <c r="DC121" s="319">
        <v>40</v>
      </c>
      <c r="DD121" s="320"/>
      <c r="DE121" s="319">
        <v>0</v>
      </c>
      <c r="DF121" s="320"/>
      <c r="DG121" s="321">
        <v>0</v>
      </c>
      <c r="DH121" s="322">
        <v>0</v>
      </c>
      <c r="DI121" s="319">
        <v>40</v>
      </c>
      <c r="DJ121" s="320"/>
      <c r="DK121" s="319">
        <v>0</v>
      </c>
      <c r="DL121" s="320"/>
      <c r="DM121" s="321">
        <v>0</v>
      </c>
      <c r="DN121" s="322">
        <v>0</v>
      </c>
      <c r="DO121" s="319">
        <v>40</v>
      </c>
      <c r="DP121" s="320"/>
      <c r="DQ121" s="319">
        <v>0</v>
      </c>
      <c r="DR121" s="320"/>
      <c r="DS121" s="321">
        <v>0</v>
      </c>
      <c r="DT121" s="322">
        <v>0</v>
      </c>
      <c r="DU121" s="319">
        <v>40</v>
      </c>
      <c r="DV121" s="320"/>
      <c r="DW121" s="319">
        <v>0</v>
      </c>
      <c r="DX121" s="320"/>
      <c r="DY121" s="321">
        <v>0</v>
      </c>
      <c r="DZ121" s="322">
        <v>0</v>
      </c>
      <c r="EA121" s="319">
        <v>40</v>
      </c>
      <c r="EB121" s="320"/>
      <c r="EC121" s="319">
        <v>0</v>
      </c>
      <c r="ED121" s="320"/>
      <c r="EE121" s="321">
        <v>0</v>
      </c>
      <c r="EF121" s="322">
        <v>0</v>
      </c>
      <c r="EG121" s="319">
        <v>40</v>
      </c>
      <c r="EH121" s="320"/>
      <c r="EI121" s="319">
        <v>0</v>
      </c>
      <c r="EJ121" s="320"/>
      <c r="EK121" s="321">
        <v>0</v>
      </c>
      <c r="EL121" s="322">
        <v>0</v>
      </c>
      <c r="EM121" s="319">
        <v>40</v>
      </c>
      <c r="EN121" s="320"/>
      <c r="EO121" s="319">
        <v>0</v>
      </c>
      <c r="EP121" s="320"/>
      <c r="EQ121" s="321">
        <v>0</v>
      </c>
      <c r="ER121" s="322">
        <v>0</v>
      </c>
      <c r="ES121" s="319">
        <v>40</v>
      </c>
      <c r="ET121" s="320"/>
      <c r="EU121" s="319">
        <v>0</v>
      </c>
      <c r="EV121" s="320"/>
      <c r="EW121" s="321">
        <v>0</v>
      </c>
      <c r="EX121" s="322">
        <v>0</v>
      </c>
      <c r="EY121" s="319">
        <v>40</v>
      </c>
      <c r="EZ121" s="320"/>
      <c r="FA121" s="319">
        <v>0</v>
      </c>
      <c r="FB121" s="320"/>
      <c r="FC121" s="321">
        <v>0</v>
      </c>
      <c r="FD121" s="322">
        <v>0</v>
      </c>
      <c r="FE121" s="319">
        <v>40</v>
      </c>
      <c r="FF121" s="320"/>
      <c r="FG121" s="319">
        <v>0</v>
      </c>
      <c r="FH121" s="320"/>
      <c r="FI121" s="321">
        <v>0</v>
      </c>
      <c r="FJ121" s="322">
        <v>0</v>
      </c>
      <c r="FK121" s="319">
        <v>40</v>
      </c>
      <c r="FL121" s="320"/>
      <c r="FM121" s="319">
        <v>0</v>
      </c>
      <c r="FN121" s="320"/>
      <c r="FO121" s="321">
        <v>0</v>
      </c>
      <c r="FP121" s="322">
        <v>0</v>
      </c>
      <c r="FQ121" s="319">
        <v>40</v>
      </c>
      <c r="FR121" s="320"/>
      <c r="FS121" s="319">
        <v>0</v>
      </c>
      <c r="FT121" s="320"/>
      <c r="FU121" s="321">
        <v>0</v>
      </c>
      <c r="FV121" s="322">
        <v>0</v>
      </c>
      <c r="FW121" s="319">
        <v>40</v>
      </c>
      <c r="FX121" s="320"/>
      <c r="FY121" s="319">
        <v>0</v>
      </c>
      <c r="FZ121" s="320"/>
      <c r="GA121" s="321">
        <v>0</v>
      </c>
      <c r="GB121" s="322">
        <v>0</v>
      </c>
      <c r="GC121" s="319">
        <v>40</v>
      </c>
      <c r="GD121" s="320"/>
      <c r="GE121" s="319">
        <v>0</v>
      </c>
      <c r="GF121" s="320"/>
      <c r="GG121" s="321">
        <v>0</v>
      </c>
      <c r="GH121" s="322">
        <v>0</v>
      </c>
      <c r="GI121" s="319">
        <v>40</v>
      </c>
      <c r="GJ121" s="320"/>
      <c r="GK121" s="319">
        <v>0</v>
      </c>
      <c r="GL121" s="320"/>
      <c r="GM121" s="321">
        <v>0</v>
      </c>
      <c r="GN121" s="322">
        <v>0</v>
      </c>
      <c r="GO121" s="319">
        <v>40</v>
      </c>
      <c r="GP121" s="320"/>
      <c r="GQ121" s="319">
        <v>0</v>
      </c>
      <c r="GR121" s="320"/>
      <c r="GS121" s="321">
        <v>0</v>
      </c>
      <c r="GT121" s="322">
        <v>0</v>
      </c>
      <c r="GU121" s="319">
        <v>40</v>
      </c>
      <c r="GV121" s="320"/>
      <c r="GW121" s="319">
        <v>0</v>
      </c>
      <c r="GX121" s="320"/>
      <c r="GY121" s="321">
        <v>0</v>
      </c>
      <c r="GZ121" s="322">
        <v>0</v>
      </c>
    </row>
    <row r="122" spans="1:208" s="89" customFormat="1" ht="22.5" customHeight="1" x14ac:dyDescent="0.2">
      <c r="A122" s="287" t="s">
        <v>3268</v>
      </c>
      <c r="B122" s="288" t="s">
        <v>3269</v>
      </c>
      <c r="C122" s="289" t="s">
        <v>3170</v>
      </c>
      <c r="D122" s="290" t="s">
        <v>3270</v>
      </c>
      <c r="E122" s="290" t="s">
        <v>3271</v>
      </c>
      <c r="F122" s="291" t="s">
        <v>3166</v>
      </c>
      <c r="G122" s="291" t="s">
        <v>3167</v>
      </c>
      <c r="H122" s="292" t="s">
        <v>1502</v>
      </c>
      <c r="I122" s="293" t="s">
        <v>1502</v>
      </c>
      <c r="J122" s="340" t="s">
        <v>3168</v>
      </c>
      <c r="K122" s="340" t="s">
        <v>3171</v>
      </c>
      <c r="L122" s="256">
        <f>CONTINUA!BV122</f>
        <v>0</v>
      </c>
      <c r="M122" s="256">
        <f>CONTINUA!BW122</f>
        <v>0</v>
      </c>
      <c r="N122" s="564"/>
      <c r="O122" s="565" t="s">
        <v>3355</v>
      </c>
      <c r="P122" s="566">
        <v>0</v>
      </c>
      <c r="Q122" s="319">
        <v>0</v>
      </c>
      <c r="R122" s="320"/>
      <c r="S122" s="319">
        <v>0</v>
      </c>
      <c r="T122" s="320"/>
      <c r="U122" s="319">
        <v>0</v>
      </c>
      <c r="V122" s="320">
        <v>0</v>
      </c>
      <c r="W122" s="319">
        <v>0</v>
      </c>
      <c r="X122" s="320"/>
      <c r="Y122" s="319">
        <v>0</v>
      </c>
      <c r="Z122" s="320"/>
      <c r="AA122" s="319">
        <v>0</v>
      </c>
      <c r="AB122" s="320">
        <v>0</v>
      </c>
      <c r="AC122" s="319">
        <v>0</v>
      </c>
      <c r="AD122" s="320"/>
      <c r="AE122" s="319">
        <v>0</v>
      </c>
      <c r="AF122" s="320"/>
      <c r="AG122" s="319">
        <v>0</v>
      </c>
      <c r="AH122" s="320">
        <v>0</v>
      </c>
      <c r="AI122" s="319">
        <v>0</v>
      </c>
      <c r="AJ122" s="320"/>
      <c r="AK122" s="319">
        <v>0</v>
      </c>
      <c r="AL122" s="320"/>
      <c r="AM122" s="319">
        <v>0</v>
      </c>
      <c r="AN122" s="320">
        <v>0</v>
      </c>
      <c r="AO122" s="319">
        <v>0</v>
      </c>
      <c r="AP122" s="320"/>
      <c r="AQ122" s="319">
        <v>0</v>
      </c>
      <c r="AR122" s="320"/>
      <c r="AS122" s="319">
        <v>0</v>
      </c>
      <c r="AT122" s="320">
        <v>0</v>
      </c>
      <c r="AU122" s="319">
        <v>0</v>
      </c>
      <c r="AV122" s="320"/>
      <c r="AW122" s="319">
        <v>0</v>
      </c>
      <c r="AX122" s="320"/>
      <c r="AY122" s="319">
        <v>0</v>
      </c>
      <c r="AZ122" s="320">
        <v>0</v>
      </c>
      <c r="BA122" s="319">
        <v>0</v>
      </c>
      <c r="BB122" s="320"/>
      <c r="BC122" s="319">
        <v>0</v>
      </c>
      <c r="BD122" s="320"/>
      <c r="BE122" s="319">
        <v>0</v>
      </c>
      <c r="BF122" s="320">
        <v>0</v>
      </c>
      <c r="BG122" s="319">
        <v>0</v>
      </c>
      <c r="BH122" s="320"/>
      <c r="BI122" s="319">
        <v>0</v>
      </c>
      <c r="BJ122" s="320"/>
      <c r="BK122" s="319">
        <v>0</v>
      </c>
      <c r="BL122" s="320">
        <v>0</v>
      </c>
      <c r="BM122" s="319">
        <v>0</v>
      </c>
      <c r="BN122" s="320"/>
      <c r="BO122" s="319">
        <v>0</v>
      </c>
      <c r="BP122" s="320"/>
      <c r="BQ122" s="319">
        <v>0</v>
      </c>
      <c r="BR122" s="320">
        <v>0</v>
      </c>
      <c r="BS122" s="319">
        <v>0</v>
      </c>
      <c r="BT122" s="320"/>
      <c r="BU122" s="319">
        <v>0</v>
      </c>
      <c r="BV122" s="320"/>
      <c r="BW122" s="319">
        <v>0</v>
      </c>
      <c r="BX122" s="320">
        <v>0</v>
      </c>
      <c r="BY122" s="319">
        <v>0</v>
      </c>
      <c r="BZ122" s="320"/>
      <c r="CA122" s="319">
        <v>0</v>
      </c>
      <c r="CB122" s="320"/>
      <c r="CC122" s="319">
        <v>0</v>
      </c>
      <c r="CD122" s="320">
        <v>0</v>
      </c>
      <c r="CE122" s="319">
        <v>0</v>
      </c>
      <c r="CF122" s="320"/>
      <c r="CG122" s="319">
        <v>0</v>
      </c>
      <c r="CH122" s="320"/>
      <c r="CI122" s="319">
        <v>0</v>
      </c>
      <c r="CJ122" s="320">
        <v>0</v>
      </c>
      <c r="CK122" s="319">
        <v>0</v>
      </c>
      <c r="CL122" s="320"/>
      <c r="CM122" s="319">
        <v>0</v>
      </c>
      <c r="CN122" s="320"/>
      <c r="CO122" s="319">
        <v>0</v>
      </c>
      <c r="CP122" s="320">
        <v>0</v>
      </c>
      <c r="CQ122" s="319">
        <v>0</v>
      </c>
      <c r="CR122" s="320"/>
      <c r="CS122" s="319">
        <v>0</v>
      </c>
      <c r="CT122" s="320"/>
      <c r="CU122" s="319">
        <v>0</v>
      </c>
      <c r="CV122" s="320">
        <v>0</v>
      </c>
      <c r="CW122" s="319">
        <v>0</v>
      </c>
      <c r="CX122" s="320"/>
      <c r="CY122" s="319">
        <v>0</v>
      </c>
      <c r="CZ122" s="320"/>
      <c r="DA122" s="319">
        <v>0</v>
      </c>
      <c r="DB122" s="320">
        <v>0</v>
      </c>
      <c r="DC122" s="319">
        <v>0</v>
      </c>
      <c r="DD122" s="320"/>
      <c r="DE122" s="319">
        <v>0</v>
      </c>
      <c r="DF122" s="320"/>
      <c r="DG122" s="319">
        <v>0</v>
      </c>
      <c r="DH122" s="320">
        <v>0</v>
      </c>
      <c r="DI122" s="319">
        <v>0</v>
      </c>
      <c r="DJ122" s="320"/>
      <c r="DK122" s="319">
        <v>0</v>
      </c>
      <c r="DL122" s="320"/>
      <c r="DM122" s="319">
        <v>0</v>
      </c>
      <c r="DN122" s="320">
        <v>0</v>
      </c>
      <c r="DO122" s="319">
        <v>0</v>
      </c>
      <c r="DP122" s="320"/>
      <c r="DQ122" s="319">
        <v>0</v>
      </c>
      <c r="DR122" s="320"/>
      <c r="DS122" s="319">
        <v>0</v>
      </c>
      <c r="DT122" s="320">
        <v>0</v>
      </c>
      <c r="DU122" s="319">
        <v>0</v>
      </c>
      <c r="DV122" s="320"/>
      <c r="DW122" s="319">
        <v>0</v>
      </c>
      <c r="DX122" s="320"/>
      <c r="DY122" s="319">
        <v>0</v>
      </c>
      <c r="DZ122" s="320">
        <v>0</v>
      </c>
      <c r="EA122" s="319">
        <v>0</v>
      </c>
      <c r="EB122" s="320"/>
      <c r="EC122" s="319">
        <v>0</v>
      </c>
      <c r="ED122" s="320"/>
      <c r="EE122" s="319">
        <v>0</v>
      </c>
      <c r="EF122" s="320">
        <v>0</v>
      </c>
      <c r="EG122" s="319">
        <v>0</v>
      </c>
      <c r="EH122" s="320"/>
      <c r="EI122" s="319">
        <v>0</v>
      </c>
      <c r="EJ122" s="320"/>
      <c r="EK122" s="319">
        <v>0</v>
      </c>
      <c r="EL122" s="320">
        <v>0</v>
      </c>
      <c r="EM122" s="319">
        <v>0</v>
      </c>
      <c r="EN122" s="320"/>
      <c r="EO122" s="319">
        <v>0</v>
      </c>
      <c r="EP122" s="320"/>
      <c r="EQ122" s="319">
        <v>0</v>
      </c>
      <c r="ER122" s="320">
        <v>0</v>
      </c>
      <c r="ES122" s="319">
        <v>0</v>
      </c>
      <c r="ET122" s="320"/>
      <c r="EU122" s="319">
        <v>0</v>
      </c>
      <c r="EV122" s="320"/>
      <c r="EW122" s="319">
        <v>0</v>
      </c>
      <c r="EX122" s="320">
        <v>0</v>
      </c>
      <c r="EY122" s="319">
        <v>0</v>
      </c>
      <c r="EZ122" s="320"/>
      <c r="FA122" s="319">
        <v>0</v>
      </c>
      <c r="FB122" s="320"/>
      <c r="FC122" s="319">
        <v>0</v>
      </c>
      <c r="FD122" s="320">
        <v>0</v>
      </c>
      <c r="FE122" s="319">
        <v>0</v>
      </c>
      <c r="FF122" s="320"/>
      <c r="FG122" s="319">
        <v>0</v>
      </c>
      <c r="FH122" s="320"/>
      <c r="FI122" s="319">
        <v>0</v>
      </c>
      <c r="FJ122" s="320">
        <v>0</v>
      </c>
      <c r="FK122" s="319">
        <v>0</v>
      </c>
      <c r="FL122" s="320"/>
      <c r="FM122" s="319">
        <v>0</v>
      </c>
      <c r="FN122" s="320"/>
      <c r="FO122" s="319">
        <v>0</v>
      </c>
      <c r="FP122" s="320">
        <v>0</v>
      </c>
      <c r="FQ122" s="319">
        <v>0</v>
      </c>
      <c r="FR122" s="320"/>
      <c r="FS122" s="319">
        <v>0</v>
      </c>
      <c r="FT122" s="320"/>
      <c r="FU122" s="319">
        <v>0</v>
      </c>
      <c r="FV122" s="320">
        <v>0</v>
      </c>
      <c r="FW122" s="319">
        <v>0</v>
      </c>
      <c r="FX122" s="320"/>
      <c r="FY122" s="319">
        <v>0</v>
      </c>
      <c r="FZ122" s="320"/>
      <c r="GA122" s="319">
        <v>0</v>
      </c>
      <c r="GB122" s="320">
        <v>0</v>
      </c>
      <c r="GC122" s="319">
        <v>0</v>
      </c>
      <c r="GD122" s="320"/>
      <c r="GE122" s="319">
        <v>0</v>
      </c>
      <c r="GF122" s="320"/>
      <c r="GG122" s="319">
        <v>0</v>
      </c>
      <c r="GH122" s="320">
        <v>0</v>
      </c>
      <c r="GI122" s="319">
        <v>0</v>
      </c>
      <c r="GJ122" s="320"/>
      <c r="GK122" s="319">
        <v>0</v>
      </c>
      <c r="GL122" s="320"/>
      <c r="GM122" s="319">
        <v>0</v>
      </c>
      <c r="GN122" s="320">
        <v>0</v>
      </c>
      <c r="GO122" s="319">
        <v>0</v>
      </c>
      <c r="GP122" s="320"/>
      <c r="GQ122" s="319">
        <v>0</v>
      </c>
      <c r="GR122" s="320"/>
      <c r="GS122" s="319">
        <v>0</v>
      </c>
      <c r="GT122" s="320">
        <v>0</v>
      </c>
      <c r="GU122" s="319">
        <v>0</v>
      </c>
      <c r="GV122" s="320"/>
      <c r="GW122" s="319">
        <v>0</v>
      </c>
      <c r="GX122" s="320"/>
      <c r="GY122" s="319">
        <v>0</v>
      </c>
      <c r="GZ122" s="320">
        <v>0</v>
      </c>
    </row>
    <row r="123" spans="1:208" s="89" customFormat="1" ht="22.5" customHeight="1" x14ac:dyDescent="0.2">
      <c r="A123" s="287" t="s">
        <v>3268</v>
      </c>
      <c r="B123" s="288" t="s">
        <v>3269</v>
      </c>
      <c r="C123" s="294" t="s">
        <v>3170</v>
      </c>
      <c r="D123" s="290" t="s">
        <v>3270</v>
      </c>
      <c r="E123" s="290" t="s">
        <v>3271</v>
      </c>
      <c r="F123" s="295" t="s">
        <v>3166</v>
      </c>
      <c r="G123" s="295" t="s">
        <v>3167</v>
      </c>
      <c r="H123" s="292" t="s">
        <v>1502</v>
      </c>
      <c r="I123" s="293" t="s">
        <v>1502</v>
      </c>
      <c r="J123" s="340" t="s">
        <v>3168</v>
      </c>
      <c r="K123" s="341" t="s">
        <v>3172</v>
      </c>
      <c r="L123" s="256">
        <f>CONTINUA!BV123</f>
        <v>0</v>
      </c>
      <c r="M123" s="256">
        <f>CONTINUA!BW123</f>
        <v>0</v>
      </c>
      <c r="N123" s="564"/>
      <c r="O123" s="565" t="s">
        <v>3355</v>
      </c>
      <c r="P123" s="566">
        <v>0</v>
      </c>
      <c r="Q123" s="319">
        <v>0</v>
      </c>
      <c r="R123" s="320"/>
      <c r="S123" s="319">
        <v>0</v>
      </c>
      <c r="T123" s="320"/>
      <c r="U123" s="319">
        <v>0</v>
      </c>
      <c r="V123" s="320">
        <v>0</v>
      </c>
      <c r="W123" s="319">
        <v>0</v>
      </c>
      <c r="X123" s="320"/>
      <c r="Y123" s="319">
        <v>0</v>
      </c>
      <c r="Z123" s="320"/>
      <c r="AA123" s="319">
        <v>0</v>
      </c>
      <c r="AB123" s="320">
        <v>0</v>
      </c>
      <c r="AC123" s="319">
        <v>0</v>
      </c>
      <c r="AD123" s="320"/>
      <c r="AE123" s="319">
        <v>0</v>
      </c>
      <c r="AF123" s="320"/>
      <c r="AG123" s="319">
        <v>0</v>
      </c>
      <c r="AH123" s="320">
        <v>0</v>
      </c>
      <c r="AI123" s="319">
        <v>0</v>
      </c>
      <c r="AJ123" s="320"/>
      <c r="AK123" s="319">
        <v>0</v>
      </c>
      <c r="AL123" s="320"/>
      <c r="AM123" s="319">
        <v>0</v>
      </c>
      <c r="AN123" s="320">
        <v>0</v>
      </c>
      <c r="AO123" s="319">
        <v>0</v>
      </c>
      <c r="AP123" s="320"/>
      <c r="AQ123" s="319">
        <v>0</v>
      </c>
      <c r="AR123" s="320"/>
      <c r="AS123" s="319">
        <v>0</v>
      </c>
      <c r="AT123" s="320">
        <v>0</v>
      </c>
      <c r="AU123" s="319">
        <v>0</v>
      </c>
      <c r="AV123" s="320"/>
      <c r="AW123" s="319">
        <v>0</v>
      </c>
      <c r="AX123" s="320"/>
      <c r="AY123" s="319">
        <v>0</v>
      </c>
      <c r="AZ123" s="320">
        <v>0</v>
      </c>
      <c r="BA123" s="319">
        <v>0</v>
      </c>
      <c r="BB123" s="320"/>
      <c r="BC123" s="319">
        <v>0</v>
      </c>
      <c r="BD123" s="320"/>
      <c r="BE123" s="319">
        <v>0</v>
      </c>
      <c r="BF123" s="320">
        <v>0</v>
      </c>
      <c r="BG123" s="319">
        <v>0</v>
      </c>
      <c r="BH123" s="320"/>
      <c r="BI123" s="319">
        <v>0</v>
      </c>
      <c r="BJ123" s="320"/>
      <c r="BK123" s="319">
        <v>0</v>
      </c>
      <c r="BL123" s="320">
        <v>0</v>
      </c>
      <c r="BM123" s="319">
        <v>0</v>
      </c>
      <c r="BN123" s="320"/>
      <c r="BO123" s="319">
        <v>0</v>
      </c>
      <c r="BP123" s="320"/>
      <c r="BQ123" s="319">
        <v>0</v>
      </c>
      <c r="BR123" s="320">
        <v>0</v>
      </c>
      <c r="BS123" s="319">
        <v>0</v>
      </c>
      <c r="BT123" s="320"/>
      <c r="BU123" s="319">
        <v>0</v>
      </c>
      <c r="BV123" s="320"/>
      <c r="BW123" s="319">
        <v>0</v>
      </c>
      <c r="BX123" s="320">
        <v>0</v>
      </c>
      <c r="BY123" s="319">
        <v>0</v>
      </c>
      <c r="BZ123" s="320"/>
      <c r="CA123" s="319">
        <v>0</v>
      </c>
      <c r="CB123" s="320"/>
      <c r="CC123" s="319">
        <v>0</v>
      </c>
      <c r="CD123" s="320">
        <v>0</v>
      </c>
      <c r="CE123" s="319">
        <v>0</v>
      </c>
      <c r="CF123" s="320"/>
      <c r="CG123" s="319">
        <v>0</v>
      </c>
      <c r="CH123" s="320"/>
      <c r="CI123" s="319">
        <v>0</v>
      </c>
      <c r="CJ123" s="320">
        <v>0</v>
      </c>
      <c r="CK123" s="319">
        <v>0</v>
      </c>
      <c r="CL123" s="320"/>
      <c r="CM123" s="319">
        <v>0</v>
      </c>
      <c r="CN123" s="320"/>
      <c r="CO123" s="319">
        <v>0</v>
      </c>
      <c r="CP123" s="320">
        <v>0</v>
      </c>
      <c r="CQ123" s="319">
        <v>0</v>
      </c>
      <c r="CR123" s="320"/>
      <c r="CS123" s="319">
        <v>0</v>
      </c>
      <c r="CT123" s="320"/>
      <c r="CU123" s="319">
        <v>0</v>
      </c>
      <c r="CV123" s="320">
        <v>0</v>
      </c>
      <c r="CW123" s="319">
        <v>0</v>
      </c>
      <c r="CX123" s="320"/>
      <c r="CY123" s="319">
        <v>0</v>
      </c>
      <c r="CZ123" s="320"/>
      <c r="DA123" s="319">
        <v>0</v>
      </c>
      <c r="DB123" s="320">
        <v>0</v>
      </c>
      <c r="DC123" s="319">
        <v>0</v>
      </c>
      <c r="DD123" s="320"/>
      <c r="DE123" s="319">
        <v>0</v>
      </c>
      <c r="DF123" s="320"/>
      <c r="DG123" s="319">
        <v>0</v>
      </c>
      <c r="DH123" s="320">
        <v>0</v>
      </c>
      <c r="DI123" s="319">
        <v>0</v>
      </c>
      <c r="DJ123" s="320"/>
      <c r="DK123" s="319">
        <v>0</v>
      </c>
      <c r="DL123" s="320"/>
      <c r="DM123" s="319">
        <v>0</v>
      </c>
      <c r="DN123" s="320">
        <v>0</v>
      </c>
      <c r="DO123" s="319">
        <v>0</v>
      </c>
      <c r="DP123" s="320"/>
      <c r="DQ123" s="319">
        <v>0</v>
      </c>
      <c r="DR123" s="320"/>
      <c r="DS123" s="319">
        <v>0</v>
      </c>
      <c r="DT123" s="320">
        <v>0</v>
      </c>
      <c r="DU123" s="319">
        <v>0</v>
      </c>
      <c r="DV123" s="320"/>
      <c r="DW123" s="319">
        <v>0</v>
      </c>
      <c r="DX123" s="320"/>
      <c r="DY123" s="319">
        <v>0</v>
      </c>
      <c r="DZ123" s="320">
        <v>0</v>
      </c>
      <c r="EA123" s="319">
        <v>0</v>
      </c>
      <c r="EB123" s="320"/>
      <c r="EC123" s="319">
        <v>0</v>
      </c>
      <c r="ED123" s="320"/>
      <c r="EE123" s="319">
        <v>0</v>
      </c>
      <c r="EF123" s="320">
        <v>0</v>
      </c>
      <c r="EG123" s="319">
        <v>0</v>
      </c>
      <c r="EH123" s="320"/>
      <c r="EI123" s="319">
        <v>0</v>
      </c>
      <c r="EJ123" s="320"/>
      <c r="EK123" s="319">
        <v>0</v>
      </c>
      <c r="EL123" s="320">
        <v>0</v>
      </c>
      <c r="EM123" s="319">
        <v>0</v>
      </c>
      <c r="EN123" s="320"/>
      <c r="EO123" s="319">
        <v>0</v>
      </c>
      <c r="EP123" s="320"/>
      <c r="EQ123" s="319">
        <v>0</v>
      </c>
      <c r="ER123" s="320">
        <v>0</v>
      </c>
      <c r="ES123" s="319">
        <v>0</v>
      </c>
      <c r="ET123" s="320"/>
      <c r="EU123" s="319">
        <v>0</v>
      </c>
      <c r="EV123" s="320"/>
      <c r="EW123" s="319">
        <v>0</v>
      </c>
      <c r="EX123" s="320">
        <v>0</v>
      </c>
      <c r="EY123" s="319">
        <v>0</v>
      </c>
      <c r="EZ123" s="320"/>
      <c r="FA123" s="319">
        <v>0</v>
      </c>
      <c r="FB123" s="320"/>
      <c r="FC123" s="319">
        <v>0</v>
      </c>
      <c r="FD123" s="320">
        <v>0</v>
      </c>
      <c r="FE123" s="319">
        <v>0</v>
      </c>
      <c r="FF123" s="320"/>
      <c r="FG123" s="319">
        <v>0</v>
      </c>
      <c r="FH123" s="320"/>
      <c r="FI123" s="319">
        <v>0</v>
      </c>
      <c r="FJ123" s="320">
        <v>0</v>
      </c>
      <c r="FK123" s="319">
        <v>0</v>
      </c>
      <c r="FL123" s="320"/>
      <c r="FM123" s="319">
        <v>0</v>
      </c>
      <c r="FN123" s="320"/>
      <c r="FO123" s="319">
        <v>0</v>
      </c>
      <c r="FP123" s="320">
        <v>0</v>
      </c>
      <c r="FQ123" s="319">
        <v>0</v>
      </c>
      <c r="FR123" s="320"/>
      <c r="FS123" s="319">
        <v>0</v>
      </c>
      <c r="FT123" s="320"/>
      <c r="FU123" s="319">
        <v>0</v>
      </c>
      <c r="FV123" s="320">
        <v>0</v>
      </c>
      <c r="FW123" s="319">
        <v>0</v>
      </c>
      <c r="FX123" s="320"/>
      <c r="FY123" s="319">
        <v>0</v>
      </c>
      <c r="FZ123" s="320"/>
      <c r="GA123" s="319">
        <v>0</v>
      </c>
      <c r="GB123" s="320">
        <v>0</v>
      </c>
      <c r="GC123" s="319">
        <v>0</v>
      </c>
      <c r="GD123" s="320"/>
      <c r="GE123" s="319">
        <v>0</v>
      </c>
      <c r="GF123" s="320"/>
      <c r="GG123" s="319">
        <v>0</v>
      </c>
      <c r="GH123" s="320">
        <v>0</v>
      </c>
      <c r="GI123" s="319">
        <v>0</v>
      </c>
      <c r="GJ123" s="320"/>
      <c r="GK123" s="319">
        <v>0</v>
      </c>
      <c r="GL123" s="320"/>
      <c r="GM123" s="319">
        <v>0</v>
      </c>
      <c r="GN123" s="320">
        <v>0</v>
      </c>
      <c r="GO123" s="319">
        <v>0</v>
      </c>
      <c r="GP123" s="320"/>
      <c r="GQ123" s="319">
        <v>0</v>
      </c>
      <c r="GR123" s="320"/>
      <c r="GS123" s="319">
        <v>0</v>
      </c>
      <c r="GT123" s="320">
        <v>0</v>
      </c>
      <c r="GU123" s="319">
        <v>0</v>
      </c>
      <c r="GV123" s="320"/>
      <c r="GW123" s="319">
        <v>0</v>
      </c>
      <c r="GX123" s="320"/>
      <c r="GY123" s="319">
        <v>0</v>
      </c>
      <c r="GZ123" s="320">
        <v>0</v>
      </c>
    </row>
    <row r="124" spans="1:208" s="89" customFormat="1" ht="22.5" customHeight="1" x14ac:dyDescent="0.2">
      <c r="A124" s="287" t="s">
        <v>3268</v>
      </c>
      <c r="B124" s="288" t="s">
        <v>3269</v>
      </c>
      <c r="C124" s="294" t="s">
        <v>3170</v>
      </c>
      <c r="D124" s="290" t="s">
        <v>3270</v>
      </c>
      <c r="E124" s="290" t="s">
        <v>3271</v>
      </c>
      <c r="F124" s="295" t="s">
        <v>3166</v>
      </c>
      <c r="G124" s="295" t="s">
        <v>3167</v>
      </c>
      <c r="H124" s="292" t="s">
        <v>1502</v>
      </c>
      <c r="I124" s="293" t="s">
        <v>1502</v>
      </c>
      <c r="J124" s="340" t="s">
        <v>3168</v>
      </c>
      <c r="K124" s="342" t="s">
        <v>3173</v>
      </c>
      <c r="L124" s="256">
        <f>CONTINUA!BV124</f>
        <v>0</v>
      </c>
      <c r="M124" s="256">
        <f>CONTINUA!BW124</f>
        <v>0</v>
      </c>
      <c r="N124" s="564"/>
      <c r="O124" s="565" t="s">
        <v>3355</v>
      </c>
      <c r="P124" s="566">
        <v>0</v>
      </c>
      <c r="Q124" s="319">
        <v>0</v>
      </c>
      <c r="R124" s="320"/>
      <c r="S124" s="319">
        <v>0</v>
      </c>
      <c r="T124" s="320"/>
      <c r="U124" s="319">
        <v>0</v>
      </c>
      <c r="V124" s="320">
        <v>0</v>
      </c>
      <c r="W124" s="319">
        <v>0</v>
      </c>
      <c r="X124" s="320"/>
      <c r="Y124" s="319">
        <v>0</v>
      </c>
      <c r="Z124" s="320"/>
      <c r="AA124" s="319">
        <v>0</v>
      </c>
      <c r="AB124" s="320">
        <v>0</v>
      </c>
      <c r="AC124" s="319">
        <v>0</v>
      </c>
      <c r="AD124" s="320"/>
      <c r="AE124" s="319">
        <v>0</v>
      </c>
      <c r="AF124" s="320"/>
      <c r="AG124" s="319">
        <v>0</v>
      </c>
      <c r="AH124" s="320">
        <v>0</v>
      </c>
      <c r="AI124" s="319">
        <v>0</v>
      </c>
      <c r="AJ124" s="320"/>
      <c r="AK124" s="319">
        <v>0</v>
      </c>
      <c r="AL124" s="320"/>
      <c r="AM124" s="319">
        <v>0</v>
      </c>
      <c r="AN124" s="320">
        <v>0</v>
      </c>
      <c r="AO124" s="319">
        <v>0</v>
      </c>
      <c r="AP124" s="320"/>
      <c r="AQ124" s="319">
        <v>0</v>
      </c>
      <c r="AR124" s="320"/>
      <c r="AS124" s="319">
        <v>0</v>
      </c>
      <c r="AT124" s="320">
        <v>0</v>
      </c>
      <c r="AU124" s="319">
        <v>0</v>
      </c>
      <c r="AV124" s="320"/>
      <c r="AW124" s="319">
        <v>0</v>
      </c>
      <c r="AX124" s="320"/>
      <c r="AY124" s="319">
        <v>0</v>
      </c>
      <c r="AZ124" s="320">
        <v>0</v>
      </c>
      <c r="BA124" s="319">
        <v>0</v>
      </c>
      <c r="BB124" s="320"/>
      <c r="BC124" s="319">
        <v>0</v>
      </c>
      <c r="BD124" s="320"/>
      <c r="BE124" s="319">
        <v>0</v>
      </c>
      <c r="BF124" s="320">
        <v>0</v>
      </c>
      <c r="BG124" s="319">
        <v>0</v>
      </c>
      <c r="BH124" s="320"/>
      <c r="BI124" s="319">
        <v>0</v>
      </c>
      <c r="BJ124" s="320"/>
      <c r="BK124" s="319">
        <v>0</v>
      </c>
      <c r="BL124" s="320">
        <v>0</v>
      </c>
      <c r="BM124" s="319">
        <v>0</v>
      </c>
      <c r="BN124" s="320"/>
      <c r="BO124" s="319">
        <v>0</v>
      </c>
      <c r="BP124" s="320"/>
      <c r="BQ124" s="319">
        <v>0</v>
      </c>
      <c r="BR124" s="320">
        <v>0</v>
      </c>
      <c r="BS124" s="319">
        <v>0</v>
      </c>
      <c r="BT124" s="320"/>
      <c r="BU124" s="319">
        <v>0</v>
      </c>
      <c r="BV124" s="320"/>
      <c r="BW124" s="319">
        <v>0</v>
      </c>
      <c r="BX124" s="320">
        <v>0</v>
      </c>
      <c r="BY124" s="319">
        <v>0</v>
      </c>
      <c r="BZ124" s="320"/>
      <c r="CA124" s="319">
        <v>0</v>
      </c>
      <c r="CB124" s="320"/>
      <c r="CC124" s="319">
        <v>0</v>
      </c>
      <c r="CD124" s="320">
        <v>0</v>
      </c>
      <c r="CE124" s="319">
        <v>0</v>
      </c>
      <c r="CF124" s="320"/>
      <c r="CG124" s="319">
        <v>0</v>
      </c>
      <c r="CH124" s="320"/>
      <c r="CI124" s="319">
        <v>0</v>
      </c>
      <c r="CJ124" s="320">
        <v>0</v>
      </c>
      <c r="CK124" s="319">
        <v>0</v>
      </c>
      <c r="CL124" s="320"/>
      <c r="CM124" s="319">
        <v>0</v>
      </c>
      <c r="CN124" s="320"/>
      <c r="CO124" s="319">
        <v>0</v>
      </c>
      <c r="CP124" s="320">
        <v>0</v>
      </c>
      <c r="CQ124" s="319">
        <v>0</v>
      </c>
      <c r="CR124" s="320"/>
      <c r="CS124" s="319">
        <v>0</v>
      </c>
      <c r="CT124" s="320"/>
      <c r="CU124" s="319">
        <v>0</v>
      </c>
      <c r="CV124" s="320">
        <v>0</v>
      </c>
      <c r="CW124" s="319">
        <v>0</v>
      </c>
      <c r="CX124" s="320"/>
      <c r="CY124" s="319">
        <v>0</v>
      </c>
      <c r="CZ124" s="320"/>
      <c r="DA124" s="319">
        <v>0</v>
      </c>
      <c r="DB124" s="320">
        <v>0</v>
      </c>
      <c r="DC124" s="319">
        <v>0</v>
      </c>
      <c r="DD124" s="320"/>
      <c r="DE124" s="319">
        <v>0</v>
      </c>
      <c r="DF124" s="320"/>
      <c r="DG124" s="319">
        <v>0</v>
      </c>
      <c r="DH124" s="320">
        <v>0</v>
      </c>
      <c r="DI124" s="319">
        <v>0</v>
      </c>
      <c r="DJ124" s="320"/>
      <c r="DK124" s="319">
        <v>0</v>
      </c>
      <c r="DL124" s="320"/>
      <c r="DM124" s="319">
        <v>0</v>
      </c>
      <c r="DN124" s="320">
        <v>0</v>
      </c>
      <c r="DO124" s="319">
        <v>0</v>
      </c>
      <c r="DP124" s="320"/>
      <c r="DQ124" s="319">
        <v>0</v>
      </c>
      <c r="DR124" s="320"/>
      <c r="DS124" s="319">
        <v>0</v>
      </c>
      <c r="DT124" s="320">
        <v>0</v>
      </c>
      <c r="DU124" s="319">
        <v>0</v>
      </c>
      <c r="DV124" s="320"/>
      <c r="DW124" s="319">
        <v>0</v>
      </c>
      <c r="DX124" s="320"/>
      <c r="DY124" s="319">
        <v>0</v>
      </c>
      <c r="DZ124" s="320">
        <v>0</v>
      </c>
      <c r="EA124" s="319">
        <v>0</v>
      </c>
      <c r="EB124" s="320"/>
      <c r="EC124" s="319">
        <v>0</v>
      </c>
      <c r="ED124" s="320"/>
      <c r="EE124" s="319">
        <v>0</v>
      </c>
      <c r="EF124" s="320">
        <v>0</v>
      </c>
      <c r="EG124" s="319">
        <v>0</v>
      </c>
      <c r="EH124" s="320"/>
      <c r="EI124" s="319">
        <v>0</v>
      </c>
      <c r="EJ124" s="320"/>
      <c r="EK124" s="319">
        <v>0</v>
      </c>
      <c r="EL124" s="320">
        <v>0</v>
      </c>
      <c r="EM124" s="319">
        <v>0</v>
      </c>
      <c r="EN124" s="320"/>
      <c r="EO124" s="319">
        <v>0</v>
      </c>
      <c r="EP124" s="320"/>
      <c r="EQ124" s="319">
        <v>0</v>
      </c>
      <c r="ER124" s="320">
        <v>0</v>
      </c>
      <c r="ES124" s="319">
        <v>0</v>
      </c>
      <c r="ET124" s="320"/>
      <c r="EU124" s="319">
        <v>0</v>
      </c>
      <c r="EV124" s="320"/>
      <c r="EW124" s="319">
        <v>0</v>
      </c>
      <c r="EX124" s="320">
        <v>0</v>
      </c>
      <c r="EY124" s="319">
        <v>0</v>
      </c>
      <c r="EZ124" s="320"/>
      <c r="FA124" s="319">
        <v>0</v>
      </c>
      <c r="FB124" s="320"/>
      <c r="FC124" s="319">
        <v>0</v>
      </c>
      <c r="FD124" s="320">
        <v>0</v>
      </c>
      <c r="FE124" s="319">
        <v>0</v>
      </c>
      <c r="FF124" s="320"/>
      <c r="FG124" s="319">
        <v>0</v>
      </c>
      <c r="FH124" s="320"/>
      <c r="FI124" s="319">
        <v>0</v>
      </c>
      <c r="FJ124" s="320">
        <v>0</v>
      </c>
      <c r="FK124" s="319">
        <v>0</v>
      </c>
      <c r="FL124" s="320"/>
      <c r="FM124" s="319">
        <v>0</v>
      </c>
      <c r="FN124" s="320"/>
      <c r="FO124" s="319">
        <v>0</v>
      </c>
      <c r="FP124" s="320">
        <v>0</v>
      </c>
      <c r="FQ124" s="319">
        <v>0</v>
      </c>
      <c r="FR124" s="320"/>
      <c r="FS124" s="319">
        <v>0</v>
      </c>
      <c r="FT124" s="320"/>
      <c r="FU124" s="319">
        <v>0</v>
      </c>
      <c r="FV124" s="320">
        <v>0</v>
      </c>
      <c r="FW124" s="319">
        <v>0</v>
      </c>
      <c r="FX124" s="320"/>
      <c r="FY124" s="319">
        <v>0</v>
      </c>
      <c r="FZ124" s="320"/>
      <c r="GA124" s="319">
        <v>0</v>
      </c>
      <c r="GB124" s="320">
        <v>0</v>
      </c>
      <c r="GC124" s="319">
        <v>0</v>
      </c>
      <c r="GD124" s="320"/>
      <c r="GE124" s="319">
        <v>0</v>
      </c>
      <c r="GF124" s="320"/>
      <c r="GG124" s="319">
        <v>0</v>
      </c>
      <c r="GH124" s="320">
        <v>0</v>
      </c>
      <c r="GI124" s="319">
        <v>0</v>
      </c>
      <c r="GJ124" s="320"/>
      <c r="GK124" s="319">
        <v>0</v>
      </c>
      <c r="GL124" s="320"/>
      <c r="GM124" s="319">
        <v>0</v>
      </c>
      <c r="GN124" s="320">
        <v>0</v>
      </c>
      <c r="GO124" s="319">
        <v>0</v>
      </c>
      <c r="GP124" s="320"/>
      <c r="GQ124" s="319">
        <v>0</v>
      </c>
      <c r="GR124" s="320"/>
      <c r="GS124" s="319">
        <v>0</v>
      </c>
      <c r="GT124" s="320">
        <v>0</v>
      </c>
      <c r="GU124" s="319">
        <v>0</v>
      </c>
      <c r="GV124" s="320"/>
      <c r="GW124" s="319">
        <v>0</v>
      </c>
      <c r="GX124" s="320"/>
      <c r="GY124" s="319">
        <v>0</v>
      </c>
      <c r="GZ124" s="320">
        <v>0</v>
      </c>
    </row>
    <row r="125" spans="1:208" s="89" customFormat="1" ht="22.5" customHeight="1" thickBot="1" x14ac:dyDescent="0.25">
      <c r="A125" s="296" t="s">
        <v>3268</v>
      </c>
      <c r="B125" s="297" t="s">
        <v>3269</v>
      </c>
      <c r="C125" s="298" t="s">
        <v>3170</v>
      </c>
      <c r="D125" s="299" t="s">
        <v>3270</v>
      </c>
      <c r="E125" s="299" t="s">
        <v>3271</v>
      </c>
      <c r="F125" s="300" t="s">
        <v>3166</v>
      </c>
      <c r="G125" s="300" t="s">
        <v>3167</v>
      </c>
      <c r="H125" s="301" t="s">
        <v>1502</v>
      </c>
      <c r="I125" s="302" t="s">
        <v>1502</v>
      </c>
      <c r="J125" s="340" t="s">
        <v>3168</v>
      </c>
      <c r="K125" s="343" t="s">
        <v>53</v>
      </c>
      <c r="L125" s="256">
        <f>CONTINUA!BV125</f>
        <v>0</v>
      </c>
      <c r="M125" s="256">
        <f>CONTINUA!BW125</f>
        <v>0</v>
      </c>
      <c r="N125" s="564"/>
      <c r="O125" s="565" t="s">
        <v>3355</v>
      </c>
      <c r="P125" s="566">
        <v>0</v>
      </c>
      <c r="Q125" s="319">
        <v>0</v>
      </c>
      <c r="R125" s="320"/>
      <c r="S125" s="319">
        <v>0</v>
      </c>
      <c r="T125" s="320"/>
      <c r="U125" s="321">
        <v>0</v>
      </c>
      <c r="V125" s="322">
        <v>0</v>
      </c>
      <c r="W125" s="319">
        <v>0</v>
      </c>
      <c r="X125" s="320"/>
      <c r="Y125" s="319">
        <v>0</v>
      </c>
      <c r="Z125" s="320"/>
      <c r="AA125" s="321">
        <v>0</v>
      </c>
      <c r="AB125" s="322">
        <v>0</v>
      </c>
      <c r="AC125" s="319">
        <v>0</v>
      </c>
      <c r="AD125" s="320"/>
      <c r="AE125" s="319">
        <v>0</v>
      </c>
      <c r="AF125" s="320"/>
      <c r="AG125" s="321">
        <v>0</v>
      </c>
      <c r="AH125" s="322">
        <v>0</v>
      </c>
      <c r="AI125" s="319">
        <v>0</v>
      </c>
      <c r="AJ125" s="320"/>
      <c r="AK125" s="319">
        <v>0</v>
      </c>
      <c r="AL125" s="320"/>
      <c r="AM125" s="321">
        <v>0</v>
      </c>
      <c r="AN125" s="322">
        <v>0</v>
      </c>
      <c r="AO125" s="319">
        <v>0</v>
      </c>
      <c r="AP125" s="320"/>
      <c r="AQ125" s="319">
        <v>0</v>
      </c>
      <c r="AR125" s="320"/>
      <c r="AS125" s="321">
        <v>0</v>
      </c>
      <c r="AT125" s="322">
        <v>0</v>
      </c>
      <c r="AU125" s="319">
        <v>0</v>
      </c>
      <c r="AV125" s="320"/>
      <c r="AW125" s="319">
        <v>0</v>
      </c>
      <c r="AX125" s="320"/>
      <c r="AY125" s="321">
        <v>0</v>
      </c>
      <c r="AZ125" s="322">
        <v>0</v>
      </c>
      <c r="BA125" s="319">
        <v>0</v>
      </c>
      <c r="BB125" s="320"/>
      <c r="BC125" s="319">
        <v>0</v>
      </c>
      <c r="BD125" s="320"/>
      <c r="BE125" s="321">
        <v>0</v>
      </c>
      <c r="BF125" s="322">
        <v>0</v>
      </c>
      <c r="BG125" s="319">
        <v>0</v>
      </c>
      <c r="BH125" s="320"/>
      <c r="BI125" s="319">
        <v>0</v>
      </c>
      <c r="BJ125" s="320"/>
      <c r="BK125" s="321">
        <v>0</v>
      </c>
      <c r="BL125" s="322">
        <v>0</v>
      </c>
      <c r="BM125" s="319">
        <v>0</v>
      </c>
      <c r="BN125" s="320"/>
      <c r="BO125" s="319">
        <v>0</v>
      </c>
      <c r="BP125" s="320"/>
      <c r="BQ125" s="321">
        <v>0</v>
      </c>
      <c r="BR125" s="322">
        <v>0</v>
      </c>
      <c r="BS125" s="319">
        <v>0</v>
      </c>
      <c r="BT125" s="320"/>
      <c r="BU125" s="319">
        <v>0</v>
      </c>
      <c r="BV125" s="320"/>
      <c r="BW125" s="321">
        <v>0</v>
      </c>
      <c r="BX125" s="322">
        <v>0</v>
      </c>
      <c r="BY125" s="319">
        <v>0</v>
      </c>
      <c r="BZ125" s="320"/>
      <c r="CA125" s="319">
        <v>0</v>
      </c>
      <c r="CB125" s="320"/>
      <c r="CC125" s="321">
        <v>0</v>
      </c>
      <c r="CD125" s="322">
        <v>0</v>
      </c>
      <c r="CE125" s="319">
        <v>0</v>
      </c>
      <c r="CF125" s="320"/>
      <c r="CG125" s="319">
        <v>0</v>
      </c>
      <c r="CH125" s="320"/>
      <c r="CI125" s="321">
        <v>0</v>
      </c>
      <c r="CJ125" s="322">
        <v>0</v>
      </c>
      <c r="CK125" s="319">
        <v>0</v>
      </c>
      <c r="CL125" s="320"/>
      <c r="CM125" s="319">
        <v>0</v>
      </c>
      <c r="CN125" s="320"/>
      <c r="CO125" s="321">
        <v>0</v>
      </c>
      <c r="CP125" s="322">
        <v>0</v>
      </c>
      <c r="CQ125" s="319">
        <v>0</v>
      </c>
      <c r="CR125" s="320"/>
      <c r="CS125" s="319">
        <v>0</v>
      </c>
      <c r="CT125" s="320"/>
      <c r="CU125" s="321">
        <v>0</v>
      </c>
      <c r="CV125" s="322">
        <v>0</v>
      </c>
      <c r="CW125" s="319">
        <v>0</v>
      </c>
      <c r="CX125" s="320"/>
      <c r="CY125" s="319">
        <v>0</v>
      </c>
      <c r="CZ125" s="320"/>
      <c r="DA125" s="321">
        <v>0</v>
      </c>
      <c r="DB125" s="322">
        <v>0</v>
      </c>
      <c r="DC125" s="319">
        <v>0</v>
      </c>
      <c r="DD125" s="320"/>
      <c r="DE125" s="319">
        <v>0</v>
      </c>
      <c r="DF125" s="320"/>
      <c r="DG125" s="321">
        <v>0</v>
      </c>
      <c r="DH125" s="322">
        <v>0</v>
      </c>
      <c r="DI125" s="319">
        <v>0</v>
      </c>
      <c r="DJ125" s="320"/>
      <c r="DK125" s="319">
        <v>0</v>
      </c>
      <c r="DL125" s="320"/>
      <c r="DM125" s="321">
        <v>0</v>
      </c>
      <c r="DN125" s="322">
        <v>0</v>
      </c>
      <c r="DO125" s="319">
        <v>0</v>
      </c>
      <c r="DP125" s="320"/>
      <c r="DQ125" s="319">
        <v>0</v>
      </c>
      <c r="DR125" s="320"/>
      <c r="DS125" s="321">
        <v>0</v>
      </c>
      <c r="DT125" s="322">
        <v>0</v>
      </c>
      <c r="DU125" s="319">
        <v>0</v>
      </c>
      <c r="DV125" s="320"/>
      <c r="DW125" s="319">
        <v>0</v>
      </c>
      <c r="DX125" s="320"/>
      <c r="DY125" s="321">
        <v>0</v>
      </c>
      <c r="DZ125" s="322">
        <v>0</v>
      </c>
      <c r="EA125" s="319">
        <v>0</v>
      </c>
      <c r="EB125" s="320"/>
      <c r="EC125" s="319">
        <v>0</v>
      </c>
      <c r="ED125" s="320"/>
      <c r="EE125" s="321">
        <v>0</v>
      </c>
      <c r="EF125" s="322">
        <v>0</v>
      </c>
      <c r="EG125" s="319">
        <v>0</v>
      </c>
      <c r="EH125" s="320"/>
      <c r="EI125" s="319">
        <v>0</v>
      </c>
      <c r="EJ125" s="320"/>
      <c r="EK125" s="321">
        <v>0</v>
      </c>
      <c r="EL125" s="322">
        <v>0</v>
      </c>
      <c r="EM125" s="319">
        <v>0</v>
      </c>
      <c r="EN125" s="320"/>
      <c r="EO125" s="319">
        <v>0</v>
      </c>
      <c r="EP125" s="320"/>
      <c r="EQ125" s="321">
        <v>0</v>
      </c>
      <c r="ER125" s="322">
        <v>0</v>
      </c>
      <c r="ES125" s="319">
        <v>0</v>
      </c>
      <c r="ET125" s="320"/>
      <c r="EU125" s="319">
        <v>0</v>
      </c>
      <c r="EV125" s="320"/>
      <c r="EW125" s="321">
        <v>0</v>
      </c>
      <c r="EX125" s="322">
        <v>0</v>
      </c>
      <c r="EY125" s="319">
        <v>0</v>
      </c>
      <c r="EZ125" s="320"/>
      <c r="FA125" s="319">
        <v>0</v>
      </c>
      <c r="FB125" s="320"/>
      <c r="FC125" s="321">
        <v>0</v>
      </c>
      <c r="FD125" s="322">
        <v>0</v>
      </c>
      <c r="FE125" s="319">
        <v>0</v>
      </c>
      <c r="FF125" s="320"/>
      <c r="FG125" s="319">
        <v>0</v>
      </c>
      <c r="FH125" s="320"/>
      <c r="FI125" s="321">
        <v>0</v>
      </c>
      <c r="FJ125" s="322">
        <v>0</v>
      </c>
      <c r="FK125" s="319">
        <v>0</v>
      </c>
      <c r="FL125" s="320"/>
      <c r="FM125" s="319">
        <v>0</v>
      </c>
      <c r="FN125" s="320"/>
      <c r="FO125" s="321">
        <v>0</v>
      </c>
      <c r="FP125" s="322">
        <v>0</v>
      </c>
      <c r="FQ125" s="319">
        <v>0</v>
      </c>
      <c r="FR125" s="320"/>
      <c r="FS125" s="319">
        <v>0</v>
      </c>
      <c r="FT125" s="320"/>
      <c r="FU125" s="321">
        <v>0</v>
      </c>
      <c r="FV125" s="322">
        <v>0</v>
      </c>
      <c r="FW125" s="319">
        <v>0</v>
      </c>
      <c r="FX125" s="320"/>
      <c r="FY125" s="319">
        <v>0</v>
      </c>
      <c r="FZ125" s="320"/>
      <c r="GA125" s="321">
        <v>0</v>
      </c>
      <c r="GB125" s="322">
        <v>0</v>
      </c>
      <c r="GC125" s="319">
        <v>0</v>
      </c>
      <c r="GD125" s="320"/>
      <c r="GE125" s="319">
        <v>0</v>
      </c>
      <c r="GF125" s="320"/>
      <c r="GG125" s="321">
        <v>0</v>
      </c>
      <c r="GH125" s="322">
        <v>0</v>
      </c>
      <c r="GI125" s="319">
        <v>0</v>
      </c>
      <c r="GJ125" s="320"/>
      <c r="GK125" s="319">
        <v>0</v>
      </c>
      <c r="GL125" s="320"/>
      <c r="GM125" s="321">
        <v>0</v>
      </c>
      <c r="GN125" s="322">
        <v>0</v>
      </c>
      <c r="GO125" s="319">
        <v>0</v>
      </c>
      <c r="GP125" s="320"/>
      <c r="GQ125" s="319">
        <v>0</v>
      </c>
      <c r="GR125" s="320"/>
      <c r="GS125" s="321">
        <v>0</v>
      </c>
      <c r="GT125" s="322">
        <v>0</v>
      </c>
      <c r="GU125" s="319">
        <v>0</v>
      </c>
      <c r="GV125" s="320"/>
      <c r="GW125" s="319">
        <v>0</v>
      </c>
      <c r="GX125" s="320"/>
      <c r="GY125" s="321">
        <v>0</v>
      </c>
      <c r="GZ125" s="322">
        <v>0</v>
      </c>
    </row>
    <row r="126" spans="1:208" s="89" customFormat="1" ht="22.5" customHeight="1" x14ac:dyDescent="0.2">
      <c r="A126" t="s">
        <v>3272</v>
      </c>
      <c r="B126" s="429" t="s">
        <v>3273</v>
      </c>
      <c r="C126" s="430">
        <v>1</v>
      </c>
      <c r="D126" s="431" t="s">
        <v>3274</v>
      </c>
      <c r="E126" s="431" t="s">
        <v>3275</v>
      </c>
      <c r="F126" s="432" t="s">
        <v>3166</v>
      </c>
      <c r="G126" s="432" t="s">
        <v>3167</v>
      </c>
      <c r="H126" s="270" t="s">
        <v>1503</v>
      </c>
      <c r="I126" s="271" t="s">
        <v>1503</v>
      </c>
      <c r="J126" s="328" t="s">
        <v>3168</v>
      </c>
      <c r="K126" s="329" t="s">
        <v>3169</v>
      </c>
      <c r="L126" s="256">
        <f>CONTINUA!BV126</f>
        <v>0</v>
      </c>
      <c r="M126" s="256">
        <f>CONTINUA!BW126</f>
        <v>0</v>
      </c>
      <c r="N126" s="564"/>
      <c r="O126" s="565" t="s">
        <v>3356</v>
      </c>
      <c r="P126" s="566">
        <v>0</v>
      </c>
      <c r="Q126" s="319">
        <v>0</v>
      </c>
      <c r="R126" s="320"/>
      <c r="S126" s="319">
        <v>0</v>
      </c>
      <c r="T126" s="320"/>
      <c r="U126" s="321">
        <v>0</v>
      </c>
      <c r="V126" s="322">
        <v>0</v>
      </c>
      <c r="W126" s="319">
        <v>0</v>
      </c>
      <c r="X126" s="320"/>
      <c r="Y126" s="319">
        <v>0</v>
      </c>
      <c r="Z126" s="320"/>
      <c r="AA126" s="321">
        <v>0</v>
      </c>
      <c r="AB126" s="322">
        <v>0</v>
      </c>
      <c r="AC126" s="319">
        <v>0</v>
      </c>
      <c r="AD126" s="320"/>
      <c r="AE126" s="319">
        <v>0</v>
      </c>
      <c r="AF126" s="320"/>
      <c r="AG126" s="321">
        <v>0</v>
      </c>
      <c r="AH126" s="322">
        <v>0</v>
      </c>
      <c r="AI126" s="319">
        <v>0</v>
      </c>
      <c r="AJ126" s="320"/>
      <c r="AK126" s="319">
        <v>0</v>
      </c>
      <c r="AL126" s="320"/>
      <c r="AM126" s="321">
        <v>0</v>
      </c>
      <c r="AN126" s="322">
        <v>0</v>
      </c>
      <c r="AO126" s="319">
        <v>0</v>
      </c>
      <c r="AP126" s="320"/>
      <c r="AQ126" s="319">
        <v>0</v>
      </c>
      <c r="AR126" s="320"/>
      <c r="AS126" s="321">
        <v>0</v>
      </c>
      <c r="AT126" s="322">
        <v>0</v>
      </c>
      <c r="AU126" s="319">
        <v>0</v>
      </c>
      <c r="AV126" s="320"/>
      <c r="AW126" s="319">
        <v>0</v>
      </c>
      <c r="AX126" s="320"/>
      <c r="AY126" s="321">
        <v>0</v>
      </c>
      <c r="AZ126" s="322">
        <v>0</v>
      </c>
      <c r="BA126" s="319">
        <v>0</v>
      </c>
      <c r="BB126" s="320"/>
      <c r="BC126" s="319">
        <v>0</v>
      </c>
      <c r="BD126" s="320"/>
      <c r="BE126" s="321">
        <v>0</v>
      </c>
      <c r="BF126" s="322">
        <v>0</v>
      </c>
      <c r="BG126" s="319">
        <v>0</v>
      </c>
      <c r="BH126" s="320"/>
      <c r="BI126" s="319">
        <v>0</v>
      </c>
      <c r="BJ126" s="320"/>
      <c r="BK126" s="321">
        <v>0</v>
      </c>
      <c r="BL126" s="322">
        <v>0</v>
      </c>
      <c r="BM126" s="319">
        <v>0</v>
      </c>
      <c r="BN126" s="320"/>
      <c r="BO126" s="319">
        <v>0</v>
      </c>
      <c r="BP126" s="320"/>
      <c r="BQ126" s="321">
        <v>0</v>
      </c>
      <c r="BR126" s="322">
        <v>0</v>
      </c>
      <c r="BS126" s="319">
        <v>0</v>
      </c>
      <c r="BT126" s="320"/>
      <c r="BU126" s="319">
        <v>0</v>
      </c>
      <c r="BV126" s="320"/>
      <c r="BW126" s="321">
        <v>0</v>
      </c>
      <c r="BX126" s="322">
        <v>0</v>
      </c>
      <c r="BY126" s="319">
        <v>0</v>
      </c>
      <c r="BZ126" s="320"/>
      <c r="CA126" s="319">
        <v>0</v>
      </c>
      <c r="CB126" s="320"/>
      <c r="CC126" s="321">
        <v>0</v>
      </c>
      <c r="CD126" s="322">
        <v>0</v>
      </c>
      <c r="CE126" s="319">
        <v>0</v>
      </c>
      <c r="CF126" s="320"/>
      <c r="CG126" s="319">
        <v>0</v>
      </c>
      <c r="CH126" s="320"/>
      <c r="CI126" s="321">
        <v>0</v>
      </c>
      <c r="CJ126" s="322">
        <v>0</v>
      </c>
      <c r="CK126" s="319">
        <v>0</v>
      </c>
      <c r="CL126" s="320"/>
      <c r="CM126" s="319">
        <v>0</v>
      </c>
      <c r="CN126" s="320"/>
      <c r="CO126" s="321">
        <v>0</v>
      </c>
      <c r="CP126" s="322">
        <v>0</v>
      </c>
      <c r="CQ126" s="319">
        <v>0</v>
      </c>
      <c r="CR126" s="320"/>
      <c r="CS126" s="319">
        <v>0</v>
      </c>
      <c r="CT126" s="320"/>
      <c r="CU126" s="321">
        <v>0</v>
      </c>
      <c r="CV126" s="322">
        <v>0</v>
      </c>
      <c r="CW126" s="319">
        <v>0</v>
      </c>
      <c r="CX126" s="320"/>
      <c r="CY126" s="319">
        <v>0</v>
      </c>
      <c r="CZ126" s="320"/>
      <c r="DA126" s="321">
        <v>0</v>
      </c>
      <c r="DB126" s="322">
        <v>0</v>
      </c>
      <c r="DC126" s="319">
        <v>0</v>
      </c>
      <c r="DD126" s="320"/>
      <c r="DE126" s="319">
        <v>0</v>
      </c>
      <c r="DF126" s="320"/>
      <c r="DG126" s="321">
        <v>0</v>
      </c>
      <c r="DH126" s="322">
        <v>0</v>
      </c>
      <c r="DI126" s="319">
        <v>0</v>
      </c>
      <c r="DJ126" s="320"/>
      <c r="DK126" s="319">
        <v>0</v>
      </c>
      <c r="DL126" s="320"/>
      <c r="DM126" s="321">
        <v>0</v>
      </c>
      <c r="DN126" s="322">
        <v>0</v>
      </c>
      <c r="DO126" s="319">
        <v>0</v>
      </c>
      <c r="DP126" s="320"/>
      <c r="DQ126" s="319">
        <v>0</v>
      </c>
      <c r="DR126" s="320"/>
      <c r="DS126" s="321">
        <v>0</v>
      </c>
      <c r="DT126" s="322">
        <v>0</v>
      </c>
      <c r="DU126" s="319">
        <v>0</v>
      </c>
      <c r="DV126" s="320"/>
      <c r="DW126" s="319">
        <v>0</v>
      </c>
      <c r="DX126" s="320"/>
      <c r="DY126" s="321">
        <v>0</v>
      </c>
      <c r="DZ126" s="322">
        <v>0</v>
      </c>
      <c r="EA126" s="319">
        <v>0</v>
      </c>
      <c r="EB126" s="320"/>
      <c r="EC126" s="319">
        <v>0</v>
      </c>
      <c r="ED126" s="320"/>
      <c r="EE126" s="321">
        <v>0</v>
      </c>
      <c r="EF126" s="322">
        <v>0</v>
      </c>
      <c r="EG126" s="319">
        <v>0</v>
      </c>
      <c r="EH126" s="320"/>
      <c r="EI126" s="319">
        <v>0</v>
      </c>
      <c r="EJ126" s="320"/>
      <c r="EK126" s="321">
        <v>0</v>
      </c>
      <c r="EL126" s="322">
        <v>0</v>
      </c>
      <c r="EM126" s="319">
        <v>0</v>
      </c>
      <c r="EN126" s="320"/>
      <c r="EO126" s="319">
        <v>0</v>
      </c>
      <c r="EP126" s="320"/>
      <c r="EQ126" s="321">
        <v>0</v>
      </c>
      <c r="ER126" s="322">
        <v>0</v>
      </c>
      <c r="ES126" s="319">
        <v>0</v>
      </c>
      <c r="ET126" s="320"/>
      <c r="EU126" s="319">
        <v>0</v>
      </c>
      <c r="EV126" s="320"/>
      <c r="EW126" s="321">
        <v>0</v>
      </c>
      <c r="EX126" s="322">
        <v>0</v>
      </c>
      <c r="EY126" s="319">
        <v>0</v>
      </c>
      <c r="EZ126" s="320"/>
      <c r="FA126" s="319">
        <v>0</v>
      </c>
      <c r="FB126" s="320"/>
      <c r="FC126" s="321">
        <v>0</v>
      </c>
      <c r="FD126" s="322">
        <v>0</v>
      </c>
      <c r="FE126" s="319">
        <v>0</v>
      </c>
      <c r="FF126" s="320"/>
      <c r="FG126" s="319">
        <v>0</v>
      </c>
      <c r="FH126" s="320"/>
      <c r="FI126" s="321">
        <v>0</v>
      </c>
      <c r="FJ126" s="322">
        <v>0</v>
      </c>
      <c r="FK126" s="319">
        <v>0</v>
      </c>
      <c r="FL126" s="320"/>
      <c r="FM126" s="319">
        <v>0</v>
      </c>
      <c r="FN126" s="320"/>
      <c r="FO126" s="321">
        <v>0</v>
      </c>
      <c r="FP126" s="322">
        <v>0</v>
      </c>
      <c r="FQ126" s="319">
        <v>0</v>
      </c>
      <c r="FR126" s="320"/>
      <c r="FS126" s="319">
        <v>0</v>
      </c>
      <c r="FT126" s="320"/>
      <c r="FU126" s="321">
        <v>0</v>
      </c>
      <c r="FV126" s="322">
        <v>0</v>
      </c>
      <c r="FW126" s="319">
        <v>0</v>
      </c>
      <c r="FX126" s="320"/>
      <c r="FY126" s="319">
        <v>0</v>
      </c>
      <c r="FZ126" s="320"/>
      <c r="GA126" s="321">
        <v>0</v>
      </c>
      <c r="GB126" s="322">
        <v>0</v>
      </c>
      <c r="GC126" s="319">
        <v>0</v>
      </c>
      <c r="GD126" s="320"/>
      <c r="GE126" s="319">
        <v>0</v>
      </c>
      <c r="GF126" s="320"/>
      <c r="GG126" s="321">
        <v>0</v>
      </c>
      <c r="GH126" s="322">
        <v>0</v>
      </c>
      <c r="GI126" s="319">
        <v>0</v>
      </c>
      <c r="GJ126" s="320"/>
      <c r="GK126" s="319">
        <v>0</v>
      </c>
      <c r="GL126" s="320"/>
      <c r="GM126" s="321">
        <v>0</v>
      </c>
      <c r="GN126" s="322">
        <v>0</v>
      </c>
      <c r="GO126" s="319">
        <v>0</v>
      </c>
      <c r="GP126" s="320"/>
      <c r="GQ126" s="319">
        <v>0</v>
      </c>
      <c r="GR126" s="320"/>
      <c r="GS126" s="321">
        <v>0</v>
      </c>
      <c r="GT126" s="322">
        <v>0</v>
      </c>
      <c r="GU126" s="319">
        <v>0</v>
      </c>
      <c r="GV126" s="320"/>
      <c r="GW126" s="319">
        <v>0</v>
      </c>
      <c r="GX126" s="320"/>
      <c r="GY126" s="321">
        <v>0</v>
      </c>
      <c r="GZ126" s="322">
        <v>0</v>
      </c>
    </row>
    <row r="127" spans="1:208" s="89" customFormat="1" ht="22.5" customHeight="1" x14ac:dyDescent="0.2">
      <c r="A127" s="287" t="s">
        <v>3272</v>
      </c>
      <c r="B127" s="288" t="s">
        <v>3273</v>
      </c>
      <c r="C127" s="289" t="s">
        <v>3170</v>
      </c>
      <c r="D127" s="290" t="s">
        <v>3274</v>
      </c>
      <c r="E127" s="290" t="s">
        <v>3275</v>
      </c>
      <c r="F127" s="291" t="s">
        <v>3166</v>
      </c>
      <c r="G127" s="291" t="s">
        <v>3167</v>
      </c>
      <c r="H127" s="292" t="s">
        <v>1503</v>
      </c>
      <c r="I127" s="293" t="s">
        <v>1503</v>
      </c>
      <c r="J127" s="340" t="s">
        <v>3168</v>
      </c>
      <c r="K127" s="340" t="s">
        <v>3171</v>
      </c>
      <c r="L127" s="256">
        <f>CONTINUA!BV127</f>
        <v>0</v>
      </c>
      <c r="M127" s="256">
        <f>CONTINUA!BW127</f>
        <v>0</v>
      </c>
      <c r="N127" s="564"/>
      <c r="O127" s="565" t="s">
        <v>3356</v>
      </c>
      <c r="P127" s="566">
        <v>0</v>
      </c>
      <c r="Q127" s="319">
        <v>47</v>
      </c>
      <c r="R127" s="320"/>
      <c r="S127" s="319">
        <v>6</v>
      </c>
      <c r="T127" s="320"/>
      <c r="U127" s="319">
        <v>0</v>
      </c>
      <c r="V127" s="320">
        <v>0</v>
      </c>
      <c r="W127" s="319">
        <v>47</v>
      </c>
      <c r="X127" s="320"/>
      <c r="Y127" s="319">
        <v>6</v>
      </c>
      <c r="Z127" s="320"/>
      <c r="AA127" s="319">
        <v>0</v>
      </c>
      <c r="AB127" s="320">
        <v>0</v>
      </c>
      <c r="AC127" s="319">
        <v>47</v>
      </c>
      <c r="AD127" s="320"/>
      <c r="AE127" s="319">
        <v>6</v>
      </c>
      <c r="AF127" s="320"/>
      <c r="AG127" s="319">
        <v>0</v>
      </c>
      <c r="AH127" s="320">
        <v>0</v>
      </c>
      <c r="AI127" s="319">
        <v>47</v>
      </c>
      <c r="AJ127" s="320"/>
      <c r="AK127" s="319">
        <v>6</v>
      </c>
      <c r="AL127" s="320"/>
      <c r="AM127" s="319">
        <v>0</v>
      </c>
      <c r="AN127" s="320">
        <v>0</v>
      </c>
      <c r="AO127" s="319">
        <v>47</v>
      </c>
      <c r="AP127" s="320"/>
      <c r="AQ127" s="319">
        <v>6</v>
      </c>
      <c r="AR127" s="320"/>
      <c r="AS127" s="319">
        <v>0</v>
      </c>
      <c r="AT127" s="320">
        <v>0</v>
      </c>
      <c r="AU127" s="319">
        <v>47</v>
      </c>
      <c r="AV127" s="320"/>
      <c r="AW127" s="319">
        <v>6</v>
      </c>
      <c r="AX127" s="320"/>
      <c r="AY127" s="319">
        <v>0</v>
      </c>
      <c r="AZ127" s="320">
        <v>0</v>
      </c>
      <c r="BA127" s="319">
        <v>47</v>
      </c>
      <c r="BB127" s="320"/>
      <c r="BC127" s="319">
        <v>6</v>
      </c>
      <c r="BD127" s="320"/>
      <c r="BE127" s="319">
        <v>0</v>
      </c>
      <c r="BF127" s="320">
        <v>0</v>
      </c>
      <c r="BG127" s="319">
        <v>47</v>
      </c>
      <c r="BH127" s="320"/>
      <c r="BI127" s="319">
        <v>6</v>
      </c>
      <c r="BJ127" s="320"/>
      <c r="BK127" s="319">
        <v>0</v>
      </c>
      <c r="BL127" s="320">
        <v>0</v>
      </c>
      <c r="BM127" s="319">
        <v>47</v>
      </c>
      <c r="BN127" s="320"/>
      <c r="BO127" s="319">
        <v>6</v>
      </c>
      <c r="BP127" s="320"/>
      <c r="BQ127" s="319">
        <v>0</v>
      </c>
      <c r="BR127" s="320">
        <v>0</v>
      </c>
      <c r="BS127" s="319">
        <v>47</v>
      </c>
      <c r="BT127" s="320"/>
      <c r="BU127" s="319">
        <v>6</v>
      </c>
      <c r="BV127" s="320"/>
      <c r="BW127" s="319">
        <v>0</v>
      </c>
      <c r="BX127" s="320">
        <v>0</v>
      </c>
      <c r="BY127" s="319">
        <v>47</v>
      </c>
      <c r="BZ127" s="320"/>
      <c r="CA127" s="319">
        <v>6</v>
      </c>
      <c r="CB127" s="320"/>
      <c r="CC127" s="319">
        <v>0</v>
      </c>
      <c r="CD127" s="320">
        <v>0</v>
      </c>
      <c r="CE127" s="319">
        <v>47</v>
      </c>
      <c r="CF127" s="320"/>
      <c r="CG127" s="319">
        <v>6</v>
      </c>
      <c r="CH127" s="320"/>
      <c r="CI127" s="319">
        <v>0</v>
      </c>
      <c r="CJ127" s="320">
        <v>0</v>
      </c>
      <c r="CK127" s="319">
        <v>47</v>
      </c>
      <c r="CL127" s="320"/>
      <c r="CM127" s="319">
        <v>6</v>
      </c>
      <c r="CN127" s="320"/>
      <c r="CO127" s="319">
        <v>0</v>
      </c>
      <c r="CP127" s="320">
        <v>0</v>
      </c>
      <c r="CQ127" s="319">
        <v>47</v>
      </c>
      <c r="CR127" s="320"/>
      <c r="CS127" s="319">
        <v>6</v>
      </c>
      <c r="CT127" s="320"/>
      <c r="CU127" s="319">
        <v>0</v>
      </c>
      <c r="CV127" s="320">
        <v>0</v>
      </c>
      <c r="CW127" s="319">
        <v>47</v>
      </c>
      <c r="CX127" s="320"/>
      <c r="CY127" s="319">
        <v>6</v>
      </c>
      <c r="CZ127" s="320"/>
      <c r="DA127" s="319">
        <v>0</v>
      </c>
      <c r="DB127" s="320">
        <v>0</v>
      </c>
      <c r="DC127" s="319">
        <v>47</v>
      </c>
      <c r="DD127" s="320"/>
      <c r="DE127" s="319">
        <v>6</v>
      </c>
      <c r="DF127" s="320"/>
      <c r="DG127" s="319">
        <v>0</v>
      </c>
      <c r="DH127" s="320">
        <v>0</v>
      </c>
      <c r="DI127" s="319">
        <v>47</v>
      </c>
      <c r="DJ127" s="320"/>
      <c r="DK127" s="319">
        <v>6</v>
      </c>
      <c r="DL127" s="320"/>
      <c r="DM127" s="319">
        <v>0</v>
      </c>
      <c r="DN127" s="320">
        <v>0</v>
      </c>
      <c r="DO127" s="319">
        <v>47</v>
      </c>
      <c r="DP127" s="320"/>
      <c r="DQ127" s="319">
        <v>6</v>
      </c>
      <c r="DR127" s="320"/>
      <c r="DS127" s="319">
        <v>0</v>
      </c>
      <c r="DT127" s="320">
        <v>0</v>
      </c>
      <c r="DU127" s="319">
        <v>47</v>
      </c>
      <c r="DV127" s="320"/>
      <c r="DW127" s="319">
        <v>6</v>
      </c>
      <c r="DX127" s="320"/>
      <c r="DY127" s="319">
        <v>0</v>
      </c>
      <c r="DZ127" s="320">
        <v>0</v>
      </c>
      <c r="EA127" s="319">
        <v>47</v>
      </c>
      <c r="EB127" s="320"/>
      <c r="EC127" s="319">
        <v>6</v>
      </c>
      <c r="ED127" s="320"/>
      <c r="EE127" s="319">
        <v>0</v>
      </c>
      <c r="EF127" s="320">
        <v>0</v>
      </c>
      <c r="EG127" s="319">
        <v>47</v>
      </c>
      <c r="EH127" s="320"/>
      <c r="EI127" s="319">
        <v>6</v>
      </c>
      <c r="EJ127" s="320"/>
      <c r="EK127" s="319">
        <v>0</v>
      </c>
      <c r="EL127" s="320">
        <v>0</v>
      </c>
      <c r="EM127" s="319">
        <v>47</v>
      </c>
      <c r="EN127" s="320"/>
      <c r="EO127" s="319">
        <v>6</v>
      </c>
      <c r="EP127" s="320"/>
      <c r="EQ127" s="319">
        <v>0</v>
      </c>
      <c r="ER127" s="320">
        <v>0</v>
      </c>
      <c r="ES127" s="319">
        <v>47</v>
      </c>
      <c r="ET127" s="320"/>
      <c r="EU127" s="319">
        <v>6</v>
      </c>
      <c r="EV127" s="320"/>
      <c r="EW127" s="319">
        <v>0</v>
      </c>
      <c r="EX127" s="320">
        <v>0</v>
      </c>
      <c r="EY127" s="319">
        <v>47</v>
      </c>
      <c r="EZ127" s="320"/>
      <c r="FA127" s="319">
        <v>6</v>
      </c>
      <c r="FB127" s="320"/>
      <c r="FC127" s="319">
        <v>0</v>
      </c>
      <c r="FD127" s="320">
        <v>0</v>
      </c>
      <c r="FE127" s="319">
        <v>47</v>
      </c>
      <c r="FF127" s="320"/>
      <c r="FG127" s="319">
        <v>6</v>
      </c>
      <c r="FH127" s="320"/>
      <c r="FI127" s="319">
        <v>0</v>
      </c>
      <c r="FJ127" s="320">
        <v>0</v>
      </c>
      <c r="FK127" s="319">
        <v>47</v>
      </c>
      <c r="FL127" s="320"/>
      <c r="FM127" s="319">
        <v>6</v>
      </c>
      <c r="FN127" s="320"/>
      <c r="FO127" s="319">
        <v>0</v>
      </c>
      <c r="FP127" s="320">
        <v>0</v>
      </c>
      <c r="FQ127" s="319">
        <v>47</v>
      </c>
      <c r="FR127" s="320"/>
      <c r="FS127" s="319">
        <v>6</v>
      </c>
      <c r="FT127" s="320"/>
      <c r="FU127" s="319">
        <v>0</v>
      </c>
      <c r="FV127" s="320">
        <v>0</v>
      </c>
      <c r="FW127" s="319">
        <v>47</v>
      </c>
      <c r="FX127" s="320"/>
      <c r="FY127" s="319">
        <v>6</v>
      </c>
      <c r="FZ127" s="320"/>
      <c r="GA127" s="319">
        <v>0</v>
      </c>
      <c r="GB127" s="320">
        <v>0</v>
      </c>
      <c r="GC127" s="319">
        <v>47</v>
      </c>
      <c r="GD127" s="320"/>
      <c r="GE127" s="319">
        <v>6</v>
      </c>
      <c r="GF127" s="320"/>
      <c r="GG127" s="319">
        <v>0</v>
      </c>
      <c r="GH127" s="320">
        <v>0</v>
      </c>
      <c r="GI127" s="319">
        <v>47</v>
      </c>
      <c r="GJ127" s="320"/>
      <c r="GK127" s="319">
        <v>6</v>
      </c>
      <c r="GL127" s="320"/>
      <c r="GM127" s="319">
        <v>0</v>
      </c>
      <c r="GN127" s="320">
        <v>0</v>
      </c>
      <c r="GO127" s="319">
        <v>47</v>
      </c>
      <c r="GP127" s="320"/>
      <c r="GQ127" s="319">
        <v>6</v>
      </c>
      <c r="GR127" s="320"/>
      <c r="GS127" s="319">
        <v>0</v>
      </c>
      <c r="GT127" s="320">
        <v>0</v>
      </c>
      <c r="GU127" s="319">
        <v>47</v>
      </c>
      <c r="GV127" s="320"/>
      <c r="GW127" s="319">
        <v>6</v>
      </c>
      <c r="GX127" s="320"/>
      <c r="GY127" s="319">
        <v>0</v>
      </c>
      <c r="GZ127" s="320">
        <v>0</v>
      </c>
    </row>
    <row r="128" spans="1:208" s="89" customFormat="1" ht="22.5" customHeight="1" x14ac:dyDescent="0.2">
      <c r="A128" s="287" t="s">
        <v>3272</v>
      </c>
      <c r="B128" s="288" t="s">
        <v>3273</v>
      </c>
      <c r="C128" s="294" t="s">
        <v>3170</v>
      </c>
      <c r="D128" s="290" t="s">
        <v>3274</v>
      </c>
      <c r="E128" s="290" t="s">
        <v>3275</v>
      </c>
      <c r="F128" s="295" t="s">
        <v>3166</v>
      </c>
      <c r="G128" s="295" t="s">
        <v>3167</v>
      </c>
      <c r="H128" s="292" t="s">
        <v>1503</v>
      </c>
      <c r="I128" s="293" t="s">
        <v>1503</v>
      </c>
      <c r="J128" s="340" t="s">
        <v>3168</v>
      </c>
      <c r="K128" s="341" t="s">
        <v>3172</v>
      </c>
      <c r="L128" s="256">
        <f>CONTINUA!BV128</f>
        <v>0</v>
      </c>
      <c r="M128" s="256">
        <f>CONTINUA!BW128</f>
        <v>0</v>
      </c>
      <c r="N128" s="564"/>
      <c r="O128" s="565" t="s">
        <v>3356</v>
      </c>
      <c r="P128" s="566">
        <v>0</v>
      </c>
      <c r="Q128" s="319">
        <v>0</v>
      </c>
      <c r="R128" s="320"/>
      <c r="S128" s="319">
        <v>0</v>
      </c>
      <c r="T128" s="320"/>
      <c r="U128" s="319">
        <v>0</v>
      </c>
      <c r="V128" s="320">
        <v>0</v>
      </c>
      <c r="W128" s="319">
        <v>0</v>
      </c>
      <c r="X128" s="320"/>
      <c r="Y128" s="319">
        <v>0</v>
      </c>
      <c r="Z128" s="320"/>
      <c r="AA128" s="319">
        <v>0</v>
      </c>
      <c r="AB128" s="320">
        <v>0</v>
      </c>
      <c r="AC128" s="319">
        <v>0</v>
      </c>
      <c r="AD128" s="320"/>
      <c r="AE128" s="319">
        <v>0</v>
      </c>
      <c r="AF128" s="320"/>
      <c r="AG128" s="319">
        <v>0</v>
      </c>
      <c r="AH128" s="320">
        <v>0</v>
      </c>
      <c r="AI128" s="319">
        <v>0</v>
      </c>
      <c r="AJ128" s="320"/>
      <c r="AK128" s="319">
        <v>0</v>
      </c>
      <c r="AL128" s="320"/>
      <c r="AM128" s="319">
        <v>0</v>
      </c>
      <c r="AN128" s="320">
        <v>0</v>
      </c>
      <c r="AO128" s="319">
        <v>0</v>
      </c>
      <c r="AP128" s="320"/>
      <c r="AQ128" s="319">
        <v>0</v>
      </c>
      <c r="AR128" s="320"/>
      <c r="AS128" s="319">
        <v>0</v>
      </c>
      <c r="AT128" s="320">
        <v>0</v>
      </c>
      <c r="AU128" s="319">
        <v>0</v>
      </c>
      <c r="AV128" s="320"/>
      <c r="AW128" s="319">
        <v>0</v>
      </c>
      <c r="AX128" s="320"/>
      <c r="AY128" s="319">
        <v>0</v>
      </c>
      <c r="AZ128" s="320">
        <v>0</v>
      </c>
      <c r="BA128" s="319">
        <v>0</v>
      </c>
      <c r="BB128" s="320"/>
      <c r="BC128" s="319">
        <v>0</v>
      </c>
      <c r="BD128" s="320"/>
      <c r="BE128" s="319">
        <v>0</v>
      </c>
      <c r="BF128" s="320">
        <v>0</v>
      </c>
      <c r="BG128" s="319">
        <v>0</v>
      </c>
      <c r="BH128" s="320"/>
      <c r="BI128" s="319">
        <v>0</v>
      </c>
      <c r="BJ128" s="320"/>
      <c r="BK128" s="319">
        <v>0</v>
      </c>
      <c r="BL128" s="320">
        <v>0</v>
      </c>
      <c r="BM128" s="319">
        <v>0</v>
      </c>
      <c r="BN128" s="320"/>
      <c r="BO128" s="319">
        <v>0</v>
      </c>
      <c r="BP128" s="320"/>
      <c r="BQ128" s="319">
        <v>0</v>
      </c>
      <c r="BR128" s="320">
        <v>0</v>
      </c>
      <c r="BS128" s="319">
        <v>0</v>
      </c>
      <c r="BT128" s="320"/>
      <c r="BU128" s="319">
        <v>0</v>
      </c>
      <c r="BV128" s="320"/>
      <c r="BW128" s="319">
        <v>0</v>
      </c>
      <c r="BX128" s="320">
        <v>0</v>
      </c>
      <c r="BY128" s="319">
        <v>0</v>
      </c>
      <c r="BZ128" s="320"/>
      <c r="CA128" s="319">
        <v>0</v>
      </c>
      <c r="CB128" s="320"/>
      <c r="CC128" s="319">
        <v>0</v>
      </c>
      <c r="CD128" s="320">
        <v>0</v>
      </c>
      <c r="CE128" s="319">
        <v>0</v>
      </c>
      <c r="CF128" s="320"/>
      <c r="CG128" s="319">
        <v>0</v>
      </c>
      <c r="CH128" s="320"/>
      <c r="CI128" s="319">
        <v>0</v>
      </c>
      <c r="CJ128" s="320">
        <v>0</v>
      </c>
      <c r="CK128" s="319">
        <v>0</v>
      </c>
      <c r="CL128" s="320"/>
      <c r="CM128" s="319">
        <v>0</v>
      </c>
      <c r="CN128" s="320"/>
      <c r="CO128" s="319">
        <v>0</v>
      </c>
      <c r="CP128" s="320">
        <v>0</v>
      </c>
      <c r="CQ128" s="319">
        <v>0</v>
      </c>
      <c r="CR128" s="320"/>
      <c r="CS128" s="319">
        <v>0</v>
      </c>
      <c r="CT128" s="320"/>
      <c r="CU128" s="319">
        <v>0</v>
      </c>
      <c r="CV128" s="320">
        <v>0</v>
      </c>
      <c r="CW128" s="319">
        <v>0</v>
      </c>
      <c r="CX128" s="320"/>
      <c r="CY128" s="319">
        <v>0</v>
      </c>
      <c r="CZ128" s="320"/>
      <c r="DA128" s="319">
        <v>0</v>
      </c>
      <c r="DB128" s="320">
        <v>0</v>
      </c>
      <c r="DC128" s="319">
        <v>0</v>
      </c>
      <c r="DD128" s="320"/>
      <c r="DE128" s="319">
        <v>0</v>
      </c>
      <c r="DF128" s="320"/>
      <c r="DG128" s="319">
        <v>0</v>
      </c>
      <c r="DH128" s="320">
        <v>0</v>
      </c>
      <c r="DI128" s="319">
        <v>0</v>
      </c>
      <c r="DJ128" s="320"/>
      <c r="DK128" s="319">
        <v>0</v>
      </c>
      <c r="DL128" s="320"/>
      <c r="DM128" s="319">
        <v>0</v>
      </c>
      <c r="DN128" s="320">
        <v>0</v>
      </c>
      <c r="DO128" s="319">
        <v>0</v>
      </c>
      <c r="DP128" s="320"/>
      <c r="DQ128" s="319">
        <v>0</v>
      </c>
      <c r="DR128" s="320"/>
      <c r="DS128" s="319">
        <v>0</v>
      </c>
      <c r="DT128" s="320">
        <v>0</v>
      </c>
      <c r="DU128" s="319">
        <v>0</v>
      </c>
      <c r="DV128" s="320"/>
      <c r="DW128" s="319">
        <v>0</v>
      </c>
      <c r="DX128" s="320"/>
      <c r="DY128" s="319">
        <v>0</v>
      </c>
      <c r="DZ128" s="320">
        <v>0</v>
      </c>
      <c r="EA128" s="319">
        <v>0</v>
      </c>
      <c r="EB128" s="320"/>
      <c r="EC128" s="319">
        <v>0</v>
      </c>
      <c r="ED128" s="320"/>
      <c r="EE128" s="319">
        <v>0</v>
      </c>
      <c r="EF128" s="320">
        <v>0</v>
      </c>
      <c r="EG128" s="319">
        <v>0</v>
      </c>
      <c r="EH128" s="320"/>
      <c r="EI128" s="319">
        <v>0</v>
      </c>
      <c r="EJ128" s="320"/>
      <c r="EK128" s="319">
        <v>0</v>
      </c>
      <c r="EL128" s="320">
        <v>0</v>
      </c>
      <c r="EM128" s="319">
        <v>0</v>
      </c>
      <c r="EN128" s="320"/>
      <c r="EO128" s="319">
        <v>0</v>
      </c>
      <c r="EP128" s="320"/>
      <c r="EQ128" s="319">
        <v>0</v>
      </c>
      <c r="ER128" s="320">
        <v>0</v>
      </c>
      <c r="ES128" s="319">
        <v>0</v>
      </c>
      <c r="ET128" s="320"/>
      <c r="EU128" s="319">
        <v>0</v>
      </c>
      <c r="EV128" s="320"/>
      <c r="EW128" s="319">
        <v>0</v>
      </c>
      <c r="EX128" s="320">
        <v>0</v>
      </c>
      <c r="EY128" s="319">
        <v>0</v>
      </c>
      <c r="EZ128" s="320"/>
      <c r="FA128" s="319">
        <v>0</v>
      </c>
      <c r="FB128" s="320"/>
      <c r="FC128" s="319">
        <v>0</v>
      </c>
      <c r="FD128" s="320">
        <v>0</v>
      </c>
      <c r="FE128" s="319">
        <v>0</v>
      </c>
      <c r="FF128" s="320"/>
      <c r="FG128" s="319">
        <v>0</v>
      </c>
      <c r="FH128" s="320"/>
      <c r="FI128" s="319">
        <v>0</v>
      </c>
      <c r="FJ128" s="320">
        <v>0</v>
      </c>
      <c r="FK128" s="319">
        <v>0</v>
      </c>
      <c r="FL128" s="320"/>
      <c r="FM128" s="319">
        <v>0</v>
      </c>
      <c r="FN128" s="320"/>
      <c r="FO128" s="319">
        <v>0</v>
      </c>
      <c r="FP128" s="320">
        <v>0</v>
      </c>
      <c r="FQ128" s="319">
        <v>0</v>
      </c>
      <c r="FR128" s="320"/>
      <c r="FS128" s="319">
        <v>0</v>
      </c>
      <c r="FT128" s="320"/>
      <c r="FU128" s="319">
        <v>0</v>
      </c>
      <c r="FV128" s="320">
        <v>0</v>
      </c>
      <c r="FW128" s="319">
        <v>0</v>
      </c>
      <c r="FX128" s="320"/>
      <c r="FY128" s="319">
        <v>0</v>
      </c>
      <c r="FZ128" s="320"/>
      <c r="GA128" s="319">
        <v>0</v>
      </c>
      <c r="GB128" s="320">
        <v>0</v>
      </c>
      <c r="GC128" s="319">
        <v>0</v>
      </c>
      <c r="GD128" s="320"/>
      <c r="GE128" s="319">
        <v>0</v>
      </c>
      <c r="GF128" s="320"/>
      <c r="GG128" s="319">
        <v>0</v>
      </c>
      <c r="GH128" s="320">
        <v>0</v>
      </c>
      <c r="GI128" s="319">
        <v>0</v>
      </c>
      <c r="GJ128" s="320"/>
      <c r="GK128" s="319">
        <v>0</v>
      </c>
      <c r="GL128" s="320"/>
      <c r="GM128" s="319">
        <v>0</v>
      </c>
      <c r="GN128" s="320">
        <v>0</v>
      </c>
      <c r="GO128" s="319">
        <v>0</v>
      </c>
      <c r="GP128" s="320"/>
      <c r="GQ128" s="319">
        <v>0</v>
      </c>
      <c r="GR128" s="320"/>
      <c r="GS128" s="319">
        <v>0</v>
      </c>
      <c r="GT128" s="320">
        <v>0</v>
      </c>
      <c r="GU128" s="319">
        <v>0</v>
      </c>
      <c r="GV128" s="320"/>
      <c r="GW128" s="319">
        <v>0</v>
      </c>
      <c r="GX128" s="320"/>
      <c r="GY128" s="319">
        <v>0</v>
      </c>
      <c r="GZ128" s="320">
        <v>0</v>
      </c>
    </row>
    <row r="129" spans="1:208" s="89" customFormat="1" ht="22.5" customHeight="1" x14ac:dyDescent="0.2">
      <c r="A129" s="287" t="s">
        <v>3272</v>
      </c>
      <c r="B129" s="288" t="s">
        <v>3273</v>
      </c>
      <c r="C129" s="294" t="s">
        <v>3170</v>
      </c>
      <c r="D129" s="290" t="s">
        <v>3274</v>
      </c>
      <c r="E129" s="290" t="s">
        <v>3275</v>
      </c>
      <c r="F129" s="295" t="s">
        <v>3166</v>
      </c>
      <c r="G129" s="295" t="s">
        <v>3167</v>
      </c>
      <c r="H129" s="292" t="s">
        <v>1503</v>
      </c>
      <c r="I129" s="293" t="s">
        <v>1503</v>
      </c>
      <c r="J129" s="340" t="s">
        <v>3168</v>
      </c>
      <c r="K129" s="342" t="s">
        <v>3173</v>
      </c>
      <c r="L129" s="256">
        <f>CONTINUA!BV129</f>
        <v>0</v>
      </c>
      <c r="M129" s="256">
        <f>CONTINUA!BW129</f>
        <v>0</v>
      </c>
      <c r="N129" s="564"/>
      <c r="O129" s="565" t="s">
        <v>3356</v>
      </c>
      <c r="P129" s="566">
        <v>0</v>
      </c>
      <c r="Q129" s="319">
        <v>0</v>
      </c>
      <c r="R129" s="320"/>
      <c r="S129" s="319">
        <v>0</v>
      </c>
      <c r="T129" s="320"/>
      <c r="U129" s="319">
        <v>0</v>
      </c>
      <c r="V129" s="320">
        <v>0</v>
      </c>
      <c r="W129" s="319">
        <v>0</v>
      </c>
      <c r="X129" s="320"/>
      <c r="Y129" s="319">
        <v>0</v>
      </c>
      <c r="Z129" s="320"/>
      <c r="AA129" s="319">
        <v>0</v>
      </c>
      <c r="AB129" s="320">
        <v>0</v>
      </c>
      <c r="AC129" s="319">
        <v>0</v>
      </c>
      <c r="AD129" s="320"/>
      <c r="AE129" s="319">
        <v>0</v>
      </c>
      <c r="AF129" s="320"/>
      <c r="AG129" s="319">
        <v>0</v>
      </c>
      <c r="AH129" s="320">
        <v>0</v>
      </c>
      <c r="AI129" s="319">
        <v>0</v>
      </c>
      <c r="AJ129" s="320"/>
      <c r="AK129" s="319">
        <v>0</v>
      </c>
      <c r="AL129" s="320"/>
      <c r="AM129" s="319">
        <v>0</v>
      </c>
      <c r="AN129" s="320">
        <v>0</v>
      </c>
      <c r="AO129" s="319">
        <v>0</v>
      </c>
      <c r="AP129" s="320"/>
      <c r="AQ129" s="319">
        <v>0</v>
      </c>
      <c r="AR129" s="320"/>
      <c r="AS129" s="319">
        <v>0</v>
      </c>
      <c r="AT129" s="320">
        <v>0</v>
      </c>
      <c r="AU129" s="319">
        <v>0</v>
      </c>
      <c r="AV129" s="320"/>
      <c r="AW129" s="319">
        <v>0</v>
      </c>
      <c r="AX129" s="320"/>
      <c r="AY129" s="319">
        <v>0</v>
      </c>
      <c r="AZ129" s="320">
        <v>0</v>
      </c>
      <c r="BA129" s="319">
        <v>0</v>
      </c>
      <c r="BB129" s="320"/>
      <c r="BC129" s="319">
        <v>0</v>
      </c>
      <c r="BD129" s="320"/>
      <c r="BE129" s="319">
        <v>0</v>
      </c>
      <c r="BF129" s="320">
        <v>0</v>
      </c>
      <c r="BG129" s="319">
        <v>0</v>
      </c>
      <c r="BH129" s="320"/>
      <c r="BI129" s="319">
        <v>0</v>
      </c>
      <c r="BJ129" s="320"/>
      <c r="BK129" s="319">
        <v>0</v>
      </c>
      <c r="BL129" s="320">
        <v>0</v>
      </c>
      <c r="BM129" s="319">
        <v>0</v>
      </c>
      <c r="BN129" s="320"/>
      <c r="BO129" s="319">
        <v>0</v>
      </c>
      <c r="BP129" s="320"/>
      <c r="BQ129" s="319">
        <v>0</v>
      </c>
      <c r="BR129" s="320">
        <v>0</v>
      </c>
      <c r="BS129" s="319">
        <v>0</v>
      </c>
      <c r="BT129" s="320"/>
      <c r="BU129" s="319">
        <v>0</v>
      </c>
      <c r="BV129" s="320"/>
      <c r="BW129" s="319">
        <v>0</v>
      </c>
      <c r="BX129" s="320">
        <v>0</v>
      </c>
      <c r="BY129" s="319">
        <v>0</v>
      </c>
      <c r="BZ129" s="320"/>
      <c r="CA129" s="319">
        <v>0</v>
      </c>
      <c r="CB129" s="320"/>
      <c r="CC129" s="319">
        <v>0</v>
      </c>
      <c r="CD129" s="320">
        <v>0</v>
      </c>
      <c r="CE129" s="319">
        <v>0</v>
      </c>
      <c r="CF129" s="320"/>
      <c r="CG129" s="319">
        <v>0</v>
      </c>
      <c r="CH129" s="320"/>
      <c r="CI129" s="319">
        <v>0</v>
      </c>
      <c r="CJ129" s="320">
        <v>0</v>
      </c>
      <c r="CK129" s="319">
        <v>0</v>
      </c>
      <c r="CL129" s="320"/>
      <c r="CM129" s="319">
        <v>0</v>
      </c>
      <c r="CN129" s="320"/>
      <c r="CO129" s="319">
        <v>0</v>
      </c>
      <c r="CP129" s="320">
        <v>0</v>
      </c>
      <c r="CQ129" s="319">
        <v>0</v>
      </c>
      <c r="CR129" s="320"/>
      <c r="CS129" s="319">
        <v>0</v>
      </c>
      <c r="CT129" s="320"/>
      <c r="CU129" s="319">
        <v>0</v>
      </c>
      <c r="CV129" s="320">
        <v>0</v>
      </c>
      <c r="CW129" s="319">
        <v>0</v>
      </c>
      <c r="CX129" s="320"/>
      <c r="CY129" s="319">
        <v>0</v>
      </c>
      <c r="CZ129" s="320"/>
      <c r="DA129" s="319">
        <v>0</v>
      </c>
      <c r="DB129" s="320">
        <v>0</v>
      </c>
      <c r="DC129" s="319">
        <v>0</v>
      </c>
      <c r="DD129" s="320"/>
      <c r="DE129" s="319">
        <v>0</v>
      </c>
      <c r="DF129" s="320"/>
      <c r="DG129" s="319">
        <v>0</v>
      </c>
      <c r="DH129" s="320">
        <v>0</v>
      </c>
      <c r="DI129" s="319">
        <v>0</v>
      </c>
      <c r="DJ129" s="320"/>
      <c r="DK129" s="319">
        <v>0</v>
      </c>
      <c r="DL129" s="320"/>
      <c r="DM129" s="319">
        <v>0</v>
      </c>
      <c r="DN129" s="320">
        <v>0</v>
      </c>
      <c r="DO129" s="319">
        <v>0</v>
      </c>
      <c r="DP129" s="320"/>
      <c r="DQ129" s="319">
        <v>0</v>
      </c>
      <c r="DR129" s="320"/>
      <c r="DS129" s="319">
        <v>0</v>
      </c>
      <c r="DT129" s="320">
        <v>0</v>
      </c>
      <c r="DU129" s="319">
        <v>0</v>
      </c>
      <c r="DV129" s="320"/>
      <c r="DW129" s="319">
        <v>0</v>
      </c>
      <c r="DX129" s="320"/>
      <c r="DY129" s="319">
        <v>0</v>
      </c>
      <c r="DZ129" s="320">
        <v>0</v>
      </c>
      <c r="EA129" s="319">
        <v>0</v>
      </c>
      <c r="EB129" s="320"/>
      <c r="EC129" s="319">
        <v>0</v>
      </c>
      <c r="ED129" s="320"/>
      <c r="EE129" s="319">
        <v>0</v>
      </c>
      <c r="EF129" s="320">
        <v>0</v>
      </c>
      <c r="EG129" s="319">
        <v>0</v>
      </c>
      <c r="EH129" s="320"/>
      <c r="EI129" s="319">
        <v>0</v>
      </c>
      <c r="EJ129" s="320"/>
      <c r="EK129" s="319">
        <v>0</v>
      </c>
      <c r="EL129" s="320">
        <v>0</v>
      </c>
      <c r="EM129" s="319">
        <v>0</v>
      </c>
      <c r="EN129" s="320"/>
      <c r="EO129" s="319">
        <v>0</v>
      </c>
      <c r="EP129" s="320"/>
      <c r="EQ129" s="319">
        <v>0</v>
      </c>
      <c r="ER129" s="320">
        <v>0</v>
      </c>
      <c r="ES129" s="319">
        <v>0</v>
      </c>
      <c r="ET129" s="320"/>
      <c r="EU129" s="319">
        <v>0</v>
      </c>
      <c r="EV129" s="320"/>
      <c r="EW129" s="319">
        <v>0</v>
      </c>
      <c r="EX129" s="320">
        <v>0</v>
      </c>
      <c r="EY129" s="319">
        <v>0</v>
      </c>
      <c r="EZ129" s="320"/>
      <c r="FA129" s="319">
        <v>0</v>
      </c>
      <c r="FB129" s="320"/>
      <c r="FC129" s="319">
        <v>0</v>
      </c>
      <c r="FD129" s="320">
        <v>0</v>
      </c>
      <c r="FE129" s="319">
        <v>0</v>
      </c>
      <c r="FF129" s="320"/>
      <c r="FG129" s="319">
        <v>0</v>
      </c>
      <c r="FH129" s="320"/>
      <c r="FI129" s="319">
        <v>0</v>
      </c>
      <c r="FJ129" s="320">
        <v>0</v>
      </c>
      <c r="FK129" s="319">
        <v>0</v>
      </c>
      <c r="FL129" s="320"/>
      <c r="FM129" s="319">
        <v>0</v>
      </c>
      <c r="FN129" s="320"/>
      <c r="FO129" s="319">
        <v>0</v>
      </c>
      <c r="FP129" s="320">
        <v>0</v>
      </c>
      <c r="FQ129" s="319">
        <v>0</v>
      </c>
      <c r="FR129" s="320"/>
      <c r="FS129" s="319">
        <v>0</v>
      </c>
      <c r="FT129" s="320"/>
      <c r="FU129" s="319">
        <v>0</v>
      </c>
      <c r="FV129" s="320">
        <v>0</v>
      </c>
      <c r="FW129" s="319">
        <v>0</v>
      </c>
      <c r="FX129" s="320"/>
      <c r="FY129" s="319">
        <v>0</v>
      </c>
      <c r="FZ129" s="320"/>
      <c r="GA129" s="319">
        <v>0</v>
      </c>
      <c r="GB129" s="320">
        <v>0</v>
      </c>
      <c r="GC129" s="319">
        <v>0</v>
      </c>
      <c r="GD129" s="320"/>
      <c r="GE129" s="319">
        <v>0</v>
      </c>
      <c r="GF129" s="320"/>
      <c r="GG129" s="319">
        <v>0</v>
      </c>
      <c r="GH129" s="320">
        <v>0</v>
      </c>
      <c r="GI129" s="319">
        <v>0</v>
      </c>
      <c r="GJ129" s="320"/>
      <c r="GK129" s="319">
        <v>0</v>
      </c>
      <c r="GL129" s="320"/>
      <c r="GM129" s="319">
        <v>0</v>
      </c>
      <c r="GN129" s="320">
        <v>0</v>
      </c>
      <c r="GO129" s="319">
        <v>0</v>
      </c>
      <c r="GP129" s="320"/>
      <c r="GQ129" s="319">
        <v>0</v>
      </c>
      <c r="GR129" s="320"/>
      <c r="GS129" s="319">
        <v>0</v>
      </c>
      <c r="GT129" s="320">
        <v>0</v>
      </c>
      <c r="GU129" s="319">
        <v>0</v>
      </c>
      <c r="GV129" s="320"/>
      <c r="GW129" s="319">
        <v>0</v>
      </c>
      <c r="GX129" s="320"/>
      <c r="GY129" s="319">
        <v>0</v>
      </c>
      <c r="GZ129" s="320">
        <v>0</v>
      </c>
    </row>
    <row r="130" spans="1:208" s="89" customFormat="1" ht="22.5" customHeight="1" thickBot="1" x14ac:dyDescent="0.25">
      <c r="A130" s="296" t="s">
        <v>3272</v>
      </c>
      <c r="B130" s="297" t="s">
        <v>3273</v>
      </c>
      <c r="C130" s="298" t="s">
        <v>3170</v>
      </c>
      <c r="D130" s="299" t="s">
        <v>3274</v>
      </c>
      <c r="E130" s="299" t="s">
        <v>3275</v>
      </c>
      <c r="F130" s="300" t="s">
        <v>3166</v>
      </c>
      <c r="G130" s="300" t="s">
        <v>3167</v>
      </c>
      <c r="H130" s="301" t="s">
        <v>1503</v>
      </c>
      <c r="I130" s="302" t="s">
        <v>1503</v>
      </c>
      <c r="J130" s="340" t="s">
        <v>3168</v>
      </c>
      <c r="K130" s="343" t="s">
        <v>53</v>
      </c>
      <c r="L130" s="256">
        <f>CONTINUA!BV130</f>
        <v>0</v>
      </c>
      <c r="M130" s="256">
        <f>CONTINUA!BW130</f>
        <v>0</v>
      </c>
      <c r="N130" s="564"/>
      <c r="O130" s="565" t="s">
        <v>3356</v>
      </c>
      <c r="P130" s="566">
        <v>0</v>
      </c>
      <c r="Q130" s="319">
        <v>0</v>
      </c>
      <c r="R130" s="320"/>
      <c r="S130" s="319">
        <v>0</v>
      </c>
      <c r="T130" s="320"/>
      <c r="U130" s="321">
        <v>0</v>
      </c>
      <c r="V130" s="322">
        <v>0</v>
      </c>
      <c r="W130" s="319">
        <v>0</v>
      </c>
      <c r="X130" s="320"/>
      <c r="Y130" s="319">
        <v>0</v>
      </c>
      <c r="Z130" s="320"/>
      <c r="AA130" s="321">
        <v>0</v>
      </c>
      <c r="AB130" s="322">
        <v>0</v>
      </c>
      <c r="AC130" s="319">
        <v>0</v>
      </c>
      <c r="AD130" s="320"/>
      <c r="AE130" s="319">
        <v>0</v>
      </c>
      <c r="AF130" s="320"/>
      <c r="AG130" s="321">
        <v>0</v>
      </c>
      <c r="AH130" s="322">
        <v>0</v>
      </c>
      <c r="AI130" s="319">
        <v>0</v>
      </c>
      <c r="AJ130" s="320"/>
      <c r="AK130" s="319">
        <v>0</v>
      </c>
      <c r="AL130" s="320"/>
      <c r="AM130" s="321">
        <v>0</v>
      </c>
      <c r="AN130" s="322">
        <v>0</v>
      </c>
      <c r="AO130" s="319">
        <v>0</v>
      </c>
      <c r="AP130" s="320"/>
      <c r="AQ130" s="319">
        <v>0</v>
      </c>
      <c r="AR130" s="320"/>
      <c r="AS130" s="321">
        <v>0</v>
      </c>
      <c r="AT130" s="322">
        <v>0</v>
      </c>
      <c r="AU130" s="319">
        <v>0</v>
      </c>
      <c r="AV130" s="320"/>
      <c r="AW130" s="319">
        <v>0</v>
      </c>
      <c r="AX130" s="320"/>
      <c r="AY130" s="321">
        <v>0</v>
      </c>
      <c r="AZ130" s="322">
        <v>0</v>
      </c>
      <c r="BA130" s="319">
        <v>0</v>
      </c>
      <c r="BB130" s="320"/>
      <c r="BC130" s="319">
        <v>0</v>
      </c>
      <c r="BD130" s="320"/>
      <c r="BE130" s="321">
        <v>0</v>
      </c>
      <c r="BF130" s="322">
        <v>0</v>
      </c>
      <c r="BG130" s="319">
        <v>0</v>
      </c>
      <c r="BH130" s="320"/>
      <c r="BI130" s="319">
        <v>0</v>
      </c>
      <c r="BJ130" s="320"/>
      <c r="BK130" s="321">
        <v>0</v>
      </c>
      <c r="BL130" s="322">
        <v>0</v>
      </c>
      <c r="BM130" s="319">
        <v>0</v>
      </c>
      <c r="BN130" s="320"/>
      <c r="BO130" s="319">
        <v>0</v>
      </c>
      <c r="BP130" s="320"/>
      <c r="BQ130" s="321">
        <v>0</v>
      </c>
      <c r="BR130" s="322">
        <v>0</v>
      </c>
      <c r="BS130" s="319">
        <v>0</v>
      </c>
      <c r="BT130" s="320"/>
      <c r="BU130" s="319">
        <v>0</v>
      </c>
      <c r="BV130" s="320"/>
      <c r="BW130" s="321">
        <v>0</v>
      </c>
      <c r="BX130" s="322">
        <v>0</v>
      </c>
      <c r="BY130" s="319">
        <v>0</v>
      </c>
      <c r="BZ130" s="320"/>
      <c r="CA130" s="319">
        <v>0</v>
      </c>
      <c r="CB130" s="320"/>
      <c r="CC130" s="321">
        <v>0</v>
      </c>
      <c r="CD130" s="322">
        <v>0</v>
      </c>
      <c r="CE130" s="319">
        <v>0</v>
      </c>
      <c r="CF130" s="320"/>
      <c r="CG130" s="319">
        <v>0</v>
      </c>
      <c r="CH130" s="320"/>
      <c r="CI130" s="321">
        <v>0</v>
      </c>
      <c r="CJ130" s="322">
        <v>0</v>
      </c>
      <c r="CK130" s="319">
        <v>0</v>
      </c>
      <c r="CL130" s="320"/>
      <c r="CM130" s="319">
        <v>0</v>
      </c>
      <c r="CN130" s="320"/>
      <c r="CO130" s="321">
        <v>0</v>
      </c>
      <c r="CP130" s="322">
        <v>0</v>
      </c>
      <c r="CQ130" s="319">
        <v>0</v>
      </c>
      <c r="CR130" s="320"/>
      <c r="CS130" s="319">
        <v>0</v>
      </c>
      <c r="CT130" s="320"/>
      <c r="CU130" s="321">
        <v>0</v>
      </c>
      <c r="CV130" s="322">
        <v>0</v>
      </c>
      <c r="CW130" s="319">
        <v>0</v>
      </c>
      <c r="CX130" s="320"/>
      <c r="CY130" s="319">
        <v>0</v>
      </c>
      <c r="CZ130" s="320"/>
      <c r="DA130" s="321">
        <v>0</v>
      </c>
      <c r="DB130" s="322">
        <v>0</v>
      </c>
      <c r="DC130" s="319">
        <v>0</v>
      </c>
      <c r="DD130" s="320"/>
      <c r="DE130" s="319">
        <v>0</v>
      </c>
      <c r="DF130" s="320"/>
      <c r="DG130" s="321">
        <v>0</v>
      </c>
      <c r="DH130" s="322">
        <v>0</v>
      </c>
      <c r="DI130" s="319">
        <v>0</v>
      </c>
      <c r="DJ130" s="320"/>
      <c r="DK130" s="319">
        <v>0</v>
      </c>
      <c r="DL130" s="320"/>
      <c r="DM130" s="321">
        <v>0</v>
      </c>
      <c r="DN130" s="322">
        <v>0</v>
      </c>
      <c r="DO130" s="319">
        <v>0</v>
      </c>
      <c r="DP130" s="320"/>
      <c r="DQ130" s="319">
        <v>0</v>
      </c>
      <c r="DR130" s="320"/>
      <c r="DS130" s="321">
        <v>0</v>
      </c>
      <c r="DT130" s="322">
        <v>0</v>
      </c>
      <c r="DU130" s="319">
        <v>0</v>
      </c>
      <c r="DV130" s="320"/>
      <c r="DW130" s="319">
        <v>0</v>
      </c>
      <c r="DX130" s="320"/>
      <c r="DY130" s="321">
        <v>0</v>
      </c>
      <c r="DZ130" s="322">
        <v>0</v>
      </c>
      <c r="EA130" s="319">
        <v>0</v>
      </c>
      <c r="EB130" s="320"/>
      <c r="EC130" s="319">
        <v>0</v>
      </c>
      <c r="ED130" s="320"/>
      <c r="EE130" s="321">
        <v>0</v>
      </c>
      <c r="EF130" s="322">
        <v>0</v>
      </c>
      <c r="EG130" s="319">
        <v>0</v>
      </c>
      <c r="EH130" s="320"/>
      <c r="EI130" s="319">
        <v>0</v>
      </c>
      <c r="EJ130" s="320"/>
      <c r="EK130" s="321">
        <v>0</v>
      </c>
      <c r="EL130" s="322">
        <v>0</v>
      </c>
      <c r="EM130" s="319">
        <v>0</v>
      </c>
      <c r="EN130" s="320"/>
      <c r="EO130" s="319">
        <v>0</v>
      </c>
      <c r="EP130" s="320"/>
      <c r="EQ130" s="321">
        <v>0</v>
      </c>
      <c r="ER130" s="322">
        <v>0</v>
      </c>
      <c r="ES130" s="319">
        <v>0</v>
      </c>
      <c r="ET130" s="320"/>
      <c r="EU130" s="319">
        <v>0</v>
      </c>
      <c r="EV130" s="320"/>
      <c r="EW130" s="321">
        <v>0</v>
      </c>
      <c r="EX130" s="322">
        <v>0</v>
      </c>
      <c r="EY130" s="319">
        <v>0</v>
      </c>
      <c r="EZ130" s="320"/>
      <c r="FA130" s="319">
        <v>0</v>
      </c>
      <c r="FB130" s="320"/>
      <c r="FC130" s="321">
        <v>0</v>
      </c>
      <c r="FD130" s="322">
        <v>0</v>
      </c>
      <c r="FE130" s="319">
        <v>0</v>
      </c>
      <c r="FF130" s="320"/>
      <c r="FG130" s="319">
        <v>0</v>
      </c>
      <c r="FH130" s="320"/>
      <c r="FI130" s="321">
        <v>0</v>
      </c>
      <c r="FJ130" s="322">
        <v>0</v>
      </c>
      <c r="FK130" s="319">
        <v>0</v>
      </c>
      <c r="FL130" s="320"/>
      <c r="FM130" s="319">
        <v>0</v>
      </c>
      <c r="FN130" s="320"/>
      <c r="FO130" s="321">
        <v>0</v>
      </c>
      <c r="FP130" s="322">
        <v>0</v>
      </c>
      <c r="FQ130" s="319">
        <v>0</v>
      </c>
      <c r="FR130" s="320"/>
      <c r="FS130" s="319">
        <v>0</v>
      </c>
      <c r="FT130" s="320"/>
      <c r="FU130" s="321">
        <v>0</v>
      </c>
      <c r="FV130" s="322">
        <v>0</v>
      </c>
      <c r="FW130" s="319">
        <v>0</v>
      </c>
      <c r="FX130" s="320"/>
      <c r="FY130" s="319">
        <v>0</v>
      </c>
      <c r="FZ130" s="320"/>
      <c r="GA130" s="321">
        <v>0</v>
      </c>
      <c r="GB130" s="322">
        <v>0</v>
      </c>
      <c r="GC130" s="319">
        <v>0</v>
      </c>
      <c r="GD130" s="320"/>
      <c r="GE130" s="319">
        <v>0</v>
      </c>
      <c r="GF130" s="320"/>
      <c r="GG130" s="321">
        <v>0</v>
      </c>
      <c r="GH130" s="322">
        <v>0</v>
      </c>
      <c r="GI130" s="319">
        <v>0</v>
      </c>
      <c r="GJ130" s="320"/>
      <c r="GK130" s="319">
        <v>0</v>
      </c>
      <c r="GL130" s="320"/>
      <c r="GM130" s="321">
        <v>0</v>
      </c>
      <c r="GN130" s="322">
        <v>0</v>
      </c>
      <c r="GO130" s="319">
        <v>0</v>
      </c>
      <c r="GP130" s="320"/>
      <c r="GQ130" s="319">
        <v>0</v>
      </c>
      <c r="GR130" s="320"/>
      <c r="GS130" s="321">
        <v>0</v>
      </c>
      <c r="GT130" s="322">
        <v>0</v>
      </c>
      <c r="GU130" s="319">
        <v>0</v>
      </c>
      <c r="GV130" s="320"/>
      <c r="GW130" s="319">
        <v>0</v>
      </c>
      <c r="GX130" s="320"/>
      <c r="GY130" s="321">
        <v>0</v>
      </c>
      <c r="GZ130" s="322">
        <v>0</v>
      </c>
    </row>
    <row r="131" spans="1:208" s="89" customFormat="1" ht="22.5" customHeight="1" x14ac:dyDescent="0.2">
      <c r="A131" t="s">
        <v>3276</v>
      </c>
      <c r="B131" s="429" t="s">
        <v>3277</v>
      </c>
      <c r="C131" s="430">
        <v>1</v>
      </c>
      <c r="D131" s="431" t="s">
        <v>3278</v>
      </c>
      <c r="E131" s="431" t="s">
        <v>3279</v>
      </c>
      <c r="F131" s="432" t="s">
        <v>3166</v>
      </c>
      <c r="G131" s="432" t="s">
        <v>3167</v>
      </c>
      <c r="H131" s="270" t="s">
        <v>1504</v>
      </c>
      <c r="I131" s="271" t="s">
        <v>1504</v>
      </c>
      <c r="J131" s="328" t="s">
        <v>3168</v>
      </c>
      <c r="K131" s="329" t="s">
        <v>3169</v>
      </c>
      <c r="L131" s="256">
        <f>CONTINUA!BV131</f>
        <v>0</v>
      </c>
      <c r="M131" s="256">
        <f>CONTINUA!BW131</f>
        <v>0</v>
      </c>
      <c r="N131" s="564"/>
      <c r="O131" s="565" t="s">
        <v>3357</v>
      </c>
      <c r="P131" s="566">
        <v>0</v>
      </c>
      <c r="Q131" s="319">
        <v>0</v>
      </c>
      <c r="R131" s="320"/>
      <c r="S131" s="319">
        <v>0</v>
      </c>
      <c r="T131" s="320"/>
      <c r="U131" s="321">
        <v>0</v>
      </c>
      <c r="V131" s="322">
        <v>0</v>
      </c>
      <c r="W131" s="319">
        <v>0</v>
      </c>
      <c r="X131" s="320"/>
      <c r="Y131" s="319">
        <v>0</v>
      </c>
      <c r="Z131" s="320"/>
      <c r="AA131" s="321">
        <v>0</v>
      </c>
      <c r="AB131" s="322">
        <v>0</v>
      </c>
      <c r="AC131" s="319">
        <v>0</v>
      </c>
      <c r="AD131" s="320"/>
      <c r="AE131" s="319">
        <v>0</v>
      </c>
      <c r="AF131" s="320"/>
      <c r="AG131" s="321">
        <v>0</v>
      </c>
      <c r="AH131" s="322">
        <v>0</v>
      </c>
      <c r="AI131" s="319">
        <v>0</v>
      </c>
      <c r="AJ131" s="320"/>
      <c r="AK131" s="319">
        <v>0</v>
      </c>
      <c r="AL131" s="320"/>
      <c r="AM131" s="321">
        <v>0</v>
      </c>
      <c r="AN131" s="322">
        <v>0</v>
      </c>
      <c r="AO131" s="319">
        <v>0</v>
      </c>
      <c r="AP131" s="320"/>
      <c r="AQ131" s="319">
        <v>0</v>
      </c>
      <c r="AR131" s="320"/>
      <c r="AS131" s="321">
        <v>0</v>
      </c>
      <c r="AT131" s="322">
        <v>0</v>
      </c>
      <c r="AU131" s="319">
        <v>0</v>
      </c>
      <c r="AV131" s="320"/>
      <c r="AW131" s="319">
        <v>0</v>
      </c>
      <c r="AX131" s="320"/>
      <c r="AY131" s="321">
        <v>0</v>
      </c>
      <c r="AZ131" s="322">
        <v>0</v>
      </c>
      <c r="BA131" s="319">
        <v>0</v>
      </c>
      <c r="BB131" s="320"/>
      <c r="BC131" s="319">
        <v>0</v>
      </c>
      <c r="BD131" s="320"/>
      <c r="BE131" s="321">
        <v>0</v>
      </c>
      <c r="BF131" s="322">
        <v>0</v>
      </c>
      <c r="BG131" s="319">
        <v>0</v>
      </c>
      <c r="BH131" s="320"/>
      <c r="BI131" s="319">
        <v>0</v>
      </c>
      <c r="BJ131" s="320"/>
      <c r="BK131" s="321">
        <v>0</v>
      </c>
      <c r="BL131" s="322">
        <v>0</v>
      </c>
      <c r="BM131" s="319">
        <v>0</v>
      </c>
      <c r="BN131" s="320"/>
      <c r="BO131" s="319">
        <v>0</v>
      </c>
      <c r="BP131" s="320"/>
      <c r="BQ131" s="321">
        <v>0</v>
      </c>
      <c r="BR131" s="322">
        <v>0</v>
      </c>
      <c r="BS131" s="319">
        <v>0</v>
      </c>
      <c r="BT131" s="320"/>
      <c r="BU131" s="319">
        <v>0</v>
      </c>
      <c r="BV131" s="320"/>
      <c r="BW131" s="321">
        <v>0</v>
      </c>
      <c r="BX131" s="322">
        <v>0</v>
      </c>
      <c r="BY131" s="319">
        <v>0</v>
      </c>
      <c r="BZ131" s="320"/>
      <c r="CA131" s="319">
        <v>0</v>
      </c>
      <c r="CB131" s="320"/>
      <c r="CC131" s="321">
        <v>0</v>
      </c>
      <c r="CD131" s="322">
        <v>0</v>
      </c>
      <c r="CE131" s="319">
        <v>0</v>
      </c>
      <c r="CF131" s="320"/>
      <c r="CG131" s="319">
        <v>0</v>
      </c>
      <c r="CH131" s="320"/>
      <c r="CI131" s="321">
        <v>0</v>
      </c>
      <c r="CJ131" s="322">
        <v>0</v>
      </c>
      <c r="CK131" s="319">
        <v>0</v>
      </c>
      <c r="CL131" s="320"/>
      <c r="CM131" s="319">
        <v>0</v>
      </c>
      <c r="CN131" s="320"/>
      <c r="CO131" s="321">
        <v>0</v>
      </c>
      <c r="CP131" s="322">
        <v>0</v>
      </c>
      <c r="CQ131" s="319">
        <v>0</v>
      </c>
      <c r="CR131" s="320"/>
      <c r="CS131" s="319">
        <v>0</v>
      </c>
      <c r="CT131" s="320"/>
      <c r="CU131" s="321">
        <v>0</v>
      </c>
      <c r="CV131" s="322">
        <v>0</v>
      </c>
      <c r="CW131" s="319">
        <v>0</v>
      </c>
      <c r="CX131" s="320"/>
      <c r="CY131" s="319">
        <v>0</v>
      </c>
      <c r="CZ131" s="320"/>
      <c r="DA131" s="321">
        <v>0</v>
      </c>
      <c r="DB131" s="322">
        <v>0</v>
      </c>
      <c r="DC131" s="319">
        <v>0</v>
      </c>
      <c r="DD131" s="320"/>
      <c r="DE131" s="319">
        <v>0</v>
      </c>
      <c r="DF131" s="320"/>
      <c r="DG131" s="321">
        <v>0</v>
      </c>
      <c r="DH131" s="322">
        <v>0</v>
      </c>
      <c r="DI131" s="319">
        <v>0</v>
      </c>
      <c r="DJ131" s="320"/>
      <c r="DK131" s="319">
        <v>0</v>
      </c>
      <c r="DL131" s="320"/>
      <c r="DM131" s="321">
        <v>0</v>
      </c>
      <c r="DN131" s="322">
        <v>0</v>
      </c>
      <c r="DO131" s="319">
        <v>0</v>
      </c>
      <c r="DP131" s="320"/>
      <c r="DQ131" s="319">
        <v>0</v>
      </c>
      <c r="DR131" s="320"/>
      <c r="DS131" s="321">
        <v>0</v>
      </c>
      <c r="DT131" s="322">
        <v>0</v>
      </c>
      <c r="DU131" s="319">
        <v>0</v>
      </c>
      <c r="DV131" s="320"/>
      <c r="DW131" s="319">
        <v>0</v>
      </c>
      <c r="DX131" s="320"/>
      <c r="DY131" s="321">
        <v>0</v>
      </c>
      <c r="DZ131" s="322">
        <v>0</v>
      </c>
      <c r="EA131" s="319">
        <v>0</v>
      </c>
      <c r="EB131" s="320"/>
      <c r="EC131" s="319">
        <v>0</v>
      </c>
      <c r="ED131" s="320"/>
      <c r="EE131" s="321">
        <v>0</v>
      </c>
      <c r="EF131" s="322">
        <v>0</v>
      </c>
      <c r="EG131" s="319">
        <v>0</v>
      </c>
      <c r="EH131" s="320"/>
      <c r="EI131" s="319">
        <v>0</v>
      </c>
      <c r="EJ131" s="320"/>
      <c r="EK131" s="321">
        <v>0</v>
      </c>
      <c r="EL131" s="322">
        <v>0</v>
      </c>
      <c r="EM131" s="319">
        <v>0</v>
      </c>
      <c r="EN131" s="320"/>
      <c r="EO131" s="319">
        <v>0</v>
      </c>
      <c r="EP131" s="320"/>
      <c r="EQ131" s="321">
        <v>0</v>
      </c>
      <c r="ER131" s="322">
        <v>0</v>
      </c>
      <c r="ES131" s="319">
        <v>0</v>
      </c>
      <c r="ET131" s="320"/>
      <c r="EU131" s="319">
        <v>0</v>
      </c>
      <c r="EV131" s="320"/>
      <c r="EW131" s="321">
        <v>0</v>
      </c>
      <c r="EX131" s="322">
        <v>0</v>
      </c>
      <c r="EY131" s="319">
        <v>0</v>
      </c>
      <c r="EZ131" s="320"/>
      <c r="FA131" s="319">
        <v>0</v>
      </c>
      <c r="FB131" s="320"/>
      <c r="FC131" s="321">
        <v>0</v>
      </c>
      <c r="FD131" s="322">
        <v>0</v>
      </c>
      <c r="FE131" s="319">
        <v>0</v>
      </c>
      <c r="FF131" s="320"/>
      <c r="FG131" s="319">
        <v>0</v>
      </c>
      <c r="FH131" s="320"/>
      <c r="FI131" s="321">
        <v>0</v>
      </c>
      <c r="FJ131" s="322">
        <v>0</v>
      </c>
      <c r="FK131" s="319">
        <v>0</v>
      </c>
      <c r="FL131" s="320"/>
      <c r="FM131" s="319">
        <v>0</v>
      </c>
      <c r="FN131" s="320"/>
      <c r="FO131" s="321">
        <v>0</v>
      </c>
      <c r="FP131" s="322">
        <v>0</v>
      </c>
      <c r="FQ131" s="319">
        <v>0</v>
      </c>
      <c r="FR131" s="320"/>
      <c r="FS131" s="319">
        <v>0</v>
      </c>
      <c r="FT131" s="320"/>
      <c r="FU131" s="321">
        <v>0</v>
      </c>
      <c r="FV131" s="322">
        <v>0</v>
      </c>
      <c r="FW131" s="319">
        <v>0</v>
      </c>
      <c r="FX131" s="320"/>
      <c r="FY131" s="319">
        <v>0</v>
      </c>
      <c r="FZ131" s="320"/>
      <c r="GA131" s="321">
        <v>0</v>
      </c>
      <c r="GB131" s="322">
        <v>0</v>
      </c>
      <c r="GC131" s="319">
        <v>0</v>
      </c>
      <c r="GD131" s="320"/>
      <c r="GE131" s="319">
        <v>0</v>
      </c>
      <c r="GF131" s="320"/>
      <c r="GG131" s="321">
        <v>0</v>
      </c>
      <c r="GH131" s="322">
        <v>0</v>
      </c>
      <c r="GI131" s="319">
        <v>0</v>
      </c>
      <c r="GJ131" s="320"/>
      <c r="GK131" s="319">
        <v>0</v>
      </c>
      <c r="GL131" s="320"/>
      <c r="GM131" s="321">
        <v>0</v>
      </c>
      <c r="GN131" s="322">
        <v>0</v>
      </c>
      <c r="GO131" s="319">
        <v>0</v>
      </c>
      <c r="GP131" s="320"/>
      <c r="GQ131" s="319">
        <v>0</v>
      </c>
      <c r="GR131" s="320"/>
      <c r="GS131" s="321">
        <v>0</v>
      </c>
      <c r="GT131" s="322">
        <v>0</v>
      </c>
      <c r="GU131" s="319">
        <v>0</v>
      </c>
      <c r="GV131" s="320"/>
      <c r="GW131" s="319">
        <v>0</v>
      </c>
      <c r="GX131" s="320"/>
      <c r="GY131" s="321">
        <v>0</v>
      </c>
      <c r="GZ131" s="322">
        <v>0</v>
      </c>
    </row>
    <row r="132" spans="1:208" s="89" customFormat="1" ht="22.5" customHeight="1" x14ac:dyDescent="0.2">
      <c r="A132" s="287" t="s">
        <v>3276</v>
      </c>
      <c r="B132" s="288" t="s">
        <v>3277</v>
      </c>
      <c r="C132" s="289" t="s">
        <v>3170</v>
      </c>
      <c r="D132" s="290" t="s">
        <v>3278</v>
      </c>
      <c r="E132" s="290" t="s">
        <v>3279</v>
      </c>
      <c r="F132" s="291" t="s">
        <v>3166</v>
      </c>
      <c r="G132" s="291" t="s">
        <v>3167</v>
      </c>
      <c r="H132" s="292" t="s">
        <v>1504</v>
      </c>
      <c r="I132" s="293" t="s">
        <v>1504</v>
      </c>
      <c r="J132" s="340" t="s">
        <v>3168</v>
      </c>
      <c r="K132" s="340" t="s">
        <v>3171</v>
      </c>
      <c r="L132" s="256">
        <f>CONTINUA!BV132</f>
        <v>20</v>
      </c>
      <c r="M132" s="256">
        <f>CONTINUA!BW132</f>
        <v>0</v>
      </c>
      <c r="N132" s="564"/>
      <c r="O132" s="565" t="s">
        <v>3357</v>
      </c>
      <c r="P132" s="566">
        <v>0</v>
      </c>
      <c r="Q132" s="319">
        <v>30</v>
      </c>
      <c r="R132" s="320"/>
      <c r="S132" s="319">
        <v>0</v>
      </c>
      <c r="T132" s="320"/>
      <c r="U132" s="319">
        <v>0</v>
      </c>
      <c r="V132" s="320">
        <v>0</v>
      </c>
      <c r="W132" s="319">
        <v>30</v>
      </c>
      <c r="X132" s="320"/>
      <c r="Y132" s="319">
        <v>0</v>
      </c>
      <c r="Z132" s="320"/>
      <c r="AA132" s="319">
        <v>0</v>
      </c>
      <c r="AB132" s="320">
        <v>0</v>
      </c>
      <c r="AC132" s="319">
        <v>30</v>
      </c>
      <c r="AD132" s="320"/>
      <c r="AE132" s="319">
        <v>0</v>
      </c>
      <c r="AF132" s="320"/>
      <c r="AG132" s="319">
        <v>0</v>
      </c>
      <c r="AH132" s="320">
        <v>0</v>
      </c>
      <c r="AI132" s="319">
        <v>30</v>
      </c>
      <c r="AJ132" s="320"/>
      <c r="AK132" s="319">
        <v>0</v>
      </c>
      <c r="AL132" s="320"/>
      <c r="AM132" s="319">
        <v>0</v>
      </c>
      <c r="AN132" s="320">
        <v>0</v>
      </c>
      <c r="AO132" s="319">
        <v>30</v>
      </c>
      <c r="AP132" s="320"/>
      <c r="AQ132" s="319">
        <v>0</v>
      </c>
      <c r="AR132" s="320"/>
      <c r="AS132" s="319">
        <v>0</v>
      </c>
      <c r="AT132" s="320">
        <v>0</v>
      </c>
      <c r="AU132" s="319">
        <v>30</v>
      </c>
      <c r="AV132" s="320"/>
      <c r="AW132" s="319">
        <v>0</v>
      </c>
      <c r="AX132" s="320"/>
      <c r="AY132" s="319">
        <v>0</v>
      </c>
      <c r="AZ132" s="320">
        <v>0</v>
      </c>
      <c r="BA132" s="319">
        <v>30</v>
      </c>
      <c r="BB132" s="320"/>
      <c r="BC132" s="319">
        <v>0</v>
      </c>
      <c r="BD132" s="320"/>
      <c r="BE132" s="319">
        <v>0</v>
      </c>
      <c r="BF132" s="320">
        <v>0</v>
      </c>
      <c r="BG132" s="319">
        <v>30</v>
      </c>
      <c r="BH132" s="320"/>
      <c r="BI132" s="319">
        <v>0</v>
      </c>
      <c r="BJ132" s="320"/>
      <c r="BK132" s="319">
        <v>0</v>
      </c>
      <c r="BL132" s="320">
        <v>0</v>
      </c>
      <c r="BM132" s="319">
        <v>30</v>
      </c>
      <c r="BN132" s="320"/>
      <c r="BO132" s="319">
        <v>0</v>
      </c>
      <c r="BP132" s="320"/>
      <c r="BQ132" s="319">
        <v>0</v>
      </c>
      <c r="BR132" s="320">
        <v>0</v>
      </c>
      <c r="BS132" s="319">
        <v>30</v>
      </c>
      <c r="BT132" s="320"/>
      <c r="BU132" s="319">
        <v>0</v>
      </c>
      <c r="BV132" s="320"/>
      <c r="BW132" s="319">
        <v>0</v>
      </c>
      <c r="BX132" s="320">
        <v>0</v>
      </c>
      <c r="BY132" s="319">
        <v>30</v>
      </c>
      <c r="BZ132" s="320"/>
      <c r="CA132" s="319">
        <v>0</v>
      </c>
      <c r="CB132" s="320"/>
      <c r="CC132" s="319">
        <v>0</v>
      </c>
      <c r="CD132" s="320">
        <v>0</v>
      </c>
      <c r="CE132" s="319">
        <v>30</v>
      </c>
      <c r="CF132" s="320"/>
      <c r="CG132" s="319">
        <v>0</v>
      </c>
      <c r="CH132" s="320"/>
      <c r="CI132" s="319">
        <v>0</v>
      </c>
      <c r="CJ132" s="320">
        <v>0</v>
      </c>
      <c r="CK132" s="319">
        <v>30</v>
      </c>
      <c r="CL132" s="320"/>
      <c r="CM132" s="319">
        <v>0</v>
      </c>
      <c r="CN132" s="320"/>
      <c r="CO132" s="319">
        <v>0</v>
      </c>
      <c r="CP132" s="320">
        <v>0</v>
      </c>
      <c r="CQ132" s="319">
        <v>30</v>
      </c>
      <c r="CR132" s="320"/>
      <c r="CS132" s="319">
        <v>0</v>
      </c>
      <c r="CT132" s="320"/>
      <c r="CU132" s="319">
        <v>0</v>
      </c>
      <c r="CV132" s="320">
        <v>0</v>
      </c>
      <c r="CW132" s="319">
        <v>30</v>
      </c>
      <c r="CX132" s="320"/>
      <c r="CY132" s="319">
        <v>0</v>
      </c>
      <c r="CZ132" s="320"/>
      <c r="DA132" s="319">
        <v>0</v>
      </c>
      <c r="DB132" s="320">
        <v>0</v>
      </c>
      <c r="DC132" s="319">
        <v>30</v>
      </c>
      <c r="DD132" s="320"/>
      <c r="DE132" s="319">
        <v>0</v>
      </c>
      <c r="DF132" s="320"/>
      <c r="DG132" s="319">
        <v>0</v>
      </c>
      <c r="DH132" s="320">
        <v>0</v>
      </c>
      <c r="DI132" s="319">
        <v>30</v>
      </c>
      <c r="DJ132" s="320"/>
      <c r="DK132" s="319">
        <v>0</v>
      </c>
      <c r="DL132" s="320"/>
      <c r="DM132" s="319">
        <v>0</v>
      </c>
      <c r="DN132" s="320">
        <v>0</v>
      </c>
      <c r="DO132" s="319">
        <v>30</v>
      </c>
      <c r="DP132" s="320"/>
      <c r="DQ132" s="319">
        <v>0</v>
      </c>
      <c r="DR132" s="320"/>
      <c r="DS132" s="319">
        <v>0</v>
      </c>
      <c r="DT132" s="320">
        <v>0</v>
      </c>
      <c r="DU132" s="319">
        <v>30</v>
      </c>
      <c r="DV132" s="320"/>
      <c r="DW132" s="319">
        <v>0</v>
      </c>
      <c r="DX132" s="320"/>
      <c r="DY132" s="319">
        <v>0</v>
      </c>
      <c r="DZ132" s="320">
        <v>0</v>
      </c>
      <c r="EA132" s="319">
        <v>30</v>
      </c>
      <c r="EB132" s="320"/>
      <c r="EC132" s="319">
        <v>0</v>
      </c>
      <c r="ED132" s="320"/>
      <c r="EE132" s="319">
        <v>0</v>
      </c>
      <c r="EF132" s="320">
        <v>0</v>
      </c>
      <c r="EG132" s="319">
        <v>30</v>
      </c>
      <c r="EH132" s="320"/>
      <c r="EI132" s="319">
        <v>0</v>
      </c>
      <c r="EJ132" s="320"/>
      <c r="EK132" s="319">
        <v>0</v>
      </c>
      <c r="EL132" s="320">
        <v>0</v>
      </c>
      <c r="EM132" s="319">
        <v>30</v>
      </c>
      <c r="EN132" s="320"/>
      <c r="EO132" s="319">
        <v>0</v>
      </c>
      <c r="EP132" s="320"/>
      <c r="EQ132" s="319">
        <v>0</v>
      </c>
      <c r="ER132" s="320">
        <v>0</v>
      </c>
      <c r="ES132" s="319">
        <v>30</v>
      </c>
      <c r="ET132" s="320"/>
      <c r="EU132" s="319">
        <v>0</v>
      </c>
      <c r="EV132" s="320"/>
      <c r="EW132" s="319">
        <v>0</v>
      </c>
      <c r="EX132" s="320">
        <v>0</v>
      </c>
      <c r="EY132" s="319">
        <v>30</v>
      </c>
      <c r="EZ132" s="320"/>
      <c r="FA132" s="319">
        <v>0</v>
      </c>
      <c r="FB132" s="320"/>
      <c r="FC132" s="319">
        <v>0</v>
      </c>
      <c r="FD132" s="320">
        <v>0</v>
      </c>
      <c r="FE132" s="319">
        <v>30</v>
      </c>
      <c r="FF132" s="320"/>
      <c r="FG132" s="319">
        <v>0</v>
      </c>
      <c r="FH132" s="320"/>
      <c r="FI132" s="319">
        <v>0</v>
      </c>
      <c r="FJ132" s="320">
        <v>0</v>
      </c>
      <c r="FK132" s="319">
        <v>30</v>
      </c>
      <c r="FL132" s="320"/>
      <c r="FM132" s="319">
        <v>0</v>
      </c>
      <c r="FN132" s="320"/>
      <c r="FO132" s="319">
        <v>0</v>
      </c>
      <c r="FP132" s="320">
        <v>0</v>
      </c>
      <c r="FQ132" s="319">
        <v>30</v>
      </c>
      <c r="FR132" s="320"/>
      <c r="FS132" s="319">
        <v>0</v>
      </c>
      <c r="FT132" s="320"/>
      <c r="FU132" s="319">
        <v>0</v>
      </c>
      <c r="FV132" s="320">
        <v>0</v>
      </c>
      <c r="FW132" s="319">
        <v>30</v>
      </c>
      <c r="FX132" s="320"/>
      <c r="FY132" s="319">
        <v>0</v>
      </c>
      <c r="FZ132" s="320"/>
      <c r="GA132" s="319">
        <v>0</v>
      </c>
      <c r="GB132" s="320">
        <v>0</v>
      </c>
      <c r="GC132" s="319">
        <v>30</v>
      </c>
      <c r="GD132" s="320"/>
      <c r="GE132" s="319">
        <v>0</v>
      </c>
      <c r="GF132" s="320"/>
      <c r="GG132" s="319">
        <v>0</v>
      </c>
      <c r="GH132" s="320">
        <v>0</v>
      </c>
      <c r="GI132" s="319">
        <v>30</v>
      </c>
      <c r="GJ132" s="320"/>
      <c r="GK132" s="319">
        <v>0</v>
      </c>
      <c r="GL132" s="320"/>
      <c r="GM132" s="319">
        <v>0</v>
      </c>
      <c r="GN132" s="320">
        <v>0</v>
      </c>
      <c r="GO132" s="319">
        <v>30</v>
      </c>
      <c r="GP132" s="320"/>
      <c r="GQ132" s="319">
        <v>0</v>
      </c>
      <c r="GR132" s="320"/>
      <c r="GS132" s="319">
        <v>0</v>
      </c>
      <c r="GT132" s="320">
        <v>0</v>
      </c>
      <c r="GU132" s="319">
        <v>30</v>
      </c>
      <c r="GV132" s="320"/>
      <c r="GW132" s="319">
        <v>0</v>
      </c>
      <c r="GX132" s="320"/>
      <c r="GY132" s="319">
        <v>0</v>
      </c>
      <c r="GZ132" s="320">
        <v>0</v>
      </c>
    </row>
    <row r="133" spans="1:208" s="89" customFormat="1" ht="22.5" customHeight="1" x14ac:dyDescent="0.2">
      <c r="A133" s="287" t="s">
        <v>3276</v>
      </c>
      <c r="B133" s="288" t="s">
        <v>3277</v>
      </c>
      <c r="C133" s="294" t="s">
        <v>3170</v>
      </c>
      <c r="D133" s="290" t="s">
        <v>3278</v>
      </c>
      <c r="E133" s="290" t="s">
        <v>3279</v>
      </c>
      <c r="F133" s="295" t="s">
        <v>3166</v>
      </c>
      <c r="G133" s="295" t="s">
        <v>3167</v>
      </c>
      <c r="H133" s="292" t="s">
        <v>1504</v>
      </c>
      <c r="I133" s="293" t="s">
        <v>1504</v>
      </c>
      <c r="J133" s="340" t="s">
        <v>3168</v>
      </c>
      <c r="K133" s="341" t="s">
        <v>3172</v>
      </c>
      <c r="L133" s="256">
        <f>CONTINUA!BV133</f>
        <v>0</v>
      </c>
      <c r="M133" s="256">
        <f>CONTINUA!BW133</f>
        <v>0</v>
      </c>
      <c r="N133" s="564"/>
      <c r="O133" s="565" t="s">
        <v>3357</v>
      </c>
      <c r="P133" s="566">
        <v>0</v>
      </c>
      <c r="Q133" s="319">
        <v>0</v>
      </c>
      <c r="R133" s="320"/>
      <c r="S133" s="319">
        <v>0</v>
      </c>
      <c r="T133" s="320"/>
      <c r="U133" s="319">
        <v>0</v>
      </c>
      <c r="V133" s="320">
        <v>0</v>
      </c>
      <c r="W133" s="319">
        <v>0</v>
      </c>
      <c r="X133" s="320"/>
      <c r="Y133" s="319">
        <v>0</v>
      </c>
      <c r="Z133" s="320"/>
      <c r="AA133" s="319">
        <v>0</v>
      </c>
      <c r="AB133" s="320">
        <v>0</v>
      </c>
      <c r="AC133" s="319">
        <v>0</v>
      </c>
      <c r="AD133" s="320"/>
      <c r="AE133" s="319">
        <v>0</v>
      </c>
      <c r="AF133" s="320"/>
      <c r="AG133" s="319">
        <v>0</v>
      </c>
      <c r="AH133" s="320">
        <v>0</v>
      </c>
      <c r="AI133" s="319">
        <v>0</v>
      </c>
      <c r="AJ133" s="320"/>
      <c r="AK133" s="319">
        <v>0</v>
      </c>
      <c r="AL133" s="320"/>
      <c r="AM133" s="319">
        <v>0</v>
      </c>
      <c r="AN133" s="320">
        <v>0</v>
      </c>
      <c r="AO133" s="319">
        <v>0</v>
      </c>
      <c r="AP133" s="320"/>
      <c r="AQ133" s="319">
        <v>0</v>
      </c>
      <c r="AR133" s="320"/>
      <c r="AS133" s="319">
        <v>0</v>
      </c>
      <c r="AT133" s="320">
        <v>0</v>
      </c>
      <c r="AU133" s="319">
        <v>0</v>
      </c>
      <c r="AV133" s="320"/>
      <c r="AW133" s="319">
        <v>0</v>
      </c>
      <c r="AX133" s="320"/>
      <c r="AY133" s="319">
        <v>0</v>
      </c>
      <c r="AZ133" s="320">
        <v>0</v>
      </c>
      <c r="BA133" s="319">
        <v>0</v>
      </c>
      <c r="BB133" s="320"/>
      <c r="BC133" s="319">
        <v>0</v>
      </c>
      <c r="BD133" s="320"/>
      <c r="BE133" s="319">
        <v>0</v>
      </c>
      <c r="BF133" s="320">
        <v>0</v>
      </c>
      <c r="BG133" s="319">
        <v>0</v>
      </c>
      <c r="BH133" s="320"/>
      <c r="BI133" s="319">
        <v>0</v>
      </c>
      <c r="BJ133" s="320"/>
      <c r="BK133" s="319">
        <v>0</v>
      </c>
      <c r="BL133" s="320">
        <v>0</v>
      </c>
      <c r="BM133" s="319">
        <v>0</v>
      </c>
      <c r="BN133" s="320"/>
      <c r="BO133" s="319">
        <v>0</v>
      </c>
      <c r="BP133" s="320"/>
      <c r="BQ133" s="319">
        <v>0</v>
      </c>
      <c r="BR133" s="320">
        <v>0</v>
      </c>
      <c r="BS133" s="319">
        <v>0</v>
      </c>
      <c r="BT133" s="320"/>
      <c r="BU133" s="319">
        <v>0</v>
      </c>
      <c r="BV133" s="320"/>
      <c r="BW133" s="319">
        <v>0</v>
      </c>
      <c r="BX133" s="320">
        <v>0</v>
      </c>
      <c r="BY133" s="319">
        <v>0</v>
      </c>
      <c r="BZ133" s="320"/>
      <c r="CA133" s="319">
        <v>0</v>
      </c>
      <c r="CB133" s="320"/>
      <c r="CC133" s="319">
        <v>0</v>
      </c>
      <c r="CD133" s="320">
        <v>0</v>
      </c>
      <c r="CE133" s="319">
        <v>0</v>
      </c>
      <c r="CF133" s="320"/>
      <c r="CG133" s="319">
        <v>0</v>
      </c>
      <c r="CH133" s="320"/>
      <c r="CI133" s="319">
        <v>0</v>
      </c>
      <c r="CJ133" s="320">
        <v>0</v>
      </c>
      <c r="CK133" s="319">
        <v>0</v>
      </c>
      <c r="CL133" s="320"/>
      <c r="CM133" s="319">
        <v>0</v>
      </c>
      <c r="CN133" s="320"/>
      <c r="CO133" s="319">
        <v>0</v>
      </c>
      <c r="CP133" s="320">
        <v>0</v>
      </c>
      <c r="CQ133" s="319">
        <v>0</v>
      </c>
      <c r="CR133" s="320"/>
      <c r="CS133" s="319">
        <v>0</v>
      </c>
      <c r="CT133" s="320"/>
      <c r="CU133" s="319">
        <v>0</v>
      </c>
      <c r="CV133" s="320">
        <v>0</v>
      </c>
      <c r="CW133" s="319">
        <v>0</v>
      </c>
      <c r="CX133" s="320"/>
      <c r="CY133" s="319">
        <v>0</v>
      </c>
      <c r="CZ133" s="320"/>
      <c r="DA133" s="319">
        <v>0</v>
      </c>
      <c r="DB133" s="320">
        <v>0</v>
      </c>
      <c r="DC133" s="319">
        <v>0</v>
      </c>
      <c r="DD133" s="320"/>
      <c r="DE133" s="319">
        <v>0</v>
      </c>
      <c r="DF133" s="320"/>
      <c r="DG133" s="319">
        <v>0</v>
      </c>
      <c r="DH133" s="320">
        <v>0</v>
      </c>
      <c r="DI133" s="319">
        <v>0</v>
      </c>
      <c r="DJ133" s="320"/>
      <c r="DK133" s="319">
        <v>0</v>
      </c>
      <c r="DL133" s="320"/>
      <c r="DM133" s="319">
        <v>0</v>
      </c>
      <c r="DN133" s="320">
        <v>0</v>
      </c>
      <c r="DO133" s="319">
        <v>0</v>
      </c>
      <c r="DP133" s="320"/>
      <c r="DQ133" s="319">
        <v>0</v>
      </c>
      <c r="DR133" s="320"/>
      <c r="DS133" s="319">
        <v>0</v>
      </c>
      <c r="DT133" s="320">
        <v>0</v>
      </c>
      <c r="DU133" s="319">
        <v>0</v>
      </c>
      <c r="DV133" s="320"/>
      <c r="DW133" s="319">
        <v>0</v>
      </c>
      <c r="DX133" s="320"/>
      <c r="DY133" s="319">
        <v>0</v>
      </c>
      <c r="DZ133" s="320">
        <v>0</v>
      </c>
      <c r="EA133" s="319">
        <v>0</v>
      </c>
      <c r="EB133" s="320"/>
      <c r="EC133" s="319">
        <v>0</v>
      </c>
      <c r="ED133" s="320"/>
      <c r="EE133" s="319">
        <v>0</v>
      </c>
      <c r="EF133" s="320">
        <v>0</v>
      </c>
      <c r="EG133" s="319">
        <v>0</v>
      </c>
      <c r="EH133" s="320"/>
      <c r="EI133" s="319">
        <v>0</v>
      </c>
      <c r="EJ133" s="320"/>
      <c r="EK133" s="319">
        <v>0</v>
      </c>
      <c r="EL133" s="320">
        <v>0</v>
      </c>
      <c r="EM133" s="319">
        <v>0</v>
      </c>
      <c r="EN133" s="320"/>
      <c r="EO133" s="319">
        <v>0</v>
      </c>
      <c r="EP133" s="320"/>
      <c r="EQ133" s="319">
        <v>0</v>
      </c>
      <c r="ER133" s="320">
        <v>0</v>
      </c>
      <c r="ES133" s="319">
        <v>0</v>
      </c>
      <c r="ET133" s="320"/>
      <c r="EU133" s="319">
        <v>0</v>
      </c>
      <c r="EV133" s="320"/>
      <c r="EW133" s="319">
        <v>0</v>
      </c>
      <c r="EX133" s="320">
        <v>0</v>
      </c>
      <c r="EY133" s="319">
        <v>0</v>
      </c>
      <c r="EZ133" s="320"/>
      <c r="FA133" s="319">
        <v>0</v>
      </c>
      <c r="FB133" s="320"/>
      <c r="FC133" s="319">
        <v>0</v>
      </c>
      <c r="FD133" s="320">
        <v>0</v>
      </c>
      <c r="FE133" s="319">
        <v>0</v>
      </c>
      <c r="FF133" s="320"/>
      <c r="FG133" s="319">
        <v>0</v>
      </c>
      <c r="FH133" s="320"/>
      <c r="FI133" s="319">
        <v>0</v>
      </c>
      <c r="FJ133" s="320">
        <v>0</v>
      </c>
      <c r="FK133" s="319">
        <v>0</v>
      </c>
      <c r="FL133" s="320"/>
      <c r="FM133" s="319">
        <v>0</v>
      </c>
      <c r="FN133" s="320"/>
      <c r="FO133" s="319">
        <v>0</v>
      </c>
      <c r="FP133" s="320">
        <v>0</v>
      </c>
      <c r="FQ133" s="319">
        <v>0</v>
      </c>
      <c r="FR133" s="320"/>
      <c r="FS133" s="319">
        <v>0</v>
      </c>
      <c r="FT133" s="320"/>
      <c r="FU133" s="319">
        <v>0</v>
      </c>
      <c r="FV133" s="320">
        <v>0</v>
      </c>
      <c r="FW133" s="319">
        <v>0</v>
      </c>
      <c r="FX133" s="320"/>
      <c r="FY133" s="319">
        <v>0</v>
      </c>
      <c r="FZ133" s="320"/>
      <c r="GA133" s="319">
        <v>0</v>
      </c>
      <c r="GB133" s="320">
        <v>0</v>
      </c>
      <c r="GC133" s="319">
        <v>0</v>
      </c>
      <c r="GD133" s="320"/>
      <c r="GE133" s="319">
        <v>0</v>
      </c>
      <c r="GF133" s="320"/>
      <c r="GG133" s="319">
        <v>0</v>
      </c>
      <c r="GH133" s="320">
        <v>0</v>
      </c>
      <c r="GI133" s="319">
        <v>0</v>
      </c>
      <c r="GJ133" s="320"/>
      <c r="GK133" s="319">
        <v>0</v>
      </c>
      <c r="GL133" s="320"/>
      <c r="GM133" s="319">
        <v>0</v>
      </c>
      <c r="GN133" s="320">
        <v>0</v>
      </c>
      <c r="GO133" s="319">
        <v>0</v>
      </c>
      <c r="GP133" s="320"/>
      <c r="GQ133" s="319">
        <v>0</v>
      </c>
      <c r="GR133" s="320"/>
      <c r="GS133" s="319">
        <v>0</v>
      </c>
      <c r="GT133" s="320">
        <v>0</v>
      </c>
      <c r="GU133" s="319">
        <v>0</v>
      </c>
      <c r="GV133" s="320"/>
      <c r="GW133" s="319">
        <v>0</v>
      </c>
      <c r="GX133" s="320"/>
      <c r="GY133" s="319">
        <v>0</v>
      </c>
      <c r="GZ133" s="320">
        <v>0</v>
      </c>
    </row>
    <row r="134" spans="1:208" s="89" customFormat="1" ht="22.5" customHeight="1" x14ac:dyDescent="0.2">
      <c r="A134" s="287" t="s">
        <v>3276</v>
      </c>
      <c r="B134" s="288" t="s">
        <v>3277</v>
      </c>
      <c r="C134" s="294" t="s">
        <v>3170</v>
      </c>
      <c r="D134" s="290" t="s">
        <v>3278</v>
      </c>
      <c r="E134" s="290" t="s">
        <v>3279</v>
      </c>
      <c r="F134" s="295" t="s">
        <v>3166</v>
      </c>
      <c r="G134" s="295" t="s">
        <v>3167</v>
      </c>
      <c r="H134" s="292" t="s">
        <v>1504</v>
      </c>
      <c r="I134" s="293" t="s">
        <v>1504</v>
      </c>
      <c r="J134" s="340" t="s">
        <v>3168</v>
      </c>
      <c r="K134" s="342" t="s">
        <v>3173</v>
      </c>
      <c r="L134" s="256">
        <f>CONTINUA!BV134</f>
        <v>0</v>
      </c>
      <c r="M134" s="256">
        <f>CONTINUA!BW134</f>
        <v>0</v>
      </c>
      <c r="N134" s="564"/>
      <c r="O134" s="565" t="s">
        <v>3357</v>
      </c>
      <c r="P134" s="566">
        <v>0</v>
      </c>
      <c r="Q134" s="319">
        <v>0</v>
      </c>
      <c r="R134" s="320"/>
      <c r="S134" s="319">
        <v>0</v>
      </c>
      <c r="T134" s="320"/>
      <c r="U134" s="319">
        <v>0</v>
      </c>
      <c r="V134" s="320">
        <v>0</v>
      </c>
      <c r="W134" s="319">
        <v>0</v>
      </c>
      <c r="X134" s="320"/>
      <c r="Y134" s="319">
        <v>0</v>
      </c>
      <c r="Z134" s="320"/>
      <c r="AA134" s="319">
        <v>0</v>
      </c>
      <c r="AB134" s="320">
        <v>0</v>
      </c>
      <c r="AC134" s="319">
        <v>0</v>
      </c>
      <c r="AD134" s="320"/>
      <c r="AE134" s="319">
        <v>0</v>
      </c>
      <c r="AF134" s="320"/>
      <c r="AG134" s="319">
        <v>0</v>
      </c>
      <c r="AH134" s="320">
        <v>0</v>
      </c>
      <c r="AI134" s="319">
        <v>0</v>
      </c>
      <c r="AJ134" s="320"/>
      <c r="AK134" s="319">
        <v>0</v>
      </c>
      <c r="AL134" s="320"/>
      <c r="AM134" s="319">
        <v>0</v>
      </c>
      <c r="AN134" s="320">
        <v>0</v>
      </c>
      <c r="AO134" s="319">
        <v>0</v>
      </c>
      <c r="AP134" s="320"/>
      <c r="AQ134" s="319">
        <v>0</v>
      </c>
      <c r="AR134" s="320"/>
      <c r="AS134" s="319">
        <v>0</v>
      </c>
      <c r="AT134" s="320">
        <v>0</v>
      </c>
      <c r="AU134" s="319">
        <v>0</v>
      </c>
      <c r="AV134" s="320"/>
      <c r="AW134" s="319">
        <v>0</v>
      </c>
      <c r="AX134" s="320"/>
      <c r="AY134" s="319">
        <v>0</v>
      </c>
      <c r="AZ134" s="320">
        <v>0</v>
      </c>
      <c r="BA134" s="319">
        <v>0</v>
      </c>
      <c r="BB134" s="320"/>
      <c r="BC134" s="319">
        <v>0</v>
      </c>
      <c r="BD134" s="320"/>
      <c r="BE134" s="319">
        <v>0</v>
      </c>
      <c r="BF134" s="320">
        <v>0</v>
      </c>
      <c r="BG134" s="319">
        <v>0</v>
      </c>
      <c r="BH134" s="320"/>
      <c r="BI134" s="319">
        <v>0</v>
      </c>
      <c r="BJ134" s="320"/>
      <c r="BK134" s="319">
        <v>0</v>
      </c>
      <c r="BL134" s="320">
        <v>0</v>
      </c>
      <c r="BM134" s="319">
        <v>0</v>
      </c>
      <c r="BN134" s="320"/>
      <c r="BO134" s="319">
        <v>0</v>
      </c>
      <c r="BP134" s="320"/>
      <c r="BQ134" s="319">
        <v>0</v>
      </c>
      <c r="BR134" s="320">
        <v>0</v>
      </c>
      <c r="BS134" s="319">
        <v>0</v>
      </c>
      <c r="BT134" s="320"/>
      <c r="BU134" s="319">
        <v>0</v>
      </c>
      <c r="BV134" s="320"/>
      <c r="BW134" s="319">
        <v>0</v>
      </c>
      <c r="BX134" s="320">
        <v>0</v>
      </c>
      <c r="BY134" s="319">
        <v>0</v>
      </c>
      <c r="BZ134" s="320"/>
      <c r="CA134" s="319">
        <v>0</v>
      </c>
      <c r="CB134" s="320"/>
      <c r="CC134" s="319">
        <v>0</v>
      </c>
      <c r="CD134" s="320">
        <v>0</v>
      </c>
      <c r="CE134" s="319">
        <v>0</v>
      </c>
      <c r="CF134" s="320"/>
      <c r="CG134" s="319">
        <v>0</v>
      </c>
      <c r="CH134" s="320"/>
      <c r="CI134" s="319">
        <v>0</v>
      </c>
      <c r="CJ134" s="320">
        <v>0</v>
      </c>
      <c r="CK134" s="319">
        <v>0</v>
      </c>
      <c r="CL134" s="320"/>
      <c r="CM134" s="319">
        <v>0</v>
      </c>
      <c r="CN134" s="320"/>
      <c r="CO134" s="319">
        <v>0</v>
      </c>
      <c r="CP134" s="320">
        <v>0</v>
      </c>
      <c r="CQ134" s="319">
        <v>0</v>
      </c>
      <c r="CR134" s="320"/>
      <c r="CS134" s="319">
        <v>0</v>
      </c>
      <c r="CT134" s="320"/>
      <c r="CU134" s="319">
        <v>0</v>
      </c>
      <c r="CV134" s="320">
        <v>0</v>
      </c>
      <c r="CW134" s="319">
        <v>0</v>
      </c>
      <c r="CX134" s="320"/>
      <c r="CY134" s="319">
        <v>0</v>
      </c>
      <c r="CZ134" s="320"/>
      <c r="DA134" s="319">
        <v>0</v>
      </c>
      <c r="DB134" s="320">
        <v>0</v>
      </c>
      <c r="DC134" s="319">
        <v>0</v>
      </c>
      <c r="DD134" s="320"/>
      <c r="DE134" s="319">
        <v>0</v>
      </c>
      <c r="DF134" s="320"/>
      <c r="DG134" s="319">
        <v>0</v>
      </c>
      <c r="DH134" s="320">
        <v>0</v>
      </c>
      <c r="DI134" s="319">
        <v>0</v>
      </c>
      <c r="DJ134" s="320"/>
      <c r="DK134" s="319">
        <v>0</v>
      </c>
      <c r="DL134" s="320"/>
      <c r="DM134" s="319">
        <v>0</v>
      </c>
      <c r="DN134" s="320">
        <v>0</v>
      </c>
      <c r="DO134" s="319">
        <v>0</v>
      </c>
      <c r="DP134" s="320"/>
      <c r="DQ134" s="319">
        <v>0</v>
      </c>
      <c r="DR134" s="320"/>
      <c r="DS134" s="319">
        <v>0</v>
      </c>
      <c r="DT134" s="320">
        <v>0</v>
      </c>
      <c r="DU134" s="319">
        <v>0</v>
      </c>
      <c r="DV134" s="320"/>
      <c r="DW134" s="319">
        <v>0</v>
      </c>
      <c r="DX134" s="320"/>
      <c r="DY134" s="319">
        <v>0</v>
      </c>
      <c r="DZ134" s="320">
        <v>0</v>
      </c>
      <c r="EA134" s="319">
        <v>0</v>
      </c>
      <c r="EB134" s="320"/>
      <c r="EC134" s="319">
        <v>0</v>
      </c>
      <c r="ED134" s="320"/>
      <c r="EE134" s="319">
        <v>0</v>
      </c>
      <c r="EF134" s="320">
        <v>0</v>
      </c>
      <c r="EG134" s="319">
        <v>0</v>
      </c>
      <c r="EH134" s="320"/>
      <c r="EI134" s="319">
        <v>0</v>
      </c>
      <c r="EJ134" s="320"/>
      <c r="EK134" s="319">
        <v>0</v>
      </c>
      <c r="EL134" s="320">
        <v>0</v>
      </c>
      <c r="EM134" s="319">
        <v>0</v>
      </c>
      <c r="EN134" s="320"/>
      <c r="EO134" s="319">
        <v>0</v>
      </c>
      <c r="EP134" s="320"/>
      <c r="EQ134" s="319">
        <v>0</v>
      </c>
      <c r="ER134" s="320">
        <v>0</v>
      </c>
      <c r="ES134" s="319">
        <v>0</v>
      </c>
      <c r="ET134" s="320"/>
      <c r="EU134" s="319">
        <v>0</v>
      </c>
      <c r="EV134" s="320"/>
      <c r="EW134" s="319">
        <v>0</v>
      </c>
      <c r="EX134" s="320">
        <v>0</v>
      </c>
      <c r="EY134" s="319">
        <v>0</v>
      </c>
      <c r="EZ134" s="320"/>
      <c r="FA134" s="319">
        <v>0</v>
      </c>
      <c r="FB134" s="320"/>
      <c r="FC134" s="319">
        <v>0</v>
      </c>
      <c r="FD134" s="320">
        <v>0</v>
      </c>
      <c r="FE134" s="319">
        <v>0</v>
      </c>
      <c r="FF134" s="320"/>
      <c r="FG134" s="319">
        <v>0</v>
      </c>
      <c r="FH134" s="320"/>
      <c r="FI134" s="319">
        <v>0</v>
      </c>
      <c r="FJ134" s="320">
        <v>0</v>
      </c>
      <c r="FK134" s="319">
        <v>0</v>
      </c>
      <c r="FL134" s="320"/>
      <c r="FM134" s="319">
        <v>0</v>
      </c>
      <c r="FN134" s="320"/>
      <c r="FO134" s="319">
        <v>0</v>
      </c>
      <c r="FP134" s="320">
        <v>0</v>
      </c>
      <c r="FQ134" s="319">
        <v>0</v>
      </c>
      <c r="FR134" s="320"/>
      <c r="FS134" s="319">
        <v>0</v>
      </c>
      <c r="FT134" s="320"/>
      <c r="FU134" s="319">
        <v>0</v>
      </c>
      <c r="FV134" s="320">
        <v>0</v>
      </c>
      <c r="FW134" s="319">
        <v>0</v>
      </c>
      <c r="FX134" s="320"/>
      <c r="FY134" s="319">
        <v>0</v>
      </c>
      <c r="FZ134" s="320"/>
      <c r="GA134" s="319">
        <v>0</v>
      </c>
      <c r="GB134" s="320">
        <v>0</v>
      </c>
      <c r="GC134" s="319">
        <v>0</v>
      </c>
      <c r="GD134" s="320"/>
      <c r="GE134" s="319">
        <v>0</v>
      </c>
      <c r="GF134" s="320"/>
      <c r="GG134" s="319">
        <v>0</v>
      </c>
      <c r="GH134" s="320">
        <v>0</v>
      </c>
      <c r="GI134" s="319">
        <v>0</v>
      </c>
      <c r="GJ134" s="320"/>
      <c r="GK134" s="319">
        <v>0</v>
      </c>
      <c r="GL134" s="320"/>
      <c r="GM134" s="319">
        <v>0</v>
      </c>
      <c r="GN134" s="320">
        <v>0</v>
      </c>
      <c r="GO134" s="319">
        <v>0</v>
      </c>
      <c r="GP134" s="320"/>
      <c r="GQ134" s="319">
        <v>0</v>
      </c>
      <c r="GR134" s="320"/>
      <c r="GS134" s="319">
        <v>0</v>
      </c>
      <c r="GT134" s="320">
        <v>0</v>
      </c>
      <c r="GU134" s="319">
        <v>0</v>
      </c>
      <c r="GV134" s="320"/>
      <c r="GW134" s="319">
        <v>0</v>
      </c>
      <c r="GX134" s="320"/>
      <c r="GY134" s="319">
        <v>0</v>
      </c>
      <c r="GZ134" s="320">
        <v>0</v>
      </c>
    </row>
    <row r="135" spans="1:208" s="89" customFormat="1" ht="22.5" customHeight="1" thickBot="1" x14ac:dyDescent="0.25">
      <c r="A135" s="296" t="s">
        <v>3276</v>
      </c>
      <c r="B135" s="297" t="s">
        <v>3277</v>
      </c>
      <c r="C135" s="298" t="s">
        <v>3170</v>
      </c>
      <c r="D135" s="299" t="s">
        <v>3278</v>
      </c>
      <c r="E135" s="299" t="s">
        <v>3279</v>
      </c>
      <c r="F135" s="300" t="s">
        <v>3166</v>
      </c>
      <c r="G135" s="300" t="s">
        <v>3167</v>
      </c>
      <c r="H135" s="301" t="s">
        <v>1504</v>
      </c>
      <c r="I135" s="302" t="s">
        <v>1504</v>
      </c>
      <c r="J135" s="340" t="s">
        <v>3168</v>
      </c>
      <c r="K135" s="343" t="s">
        <v>53</v>
      </c>
      <c r="L135" s="256">
        <f>CONTINUA!BV135</f>
        <v>0</v>
      </c>
      <c r="M135" s="256">
        <f>CONTINUA!BW135</f>
        <v>0</v>
      </c>
      <c r="N135" s="564"/>
      <c r="O135" s="565" t="s">
        <v>3357</v>
      </c>
      <c r="P135" s="566">
        <v>0</v>
      </c>
      <c r="Q135" s="319">
        <v>0</v>
      </c>
      <c r="R135" s="320"/>
      <c r="S135" s="319">
        <v>0</v>
      </c>
      <c r="T135" s="320"/>
      <c r="U135" s="321">
        <v>0</v>
      </c>
      <c r="V135" s="322">
        <v>0</v>
      </c>
      <c r="W135" s="319">
        <v>0</v>
      </c>
      <c r="X135" s="320"/>
      <c r="Y135" s="319">
        <v>0</v>
      </c>
      <c r="Z135" s="320"/>
      <c r="AA135" s="321">
        <v>0</v>
      </c>
      <c r="AB135" s="322">
        <v>0</v>
      </c>
      <c r="AC135" s="319">
        <v>0</v>
      </c>
      <c r="AD135" s="320"/>
      <c r="AE135" s="319">
        <v>0</v>
      </c>
      <c r="AF135" s="320"/>
      <c r="AG135" s="321">
        <v>0</v>
      </c>
      <c r="AH135" s="322">
        <v>0</v>
      </c>
      <c r="AI135" s="319">
        <v>0</v>
      </c>
      <c r="AJ135" s="320"/>
      <c r="AK135" s="319">
        <v>0</v>
      </c>
      <c r="AL135" s="320"/>
      <c r="AM135" s="321">
        <v>0</v>
      </c>
      <c r="AN135" s="322">
        <v>0</v>
      </c>
      <c r="AO135" s="319">
        <v>0</v>
      </c>
      <c r="AP135" s="320"/>
      <c r="AQ135" s="319">
        <v>0</v>
      </c>
      <c r="AR135" s="320"/>
      <c r="AS135" s="321">
        <v>0</v>
      </c>
      <c r="AT135" s="322">
        <v>0</v>
      </c>
      <c r="AU135" s="319">
        <v>0</v>
      </c>
      <c r="AV135" s="320"/>
      <c r="AW135" s="319">
        <v>0</v>
      </c>
      <c r="AX135" s="320"/>
      <c r="AY135" s="321">
        <v>0</v>
      </c>
      <c r="AZ135" s="322">
        <v>0</v>
      </c>
      <c r="BA135" s="319">
        <v>0</v>
      </c>
      <c r="BB135" s="320"/>
      <c r="BC135" s="319">
        <v>0</v>
      </c>
      <c r="BD135" s="320"/>
      <c r="BE135" s="321">
        <v>0</v>
      </c>
      <c r="BF135" s="322">
        <v>0</v>
      </c>
      <c r="BG135" s="319">
        <v>0</v>
      </c>
      <c r="BH135" s="320"/>
      <c r="BI135" s="319">
        <v>0</v>
      </c>
      <c r="BJ135" s="320"/>
      <c r="BK135" s="321">
        <v>0</v>
      </c>
      <c r="BL135" s="322">
        <v>0</v>
      </c>
      <c r="BM135" s="319">
        <v>0</v>
      </c>
      <c r="BN135" s="320"/>
      <c r="BO135" s="319">
        <v>0</v>
      </c>
      <c r="BP135" s="320"/>
      <c r="BQ135" s="321">
        <v>0</v>
      </c>
      <c r="BR135" s="322">
        <v>0</v>
      </c>
      <c r="BS135" s="319">
        <v>0</v>
      </c>
      <c r="BT135" s="320"/>
      <c r="BU135" s="319">
        <v>0</v>
      </c>
      <c r="BV135" s="320"/>
      <c r="BW135" s="321">
        <v>0</v>
      </c>
      <c r="BX135" s="322">
        <v>0</v>
      </c>
      <c r="BY135" s="319">
        <v>0</v>
      </c>
      <c r="BZ135" s="320"/>
      <c r="CA135" s="319">
        <v>0</v>
      </c>
      <c r="CB135" s="320"/>
      <c r="CC135" s="321">
        <v>0</v>
      </c>
      <c r="CD135" s="322">
        <v>0</v>
      </c>
      <c r="CE135" s="319">
        <v>0</v>
      </c>
      <c r="CF135" s="320"/>
      <c r="CG135" s="319">
        <v>0</v>
      </c>
      <c r="CH135" s="320"/>
      <c r="CI135" s="321">
        <v>0</v>
      </c>
      <c r="CJ135" s="322">
        <v>0</v>
      </c>
      <c r="CK135" s="319">
        <v>0</v>
      </c>
      <c r="CL135" s="320"/>
      <c r="CM135" s="319">
        <v>0</v>
      </c>
      <c r="CN135" s="320"/>
      <c r="CO135" s="321">
        <v>0</v>
      </c>
      <c r="CP135" s="322">
        <v>0</v>
      </c>
      <c r="CQ135" s="319">
        <v>0</v>
      </c>
      <c r="CR135" s="320"/>
      <c r="CS135" s="319">
        <v>0</v>
      </c>
      <c r="CT135" s="320"/>
      <c r="CU135" s="321">
        <v>0</v>
      </c>
      <c r="CV135" s="322">
        <v>0</v>
      </c>
      <c r="CW135" s="319">
        <v>0</v>
      </c>
      <c r="CX135" s="320"/>
      <c r="CY135" s="319">
        <v>0</v>
      </c>
      <c r="CZ135" s="320"/>
      <c r="DA135" s="321">
        <v>0</v>
      </c>
      <c r="DB135" s="322">
        <v>0</v>
      </c>
      <c r="DC135" s="319">
        <v>0</v>
      </c>
      <c r="DD135" s="320"/>
      <c r="DE135" s="319">
        <v>0</v>
      </c>
      <c r="DF135" s="320"/>
      <c r="DG135" s="321">
        <v>0</v>
      </c>
      <c r="DH135" s="322">
        <v>0</v>
      </c>
      <c r="DI135" s="319">
        <v>0</v>
      </c>
      <c r="DJ135" s="320"/>
      <c r="DK135" s="319">
        <v>0</v>
      </c>
      <c r="DL135" s="320"/>
      <c r="DM135" s="321">
        <v>0</v>
      </c>
      <c r="DN135" s="322">
        <v>0</v>
      </c>
      <c r="DO135" s="319">
        <v>0</v>
      </c>
      <c r="DP135" s="320"/>
      <c r="DQ135" s="319">
        <v>0</v>
      </c>
      <c r="DR135" s="320"/>
      <c r="DS135" s="321">
        <v>0</v>
      </c>
      <c r="DT135" s="322">
        <v>0</v>
      </c>
      <c r="DU135" s="319">
        <v>0</v>
      </c>
      <c r="DV135" s="320"/>
      <c r="DW135" s="319">
        <v>0</v>
      </c>
      <c r="DX135" s="320"/>
      <c r="DY135" s="321">
        <v>0</v>
      </c>
      <c r="DZ135" s="322">
        <v>0</v>
      </c>
      <c r="EA135" s="319">
        <v>0</v>
      </c>
      <c r="EB135" s="320"/>
      <c r="EC135" s="319">
        <v>0</v>
      </c>
      <c r="ED135" s="320"/>
      <c r="EE135" s="321">
        <v>0</v>
      </c>
      <c r="EF135" s="322">
        <v>0</v>
      </c>
      <c r="EG135" s="319">
        <v>0</v>
      </c>
      <c r="EH135" s="320"/>
      <c r="EI135" s="319">
        <v>0</v>
      </c>
      <c r="EJ135" s="320"/>
      <c r="EK135" s="321">
        <v>0</v>
      </c>
      <c r="EL135" s="322">
        <v>0</v>
      </c>
      <c r="EM135" s="319">
        <v>0</v>
      </c>
      <c r="EN135" s="320"/>
      <c r="EO135" s="319">
        <v>0</v>
      </c>
      <c r="EP135" s="320"/>
      <c r="EQ135" s="321">
        <v>0</v>
      </c>
      <c r="ER135" s="322">
        <v>0</v>
      </c>
      <c r="ES135" s="319">
        <v>0</v>
      </c>
      <c r="ET135" s="320"/>
      <c r="EU135" s="319">
        <v>0</v>
      </c>
      <c r="EV135" s="320"/>
      <c r="EW135" s="321">
        <v>0</v>
      </c>
      <c r="EX135" s="322">
        <v>0</v>
      </c>
      <c r="EY135" s="319">
        <v>0</v>
      </c>
      <c r="EZ135" s="320"/>
      <c r="FA135" s="319">
        <v>0</v>
      </c>
      <c r="FB135" s="320"/>
      <c r="FC135" s="321">
        <v>0</v>
      </c>
      <c r="FD135" s="322">
        <v>0</v>
      </c>
      <c r="FE135" s="319">
        <v>0</v>
      </c>
      <c r="FF135" s="320"/>
      <c r="FG135" s="319">
        <v>0</v>
      </c>
      <c r="FH135" s="320"/>
      <c r="FI135" s="321">
        <v>0</v>
      </c>
      <c r="FJ135" s="322">
        <v>0</v>
      </c>
      <c r="FK135" s="319">
        <v>0</v>
      </c>
      <c r="FL135" s="320"/>
      <c r="FM135" s="319">
        <v>0</v>
      </c>
      <c r="FN135" s="320"/>
      <c r="FO135" s="321">
        <v>0</v>
      </c>
      <c r="FP135" s="322">
        <v>0</v>
      </c>
      <c r="FQ135" s="319">
        <v>0</v>
      </c>
      <c r="FR135" s="320"/>
      <c r="FS135" s="319">
        <v>0</v>
      </c>
      <c r="FT135" s="320"/>
      <c r="FU135" s="321">
        <v>0</v>
      </c>
      <c r="FV135" s="322">
        <v>0</v>
      </c>
      <c r="FW135" s="319">
        <v>0</v>
      </c>
      <c r="FX135" s="320"/>
      <c r="FY135" s="319">
        <v>0</v>
      </c>
      <c r="FZ135" s="320"/>
      <c r="GA135" s="321">
        <v>0</v>
      </c>
      <c r="GB135" s="322">
        <v>0</v>
      </c>
      <c r="GC135" s="319">
        <v>0</v>
      </c>
      <c r="GD135" s="320"/>
      <c r="GE135" s="319">
        <v>0</v>
      </c>
      <c r="GF135" s="320"/>
      <c r="GG135" s="321">
        <v>0</v>
      </c>
      <c r="GH135" s="322">
        <v>0</v>
      </c>
      <c r="GI135" s="319">
        <v>0</v>
      </c>
      <c r="GJ135" s="320"/>
      <c r="GK135" s="319">
        <v>0</v>
      </c>
      <c r="GL135" s="320"/>
      <c r="GM135" s="321">
        <v>0</v>
      </c>
      <c r="GN135" s="322">
        <v>0</v>
      </c>
      <c r="GO135" s="319">
        <v>0</v>
      </c>
      <c r="GP135" s="320"/>
      <c r="GQ135" s="319">
        <v>0</v>
      </c>
      <c r="GR135" s="320"/>
      <c r="GS135" s="321">
        <v>0</v>
      </c>
      <c r="GT135" s="322">
        <v>0</v>
      </c>
      <c r="GU135" s="319">
        <v>0</v>
      </c>
      <c r="GV135" s="320"/>
      <c r="GW135" s="319">
        <v>0</v>
      </c>
      <c r="GX135" s="320"/>
      <c r="GY135" s="321">
        <v>0</v>
      </c>
      <c r="GZ135" s="322">
        <v>0</v>
      </c>
    </row>
    <row r="136" spans="1:208" s="89" customFormat="1" ht="22.5" customHeight="1" x14ac:dyDescent="0.2">
      <c r="A136" t="s">
        <v>3280</v>
      </c>
      <c r="B136" s="429" t="s">
        <v>3281</v>
      </c>
      <c r="C136" s="430">
        <v>1</v>
      </c>
      <c r="D136" s="431" t="s">
        <v>3282</v>
      </c>
      <c r="E136" s="431" t="s">
        <v>3283</v>
      </c>
      <c r="F136" s="432" t="s">
        <v>3166</v>
      </c>
      <c r="G136" s="432" t="s">
        <v>3167</v>
      </c>
      <c r="H136" s="270" t="s">
        <v>1505</v>
      </c>
      <c r="I136" s="271" t="s">
        <v>1505</v>
      </c>
      <c r="J136" s="328" t="s">
        <v>3168</v>
      </c>
      <c r="K136" s="329" t="s">
        <v>3169</v>
      </c>
      <c r="L136" s="256">
        <f>CONTINUA!BV136</f>
        <v>0</v>
      </c>
      <c r="M136" s="256">
        <f>CONTINUA!BW136</f>
        <v>0</v>
      </c>
      <c r="N136" s="564"/>
      <c r="O136" s="565" t="s">
        <v>3358</v>
      </c>
      <c r="P136" s="566">
        <v>0</v>
      </c>
      <c r="Q136" s="319">
        <v>0</v>
      </c>
      <c r="R136" s="320"/>
      <c r="S136" s="319">
        <v>0</v>
      </c>
      <c r="T136" s="320"/>
      <c r="U136" s="321">
        <v>0</v>
      </c>
      <c r="V136" s="322">
        <v>0</v>
      </c>
      <c r="W136" s="319">
        <v>0</v>
      </c>
      <c r="X136" s="320"/>
      <c r="Y136" s="319">
        <v>0</v>
      </c>
      <c r="Z136" s="320"/>
      <c r="AA136" s="321">
        <v>0</v>
      </c>
      <c r="AB136" s="322">
        <v>0</v>
      </c>
      <c r="AC136" s="319">
        <v>0</v>
      </c>
      <c r="AD136" s="320"/>
      <c r="AE136" s="319">
        <v>0</v>
      </c>
      <c r="AF136" s="320"/>
      <c r="AG136" s="321">
        <v>0</v>
      </c>
      <c r="AH136" s="322">
        <v>0</v>
      </c>
      <c r="AI136" s="319">
        <v>0</v>
      </c>
      <c r="AJ136" s="320"/>
      <c r="AK136" s="319">
        <v>0</v>
      </c>
      <c r="AL136" s="320"/>
      <c r="AM136" s="321">
        <v>0</v>
      </c>
      <c r="AN136" s="322">
        <v>0</v>
      </c>
      <c r="AO136" s="319">
        <v>0</v>
      </c>
      <c r="AP136" s="320"/>
      <c r="AQ136" s="319">
        <v>0</v>
      </c>
      <c r="AR136" s="320"/>
      <c r="AS136" s="321">
        <v>0</v>
      </c>
      <c r="AT136" s="322">
        <v>0</v>
      </c>
      <c r="AU136" s="319">
        <v>0</v>
      </c>
      <c r="AV136" s="320"/>
      <c r="AW136" s="319">
        <v>0</v>
      </c>
      <c r="AX136" s="320"/>
      <c r="AY136" s="321">
        <v>0</v>
      </c>
      <c r="AZ136" s="322">
        <v>0</v>
      </c>
      <c r="BA136" s="319">
        <v>0</v>
      </c>
      <c r="BB136" s="320"/>
      <c r="BC136" s="319">
        <v>0</v>
      </c>
      <c r="BD136" s="320"/>
      <c r="BE136" s="321">
        <v>0</v>
      </c>
      <c r="BF136" s="322">
        <v>0</v>
      </c>
      <c r="BG136" s="319">
        <v>0</v>
      </c>
      <c r="BH136" s="320"/>
      <c r="BI136" s="319">
        <v>0</v>
      </c>
      <c r="BJ136" s="320"/>
      <c r="BK136" s="321">
        <v>0</v>
      </c>
      <c r="BL136" s="322">
        <v>0</v>
      </c>
      <c r="BM136" s="319">
        <v>0</v>
      </c>
      <c r="BN136" s="320"/>
      <c r="BO136" s="319">
        <v>0</v>
      </c>
      <c r="BP136" s="320"/>
      <c r="BQ136" s="321">
        <v>0</v>
      </c>
      <c r="BR136" s="322">
        <v>0</v>
      </c>
      <c r="BS136" s="319">
        <v>0</v>
      </c>
      <c r="BT136" s="320"/>
      <c r="BU136" s="319">
        <v>0</v>
      </c>
      <c r="BV136" s="320"/>
      <c r="BW136" s="321">
        <v>0</v>
      </c>
      <c r="BX136" s="322">
        <v>0</v>
      </c>
      <c r="BY136" s="319">
        <v>0</v>
      </c>
      <c r="BZ136" s="320"/>
      <c r="CA136" s="319">
        <v>0</v>
      </c>
      <c r="CB136" s="320"/>
      <c r="CC136" s="321">
        <v>0</v>
      </c>
      <c r="CD136" s="322">
        <v>0</v>
      </c>
      <c r="CE136" s="319">
        <v>0</v>
      </c>
      <c r="CF136" s="320"/>
      <c r="CG136" s="319">
        <v>0</v>
      </c>
      <c r="CH136" s="320"/>
      <c r="CI136" s="321">
        <v>0</v>
      </c>
      <c r="CJ136" s="322">
        <v>0</v>
      </c>
      <c r="CK136" s="319">
        <v>0</v>
      </c>
      <c r="CL136" s="320"/>
      <c r="CM136" s="319">
        <v>0</v>
      </c>
      <c r="CN136" s="320"/>
      <c r="CO136" s="321">
        <v>0</v>
      </c>
      <c r="CP136" s="322">
        <v>0</v>
      </c>
      <c r="CQ136" s="319">
        <v>0</v>
      </c>
      <c r="CR136" s="320"/>
      <c r="CS136" s="319">
        <v>0</v>
      </c>
      <c r="CT136" s="320"/>
      <c r="CU136" s="321">
        <v>0</v>
      </c>
      <c r="CV136" s="322">
        <v>0</v>
      </c>
      <c r="CW136" s="319">
        <v>0</v>
      </c>
      <c r="CX136" s="320"/>
      <c r="CY136" s="319">
        <v>0</v>
      </c>
      <c r="CZ136" s="320"/>
      <c r="DA136" s="321">
        <v>0</v>
      </c>
      <c r="DB136" s="322">
        <v>0</v>
      </c>
      <c r="DC136" s="319">
        <v>0</v>
      </c>
      <c r="DD136" s="320"/>
      <c r="DE136" s="319">
        <v>0</v>
      </c>
      <c r="DF136" s="320"/>
      <c r="DG136" s="321">
        <v>0</v>
      </c>
      <c r="DH136" s="322">
        <v>0</v>
      </c>
      <c r="DI136" s="319">
        <v>0</v>
      </c>
      <c r="DJ136" s="320"/>
      <c r="DK136" s="319">
        <v>0</v>
      </c>
      <c r="DL136" s="320"/>
      <c r="DM136" s="321">
        <v>0</v>
      </c>
      <c r="DN136" s="322">
        <v>0</v>
      </c>
      <c r="DO136" s="319">
        <v>0</v>
      </c>
      <c r="DP136" s="320"/>
      <c r="DQ136" s="319">
        <v>0</v>
      </c>
      <c r="DR136" s="320"/>
      <c r="DS136" s="321">
        <v>0</v>
      </c>
      <c r="DT136" s="322">
        <v>0</v>
      </c>
      <c r="DU136" s="319">
        <v>0</v>
      </c>
      <c r="DV136" s="320"/>
      <c r="DW136" s="319">
        <v>0</v>
      </c>
      <c r="DX136" s="320"/>
      <c r="DY136" s="321">
        <v>0</v>
      </c>
      <c r="DZ136" s="322">
        <v>0</v>
      </c>
      <c r="EA136" s="319">
        <v>0</v>
      </c>
      <c r="EB136" s="320"/>
      <c r="EC136" s="319">
        <v>0</v>
      </c>
      <c r="ED136" s="320"/>
      <c r="EE136" s="321">
        <v>0</v>
      </c>
      <c r="EF136" s="322">
        <v>0</v>
      </c>
      <c r="EG136" s="319">
        <v>0</v>
      </c>
      <c r="EH136" s="320"/>
      <c r="EI136" s="319">
        <v>0</v>
      </c>
      <c r="EJ136" s="320"/>
      <c r="EK136" s="321">
        <v>0</v>
      </c>
      <c r="EL136" s="322">
        <v>0</v>
      </c>
      <c r="EM136" s="319">
        <v>0</v>
      </c>
      <c r="EN136" s="320"/>
      <c r="EO136" s="319">
        <v>0</v>
      </c>
      <c r="EP136" s="320"/>
      <c r="EQ136" s="321">
        <v>0</v>
      </c>
      <c r="ER136" s="322">
        <v>0</v>
      </c>
      <c r="ES136" s="319">
        <v>0</v>
      </c>
      <c r="ET136" s="320"/>
      <c r="EU136" s="319">
        <v>0</v>
      </c>
      <c r="EV136" s="320"/>
      <c r="EW136" s="321">
        <v>0</v>
      </c>
      <c r="EX136" s="322">
        <v>0</v>
      </c>
      <c r="EY136" s="319">
        <v>0</v>
      </c>
      <c r="EZ136" s="320"/>
      <c r="FA136" s="319">
        <v>0</v>
      </c>
      <c r="FB136" s="320"/>
      <c r="FC136" s="321">
        <v>0</v>
      </c>
      <c r="FD136" s="322">
        <v>0</v>
      </c>
      <c r="FE136" s="319">
        <v>0</v>
      </c>
      <c r="FF136" s="320"/>
      <c r="FG136" s="319">
        <v>0</v>
      </c>
      <c r="FH136" s="320"/>
      <c r="FI136" s="321">
        <v>0</v>
      </c>
      <c r="FJ136" s="322">
        <v>0</v>
      </c>
      <c r="FK136" s="319">
        <v>0</v>
      </c>
      <c r="FL136" s="320"/>
      <c r="FM136" s="319">
        <v>0</v>
      </c>
      <c r="FN136" s="320"/>
      <c r="FO136" s="321">
        <v>0</v>
      </c>
      <c r="FP136" s="322">
        <v>0</v>
      </c>
      <c r="FQ136" s="319">
        <v>0</v>
      </c>
      <c r="FR136" s="320"/>
      <c r="FS136" s="319">
        <v>0</v>
      </c>
      <c r="FT136" s="320"/>
      <c r="FU136" s="321">
        <v>0</v>
      </c>
      <c r="FV136" s="322">
        <v>0</v>
      </c>
      <c r="FW136" s="319">
        <v>0</v>
      </c>
      <c r="FX136" s="320"/>
      <c r="FY136" s="319">
        <v>0</v>
      </c>
      <c r="FZ136" s="320"/>
      <c r="GA136" s="321">
        <v>0</v>
      </c>
      <c r="GB136" s="322">
        <v>0</v>
      </c>
      <c r="GC136" s="319">
        <v>0</v>
      </c>
      <c r="GD136" s="320"/>
      <c r="GE136" s="319">
        <v>0</v>
      </c>
      <c r="GF136" s="320"/>
      <c r="GG136" s="321">
        <v>0</v>
      </c>
      <c r="GH136" s="322">
        <v>0</v>
      </c>
      <c r="GI136" s="319">
        <v>0</v>
      </c>
      <c r="GJ136" s="320"/>
      <c r="GK136" s="319">
        <v>0</v>
      </c>
      <c r="GL136" s="320"/>
      <c r="GM136" s="321">
        <v>0</v>
      </c>
      <c r="GN136" s="322">
        <v>0</v>
      </c>
      <c r="GO136" s="319">
        <v>0</v>
      </c>
      <c r="GP136" s="320"/>
      <c r="GQ136" s="319">
        <v>0</v>
      </c>
      <c r="GR136" s="320"/>
      <c r="GS136" s="321">
        <v>0</v>
      </c>
      <c r="GT136" s="322">
        <v>0</v>
      </c>
      <c r="GU136" s="319">
        <v>0</v>
      </c>
      <c r="GV136" s="320"/>
      <c r="GW136" s="319">
        <v>0</v>
      </c>
      <c r="GX136" s="320"/>
      <c r="GY136" s="321">
        <v>0</v>
      </c>
      <c r="GZ136" s="322">
        <v>0</v>
      </c>
    </row>
    <row r="137" spans="1:208" s="89" customFormat="1" ht="22.5" customHeight="1" x14ac:dyDescent="0.2">
      <c r="A137" s="287" t="s">
        <v>3280</v>
      </c>
      <c r="B137" s="288" t="s">
        <v>3281</v>
      </c>
      <c r="C137" s="289" t="s">
        <v>3170</v>
      </c>
      <c r="D137" s="290" t="s">
        <v>3282</v>
      </c>
      <c r="E137" s="290" t="s">
        <v>3283</v>
      </c>
      <c r="F137" s="291" t="s">
        <v>3166</v>
      </c>
      <c r="G137" s="291" t="s">
        <v>3167</v>
      </c>
      <c r="H137" s="292" t="s">
        <v>1505</v>
      </c>
      <c r="I137" s="293" t="s">
        <v>1505</v>
      </c>
      <c r="J137" s="340" t="s">
        <v>3168</v>
      </c>
      <c r="K137" s="340" t="s">
        <v>3171</v>
      </c>
      <c r="L137" s="256">
        <f>CONTINUA!BV137</f>
        <v>0</v>
      </c>
      <c r="M137" s="256">
        <f>CONTINUA!BW137</f>
        <v>0</v>
      </c>
      <c r="N137" s="564"/>
      <c r="O137" s="565" t="s">
        <v>3358</v>
      </c>
      <c r="P137" s="566">
        <v>0</v>
      </c>
      <c r="Q137" s="319">
        <v>51</v>
      </c>
      <c r="R137" s="320"/>
      <c r="S137" s="319">
        <v>6</v>
      </c>
      <c r="T137" s="320"/>
      <c r="U137" s="319">
        <v>0</v>
      </c>
      <c r="V137" s="320">
        <v>0</v>
      </c>
      <c r="W137" s="319">
        <v>51</v>
      </c>
      <c r="X137" s="320"/>
      <c r="Y137" s="319">
        <v>6</v>
      </c>
      <c r="Z137" s="320"/>
      <c r="AA137" s="319">
        <v>0</v>
      </c>
      <c r="AB137" s="320">
        <v>0</v>
      </c>
      <c r="AC137" s="319">
        <v>51</v>
      </c>
      <c r="AD137" s="320"/>
      <c r="AE137" s="319">
        <v>6</v>
      </c>
      <c r="AF137" s="320"/>
      <c r="AG137" s="319">
        <v>0</v>
      </c>
      <c r="AH137" s="320">
        <v>0</v>
      </c>
      <c r="AI137" s="319">
        <v>51</v>
      </c>
      <c r="AJ137" s="320"/>
      <c r="AK137" s="319">
        <v>6</v>
      </c>
      <c r="AL137" s="320"/>
      <c r="AM137" s="319">
        <v>0</v>
      </c>
      <c r="AN137" s="320">
        <v>0</v>
      </c>
      <c r="AO137" s="319">
        <v>51</v>
      </c>
      <c r="AP137" s="320"/>
      <c r="AQ137" s="319">
        <v>6</v>
      </c>
      <c r="AR137" s="320"/>
      <c r="AS137" s="319">
        <v>0</v>
      </c>
      <c r="AT137" s="320">
        <v>0</v>
      </c>
      <c r="AU137" s="319">
        <v>51</v>
      </c>
      <c r="AV137" s="320"/>
      <c r="AW137" s="319">
        <v>6</v>
      </c>
      <c r="AX137" s="320"/>
      <c r="AY137" s="319">
        <v>0</v>
      </c>
      <c r="AZ137" s="320">
        <v>0</v>
      </c>
      <c r="BA137" s="319">
        <v>51</v>
      </c>
      <c r="BB137" s="320"/>
      <c r="BC137" s="319">
        <v>6</v>
      </c>
      <c r="BD137" s="320"/>
      <c r="BE137" s="319">
        <v>0</v>
      </c>
      <c r="BF137" s="320">
        <v>0</v>
      </c>
      <c r="BG137" s="319">
        <v>51</v>
      </c>
      <c r="BH137" s="320"/>
      <c r="BI137" s="319">
        <v>6</v>
      </c>
      <c r="BJ137" s="320"/>
      <c r="BK137" s="319">
        <v>0</v>
      </c>
      <c r="BL137" s="320">
        <v>0</v>
      </c>
      <c r="BM137" s="319">
        <v>51</v>
      </c>
      <c r="BN137" s="320"/>
      <c r="BO137" s="319">
        <v>6</v>
      </c>
      <c r="BP137" s="320"/>
      <c r="BQ137" s="319">
        <v>0</v>
      </c>
      <c r="BR137" s="320">
        <v>0</v>
      </c>
      <c r="BS137" s="319">
        <v>51</v>
      </c>
      <c r="BT137" s="320"/>
      <c r="BU137" s="319">
        <v>6</v>
      </c>
      <c r="BV137" s="320"/>
      <c r="BW137" s="319">
        <v>0</v>
      </c>
      <c r="BX137" s="320">
        <v>0</v>
      </c>
      <c r="BY137" s="319">
        <v>51</v>
      </c>
      <c r="BZ137" s="320"/>
      <c r="CA137" s="319">
        <v>6</v>
      </c>
      <c r="CB137" s="320"/>
      <c r="CC137" s="319">
        <v>0</v>
      </c>
      <c r="CD137" s="320">
        <v>0</v>
      </c>
      <c r="CE137" s="319">
        <v>51</v>
      </c>
      <c r="CF137" s="320"/>
      <c r="CG137" s="319">
        <v>6</v>
      </c>
      <c r="CH137" s="320"/>
      <c r="CI137" s="319">
        <v>0</v>
      </c>
      <c r="CJ137" s="320">
        <v>0</v>
      </c>
      <c r="CK137" s="319">
        <v>51</v>
      </c>
      <c r="CL137" s="320"/>
      <c r="CM137" s="319">
        <v>6</v>
      </c>
      <c r="CN137" s="320"/>
      <c r="CO137" s="319">
        <v>0</v>
      </c>
      <c r="CP137" s="320">
        <v>0</v>
      </c>
      <c r="CQ137" s="319">
        <v>51</v>
      </c>
      <c r="CR137" s="320"/>
      <c r="CS137" s="319">
        <v>6</v>
      </c>
      <c r="CT137" s="320"/>
      <c r="CU137" s="319">
        <v>0</v>
      </c>
      <c r="CV137" s="320">
        <v>0</v>
      </c>
      <c r="CW137" s="319">
        <v>51</v>
      </c>
      <c r="CX137" s="320"/>
      <c r="CY137" s="319">
        <v>6</v>
      </c>
      <c r="CZ137" s="320"/>
      <c r="DA137" s="319">
        <v>0</v>
      </c>
      <c r="DB137" s="320">
        <v>0</v>
      </c>
      <c r="DC137" s="319">
        <v>51</v>
      </c>
      <c r="DD137" s="320"/>
      <c r="DE137" s="319">
        <v>6</v>
      </c>
      <c r="DF137" s="320"/>
      <c r="DG137" s="319">
        <v>0</v>
      </c>
      <c r="DH137" s="320">
        <v>0</v>
      </c>
      <c r="DI137" s="319">
        <v>51</v>
      </c>
      <c r="DJ137" s="320"/>
      <c r="DK137" s="319">
        <v>6</v>
      </c>
      <c r="DL137" s="320"/>
      <c r="DM137" s="319">
        <v>0</v>
      </c>
      <c r="DN137" s="320">
        <v>0</v>
      </c>
      <c r="DO137" s="319">
        <v>51</v>
      </c>
      <c r="DP137" s="320"/>
      <c r="DQ137" s="319">
        <v>6</v>
      </c>
      <c r="DR137" s="320"/>
      <c r="DS137" s="319">
        <v>0</v>
      </c>
      <c r="DT137" s="320">
        <v>0</v>
      </c>
      <c r="DU137" s="319">
        <v>51</v>
      </c>
      <c r="DV137" s="320"/>
      <c r="DW137" s="319">
        <v>6</v>
      </c>
      <c r="DX137" s="320"/>
      <c r="DY137" s="319">
        <v>0</v>
      </c>
      <c r="DZ137" s="320">
        <v>0</v>
      </c>
      <c r="EA137" s="319">
        <v>51</v>
      </c>
      <c r="EB137" s="320"/>
      <c r="EC137" s="319">
        <v>6</v>
      </c>
      <c r="ED137" s="320"/>
      <c r="EE137" s="319">
        <v>0</v>
      </c>
      <c r="EF137" s="320">
        <v>0</v>
      </c>
      <c r="EG137" s="319">
        <v>51</v>
      </c>
      <c r="EH137" s="320"/>
      <c r="EI137" s="319">
        <v>6</v>
      </c>
      <c r="EJ137" s="320"/>
      <c r="EK137" s="319">
        <v>0</v>
      </c>
      <c r="EL137" s="320">
        <v>0</v>
      </c>
      <c r="EM137" s="319">
        <v>51</v>
      </c>
      <c r="EN137" s="320"/>
      <c r="EO137" s="319">
        <v>6</v>
      </c>
      <c r="EP137" s="320"/>
      <c r="EQ137" s="319">
        <v>0</v>
      </c>
      <c r="ER137" s="320">
        <v>0</v>
      </c>
      <c r="ES137" s="319">
        <v>51</v>
      </c>
      <c r="ET137" s="320"/>
      <c r="EU137" s="319">
        <v>6</v>
      </c>
      <c r="EV137" s="320"/>
      <c r="EW137" s="319">
        <v>0</v>
      </c>
      <c r="EX137" s="320">
        <v>0</v>
      </c>
      <c r="EY137" s="319">
        <v>51</v>
      </c>
      <c r="EZ137" s="320"/>
      <c r="FA137" s="319">
        <v>6</v>
      </c>
      <c r="FB137" s="320"/>
      <c r="FC137" s="319">
        <v>0</v>
      </c>
      <c r="FD137" s="320">
        <v>0</v>
      </c>
      <c r="FE137" s="319">
        <v>51</v>
      </c>
      <c r="FF137" s="320"/>
      <c r="FG137" s="319">
        <v>6</v>
      </c>
      <c r="FH137" s="320"/>
      <c r="FI137" s="319">
        <v>0</v>
      </c>
      <c r="FJ137" s="320">
        <v>0</v>
      </c>
      <c r="FK137" s="319">
        <v>51</v>
      </c>
      <c r="FL137" s="320"/>
      <c r="FM137" s="319">
        <v>6</v>
      </c>
      <c r="FN137" s="320"/>
      <c r="FO137" s="319">
        <v>0</v>
      </c>
      <c r="FP137" s="320">
        <v>0</v>
      </c>
      <c r="FQ137" s="319">
        <v>51</v>
      </c>
      <c r="FR137" s="320"/>
      <c r="FS137" s="319">
        <v>6</v>
      </c>
      <c r="FT137" s="320"/>
      <c r="FU137" s="319">
        <v>0</v>
      </c>
      <c r="FV137" s="320">
        <v>0</v>
      </c>
      <c r="FW137" s="319">
        <v>51</v>
      </c>
      <c r="FX137" s="320"/>
      <c r="FY137" s="319">
        <v>6</v>
      </c>
      <c r="FZ137" s="320"/>
      <c r="GA137" s="319">
        <v>0</v>
      </c>
      <c r="GB137" s="320">
        <v>0</v>
      </c>
      <c r="GC137" s="319">
        <v>51</v>
      </c>
      <c r="GD137" s="320"/>
      <c r="GE137" s="319">
        <v>6</v>
      </c>
      <c r="GF137" s="320"/>
      <c r="GG137" s="319">
        <v>0</v>
      </c>
      <c r="GH137" s="320">
        <v>0</v>
      </c>
      <c r="GI137" s="319">
        <v>51</v>
      </c>
      <c r="GJ137" s="320"/>
      <c r="GK137" s="319">
        <v>6</v>
      </c>
      <c r="GL137" s="320"/>
      <c r="GM137" s="319">
        <v>0</v>
      </c>
      <c r="GN137" s="320">
        <v>0</v>
      </c>
      <c r="GO137" s="319">
        <v>51</v>
      </c>
      <c r="GP137" s="320"/>
      <c r="GQ137" s="319">
        <v>6</v>
      </c>
      <c r="GR137" s="320"/>
      <c r="GS137" s="319">
        <v>0</v>
      </c>
      <c r="GT137" s="320">
        <v>0</v>
      </c>
      <c r="GU137" s="319">
        <v>51</v>
      </c>
      <c r="GV137" s="320"/>
      <c r="GW137" s="319">
        <v>6</v>
      </c>
      <c r="GX137" s="320"/>
      <c r="GY137" s="319">
        <v>0</v>
      </c>
      <c r="GZ137" s="320">
        <v>0</v>
      </c>
    </row>
    <row r="138" spans="1:208" s="89" customFormat="1" ht="22.5" customHeight="1" x14ac:dyDescent="0.2">
      <c r="A138" s="287" t="s">
        <v>3280</v>
      </c>
      <c r="B138" s="288" t="s">
        <v>3281</v>
      </c>
      <c r="C138" s="294" t="s">
        <v>3170</v>
      </c>
      <c r="D138" s="290" t="s">
        <v>3282</v>
      </c>
      <c r="E138" s="290" t="s">
        <v>3283</v>
      </c>
      <c r="F138" s="295" t="s">
        <v>3166</v>
      </c>
      <c r="G138" s="295" t="s">
        <v>3167</v>
      </c>
      <c r="H138" s="292" t="s">
        <v>1505</v>
      </c>
      <c r="I138" s="293" t="s">
        <v>1505</v>
      </c>
      <c r="J138" s="340" t="s">
        <v>3168</v>
      </c>
      <c r="K138" s="341" t="s">
        <v>3172</v>
      </c>
      <c r="L138" s="256">
        <f>CONTINUA!BV138</f>
        <v>0</v>
      </c>
      <c r="M138" s="256">
        <f>CONTINUA!BW138</f>
        <v>0</v>
      </c>
      <c r="N138" s="564"/>
      <c r="O138" s="565" t="s">
        <v>3358</v>
      </c>
      <c r="P138" s="566">
        <v>0</v>
      </c>
      <c r="Q138" s="319">
        <v>0</v>
      </c>
      <c r="R138" s="320"/>
      <c r="S138" s="319">
        <v>0</v>
      </c>
      <c r="T138" s="320"/>
      <c r="U138" s="319">
        <v>0</v>
      </c>
      <c r="V138" s="320">
        <v>0</v>
      </c>
      <c r="W138" s="319">
        <v>0</v>
      </c>
      <c r="X138" s="320"/>
      <c r="Y138" s="319">
        <v>0</v>
      </c>
      <c r="Z138" s="320"/>
      <c r="AA138" s="319">
        <v>0</v>
      </c>
      <c r="AB138" s="320">
        <v>0</v>
      </c>
      <c r="AC138" s="319">
        <v>0</v>
      </c>
      <c r="AD138" s="320"/>
      <c r="AE138" s="319">
        <v>0</v>
      </c>
      <c r="AF138" s="320"/>
      <c r="AG138" s="319">
        <v>0</v>
      </c>
      <c r="AH138" s="320">
        <v>0</v>
      </c>
      <c r="AI138" s="319">
        <v>0</v>
      </c>
      <c r="AJ138" s="320"/>
      <c r="AK138" s="319">
        <v>0</v>
      </c>
      <c r="AL138" s="320"/>
      <c r="AM138" s="319">
        <v>0</v>
      </c>
      <c r="AN138" s="320">
        <v>0</v>
      </c>
      <c r="AO138" s="319">
        <v>0</v>
      </c>
      <c r="AP138" s="320"/>
      <c r="AQ138" s="319">
        <v>0</v>
      </c>
      <c r="AR138" s="320"/>
      <c r="AS138" s="319">
        <v>0</v>
      </c>
      <c r="AT138" s="320">
        <v>0</v>
      </c>
      <c r="AU138" s="319">
        <v>0</v>
      </c>
      <c r="AV138" s="320"/>
      <c r="AW138" s="319">
        <v>0</v>
      </c>
      <c r="AX138" s="320"/>
      <c r="AY138" s="319">
        <v>0</v>
      </c>
      <c r="AZ138" s="320">
        <v>0</v>
      </c>
      <c r="BA138" s="319">
        <v>0</v>
      </c>
      <c r="BB138" s="320"/>
      <c r="BC138" s="319">
        <v>0</v>
      </c>
      <c r="BD138" s="320"/>
      <c r="BE138" s="319">
        <v>0</v>
      </c>
      <c r="BF138" s="320">
        <v>0</v>
      </c>
      <c r="BG138" s="319">
        <v>0</v>
      </c>
      <c r="BH138" s="320"/>
      <c r="BI138" s="319">
        <v>0</v>
      </c>
      <c r="BJ138" s="320"/>
      <c r="BK138" s="319">
        <v>0</v>
      </c>
      <c r="BL138" s="320">
        <v>0</v>
      </c>
      <c r="BM138" s="319">
        <v>0</v>
      </c>
      <c r="BN138" s="320"/>
      <c r="BO138" s="319">
        <v>0</v>
      </c>
      <c r="BP138" s="320"/>
      <c r="BQ138" s="319">
        <v>0</v>
      </c>
      <c r="BR138" s="320">
        <v>0</v>
      </c>
      <c r="BS138" s="319">
        <v>0</v>
      </c>
      <c r="BT138" s="320"/>
      <c r="BU138" s="319">
        <v>0</v>
      </c>
      <c r="BV138" s="320"/>
      <c r="BW138" s="319">
        <v>0</v>
      </c>
      <c r="BX138" s="320">
        <v>0</v>
      </c>
      <c r="BY138" s="319">
        <v>0</v>
      </c>
      <c r="BZ138" s="320"/>
      <c r="CA138" s="319">
        <v>0</v>
      </c>
      <c r="CB138" s="320"/>
      <c r="CC138" s="319">
        <v>0</v>
      </c>
      <c r="CD138" s="320">
        <v>0</v>
      </c>
      <c r="CE138" s="319">
        <v>0</v>
      </c>
      <c r="CF138" s="320"/>
      <c r="CG138" s="319">
        <v>0</v>
      </c>
      <c r="CH138" s="320"/>
      <c r="CI138" s="319">
        <v>0</v>
      </c>
      <c r="CJ138" s="320">
        <v>0</v>
      </c>
      <c r="CK138" s="319">
        <v>0</v>
      </c>
      <c r="CL138" s="320"/>
      <c r="CM138" s="319">
        <v>0</v>
      </c>
      <c r="CN138" s="320"/>
      <c r="CO138" s="319">
        <v>0</v>
      </c>
      <c r="CP138" s="320">
        <v>0</v>
      </c>
      <c r="CQ138" s="319">
        <v>0</v>
      </c>
      <c r="CR138" s="320"/>
      <c r="CS138" s="319">
        <v>0</v>
      </c>
      <c r="CT138" s="320"/>
      <c r="CU138" s="319">
        <v>0</v>
      </c>
      <c r="CV138" s="320">
        <v>0</v>
      </c>
      <c r="CW138" s="319">
        <v>0</v>
      </c>
      <c r="CX138" s="320"/>
      <c r="CY138" s="319">
        <v>0</v>
      </c>
      <c r="CZ138" s="320"/>
      <c r="DA138" s="319">
        <v>0</v>
      </c>
      <c r="DB138" s="320">
        <v>0</v>
      </c>
      <c r="DC138" s="319">
        <v>0</v>
      </c>
      <c r="DD138" s="320"/>
      <c r="DE138" s="319">
        <v>0</v>
      </c>
      <c r="DF138" s="320"/>
      <c r="DG138" s="319">
        <v>0</v>
      </c>
      <c r="DH138" s="320">
        <v>0</v>
      </c>
      <c r="DI138" s="319">
        <v>0</v>
      </c>
      <c r="DJ138" s="320"/>
      <c r="DK138" s="319">
        <v>0</v>
      </c>
      <c r="DL138" s="320"/>
      <c r="DM138" s="319">
        <v>0</v>
      </c>
      <c r="DN138" s="320">
        <v>0</v>
      </c>
      <c r="DO138" s="319">
        <v>0</v>
      </c>
      <c r="DP138" s="320"/>
      <c r="DQ138" s="319">
        <v>0</v>
      </c>
      <c r="DR138" s="320"/>
      <c r="DS138" s="319">
        <v>0</v>
      </c>
      <c r="DT138" s="320">
        <v>0</v>
      </c>
      <c r="DU138" s="319">
        <v>0</v>
      </c>
      <c r="DV138" s="320"/>
      <c r="DW138" s="319">
        <v>0</v>
      </c>
      <c r="DX138" s="320"/>
      <c r="DY138" s="319">
        <v>0</v>
      </c>
      <c r="DZ138" s="320">
        <v>0</v>
      </c>
      <c r="EA138" s="319">
        <v>0</v>
      </c>
      <c r="EB138" s="320"/>
      <c r="EC138" s="319">
        <v>0</v>
      </c>
      <c r="ED138" s="320"/>
      <c r="EE138" s="319">
        <v>0</v>
      </c>
      <c r="EF138" s="320">
        <v>0</v>
      </c>
      <c r="EG138" s="319">
        <v>0</v>
      </c>
      <c r="EH138" s="320"/>
      <c r="EI138" s="319">
        <v>0</v>
      </c>
      <c r="EJ138" s="320"/>
      <c r="EK138" s="319">
        <v>0</v>
      </c>
      <c r="EL138" s="320">
        <v>0</v>
      </c>
      <c r="EM138" s="319">
        <v>0</v>
      </c>
      <c r="EN138" s="320"/>
      <c r="EO138" s="319">
        <v>0</v>
      </c>
      <c r="EP138" s="320"/>
      <c r="EQ138" s="319">
        <v>0</v>
      </c>
      <c r="ER138" s="320">
        <v>0</v>
      </c>
      <c r="ES138" s="319">
        <v>0</v>
      </c>
      <c r="ET138" s="320"/>
      <c r="EU138" s="319">
        <v>0</v>
      </c>
      <c r="EV138" s="320"/>
      <c r="EW138" s="319">
        <v>0</v>
      </c>
      <c r="EX138" s="320">
        <v>0</v>
      </c>
      <c r="EY138" s="319">
        <v>0</v>
      </c>
      <c r="EZ138" s="320"/>
      <c r="FA138" s="319">
        <v>0</v>
      </c>
      <c r="FB138" s="320"/>
      <c r="FC138" s="319">
        <v>0</v>
      </c>
      <c r="FD138" s="320">
        <v>0</v>
      </c>
      <c r="FE138" s="319">
        <v>0</v>
      </c>
      <c r="FF138" s="320"/>
      <c r="FG138" s="319">
        <v>0</v>
      </c>
      <c r="FH138" s="320"/>
      <c r="FI138" s="319">
        <v>0</v>
      </c>
      <c r="FJ138" s="320">
        <v>0</v>
      </c>
      <c r="FK138" s="319">
        <v>0</v>
      </c>
      <c r="FL138" s="320"/>
      <c r="FM138" s="319">
        <v>0</v>
      </c>
      <c r="FN138" s="320"/>
      <c r="FO138" s="319">
        <v>0</v>
      </c>
      <c r="FP138" s="320">
        <v>0</v>
      </c>
      <c r="FQ138" s="319">
        <v>0</v>
      </c>
      <c r="FR138" s="320"/>
      <c r="FS138" s="319">
        <v>0</v>
      </c>
      <c r="FT138" s="320"/>
      <c r="FU138" s="319">
        <v>0</v>
      </c>
      <c r="FV138" s="320">
        <v>0</v>
      </c>
      <c r="FW138" s="319">
        <v>0</v>
      </c>
      <c r="FX138" s="320"/>
      <c r="FY138" s="319">
        <v>0</v>
      </c>
      <c r="FZ138" s="320"/>
      <c r="GA138" s="319">
        <v>0</v>
      </c>
      <c r="GB138" s="320">
        <v>0</v>
      </c>
      <c r="GC138" s="319">
        <v>0</v>
      </c>
      <c r="GD138" s="320"/>
      <c r="GE138" s="319">
        <v>0</v>
      </c>
      <c r="GF138" s="320"/>
      <c r="GG138" s="319">
        <v>0</v>
      </c>
      <c r="GH138" s="320">
        <v>0</v>
      </c>
      <c r="GI138" s="319">
        <v>0</v>
      </c>
      <c r="GJ138" s="320"/>
      <c r="GK138" s="319">
        <v>0</v>
      </c>
      <c r="GL138" s="320"/>
      <c r="GM138" s="319">
        <v>0</v>
      </c>
      <c r="GN138" s="320">
        <v>0</v>
      </c>
      <c r="GO138" s="319">
        <v>0</v>
      </c>
      <c r="GP138" s="320"/>
      <c r="GQ138" s="319">
        <v>0</v>
      </c>
      <c r="GR138" s="320"/>
      <c r="GS138" s="319">
        <v>0</v>
      </c>
      <c r="GT138" s="320">
        <v>0</v>
      </c>
      <c r="GU138" s="319">
        <v>0</v>
      </c>
      <c r="GV138" s="320"/>
      <c r="GW138" s="319">
        <v>0</v>
      </c>
      <c r="GX138" s="320"/>
      <c r="GY138" s="319">
        <v>0</v>
      </c>
      <c r="GZ138" s="320">
        <v>0</v>
      </c>
    </row>
    <row r="139" spans="1:208" s="89" customFormat="1" ht="22.5" customHeight="1" x14ac:dyDescent="0.2">
      <c r="A139" s="287" t="s">
        <v>3280</v>
      </c>
      <c r="B139" s="288" t="s">
        <v>3281</v>
      </c>
      <c r="C139" s="294" t="s">
        <v>3170</v>
      </c>
      <c r="D139" s="290" t="s">
        <v>3282</v>
      </c>
      <c r="E139" s="290" t="s">
        <v>3283</v>
      </c>
      <c r="F139" s="295" t="s">
        <v>3166</v>
      </c>
      <c r="G139" s="295" t="s">
        <v>3167</v>
      </c>
      <c r="H139" s="292" t="s">
        <v>1505</v>
      </c>
      <c r="I139" s="293" t="s">
        <v>1505</v>
      </c>
      <c r="J139" s="340" t="s">
        <v>3168</v>
      </c>
      <c r="K139" s="342" t="s">
        <v>3173</v>
      </c>
      <c r="L139" s="256">
        <f>CONTINUA!BV139</f>
        <v>0</v>
      </c>
      <c r="M139" s="256">
        <f>CONTINUA!BW139</f>
        <v>0</v>
      </c>
      <c r="N139" s="564"/>
      <c r="O139" s="565" t="s">
        <v>3358</v>
      </c>
      <c r="P139" s="566">
        <v>0</v>
      </c>
      <c r="Q139" s="319">
        <v>0</v>
      </c>
      <c r="R139" s="320"/>
      <c r="S139" s="319">
        <v>0</v>
      </c>
      <c r="T139" s="320"/>
      <c r="U139" s="319">
        <v>0</v>
      </c>
      <c r="V139" s="320">
        <v>0</v>
      </c>
      <c r="W139" s="319">
        <v>0</v>
      </c>
      <c r="X139" s="320"/>
      <c r="Y139" s="319">
        <v>0</v>
      </c>
      <c r="Z139" s="320"/>
      <c r="AA139" s="319">
        <v>0</v>
      </c>
      <c r="AB139" s="320">
        <v>0</v>
      </c>
      <c r="AC139" s="319">
        <v>0</v>
      </c>
      <c r="AD139" s="320"/>
      <c r="AE139" s="319">
        <v>0</v>
      </c>
      <c r="AF139" s="320"/>
      <c r="AG139" s="319">
        <v>0</v>
      </c>
      <c r="AH139" s="320">
        <v>0</v>
      </c>
      <c r="AI139" s="319">
        <v>0</v>
      </c>
      <c r="AJ139" s="320"/>
      <c r="AK139" s="319">
        <v>0</v>
      </c>
      <c r="AL139" s="320"/>
      <c r="AM139" s="319">
        <v>0</v>
      </c>
      <c r="AN139" s="320">
        <v>0</v>
      </c>
      <c r="AO139" s="319">
        <v>0</v>
      </c>
      <c r="AP139" s="320"/>
      <c r="AQ139" s="319">
        <v>0</v>
      </c>
      <c r="AR139" s="320"/>
      <c r="AS139" s="319">
        <v>0</v>
      </c>
      <c r="AT139" s="320">
        <v>0</v>
      </c>
      <c r="AU139" s="319">
        <v>0</v>
      </c>
      <c r="AV139" s="320"/>
      <c r="AW139" s="319">
        <v>0</v>
      </c>
      <c r="AX139" s="320"/>
      <c r="AY139" s="319">
        <v>0</v>
      </c>
      <c r="AZ139" s="320">
        <v>0</v>
      </c>
      <c r="BA139" s="319">
        <v>0</v>
      </c>
      <c r="BB139" s="320"/>
      <c r="BC139" s="319">
        <v>0</v>
      </c>
      <c r="BD139" s="320"/>
      <c r="BE139" s="319">
        <v>0</v>
      </c>
      <c r="BF139" s="320">
        <v>0</v>
      </c>
      <c r="BG139" s="319">
        <v>0</v>
      </c>
      <c r="BH139" s="320"/>
      <c r="BI139" s="319">
        <v>0</v>
      </c>
      <c r="BJ139" s="320"/>
      <c r="BK139" s="319">
        <v>0</v>
      </c>
      <c r="BL139" s="320">
        <v>0</v>
      </c>
      <c r="BM139" s="319">
        <v>0</v>
      </c>
      <c r="BN139" s="320"/>
      <c r="BO139" s="319">
        <v>0</v>
      </c>
      <c r="BP139" s="320"/>
      <c r="BQ139" s="319">
        <v>0</v>
      </c>
      <c r="BR139" s="320">
        <v>0</v>
      </c>
      <c r="BS139" s="319">
        <v>0</v>
      </c>
      <c r="BT139" s="320"/>
      <c r="BU139" s="319">
        <v>0</v>
      </c>
      <c r="BV139" s="320"/>
      <c r="BW139" s="319">
        <v>0</v>
      </c>
      <c r="BX139" s="320">
        <v>0</v>
      </c>
      <c r="BY139" s="319">
        <v>0</v>
      </c>
      <c r="BZ139" s="320"/>
      <c r="CA139" s="319">
        <v>0</v>
      </c>
      <c r="CB139" s="320"/>
      <c r="CC139" s="319">
        <v>0</v>
      </c>
      <c r="CD139" s="320">
        <v>0</v>
      </c>
      <c r="CE139" s="319">
        <v>0</v>
      </c>
      <c r="CF139" s="320"/>
      <c r="CG139" s="319">
        <v>0</v>
      </c>
      <c r="CH139" s="320"/>
      <c r="CI139" s="319">
        <v>0</v>
      </c>
      <c r="CJ139" s="320">
        <v>0</v>
      </c>
      <c r="CK139" s="319">
        <v>0</v>
      </c>
      <c r="CL139" s="320"/>
      <c r="CM139" s="319">
        <v>0</v>
      </c>
      <c r="CN139" s="320"/>
      <c r="CO139" s="319">
        <v>0</v>
      </c>
      <c r="CP139" s="320">
        <v>0</v>
      </c>
      <c r="CQ139" s="319">
        <v>0</v>
      </c>
      <c r="CR139" s="320"/>
      <c r="CS139" s="319">
        <v>0</v>
      </c>
      <c r="CT139" s="320"/>
      <c r="CU139" s="319">
        <v>0</v>
      </c>
      <c r="CV139" s="320">
        <v>0</v>
      </c>
      <c r="CW139" s="319">
        <v>0</v>
      </c>
      <c r="CX139" s="320"/>
      <c r="CY139" s="319">
        <v>0</v>
      </c>
      <c r="CZ139" s="320"/>
      <c r="DA139" s="319">
        <v>0</v>
      </c>
      <c r="DB139" s="320">
        <v>0</v>
      </c>
      <c r="DC139" s="319">
        <v>0</v>
      </c>
      <c r="DD139" s="320"/>
      <c r="DE139" s="319">
        <v>0</v>
      </c>
      <c r="DF139" s="320"/>
      <c r="DG139" s="319">
        <v>0</v>
      </c>
      <c r="DH139" s="320">
        <v>0</v>
      </c>
      <c r="DI139" s="319">
        <v>0</v>
      </c>
      <c r="DJ139" s="320"/>
      <c r="DK139" s="319">
        <v>0</v>
      </c>
      <c r="DL139" s="320"/>
      <c r="DM139" s="319">
        <v>0</v>
      </c>
      <c r="DN139" s="320">
        <v>0</v>
      </c>
      <c r="DO139" s="319">
        <v>0</v>
      </c>
      <c r="DP139" s="320"/>
      <c r="DQ139" s="319">
        <v>0</v>
      </c>
      <c r="DR139" s="320"/>
      <c r="DS139" s="319">
        <v>0</v>
      </c>
      <c r="DT139" s="320">
        <v>0</v>
      </c>
      <c r="DU139" s="319">
        <v>0</v>
      </c>
      <c r="DV139" s="320"/>
      <c r="DW139" s="319">
        <v>0</v>
      </c>
      <c r="DX139" s="320"/>
      <c r="DY139" s="319">
        <v>0</v>
      </c>
      <c r="DZ139" s="320">
        <v>0</v>
      </c>
      <c r="EA139" s="319">
        <v>0</v>
      </c>
      <c r="EB139" s="320"/>
      <c r="EC139" s="319">
        <v>0</v>
      </c>
      <c r="ED139" s="320"/>
      <c r="EE139" s="319">
        <v>0</v>
      </c>
      <c r="EF139" s="320">
        <v>0</v>
      </c>
      <c r="EG139" s="319">
        <v>0</v>
      </c>
      <c r="EH139" s="320"/>
      <c r="EI139" s="319">
        <v>0</v>
      </c>
      <c r="EJ139" s="320"/>
      <c r="EK139" s="319">
        <v>0</v>
      </c>
      <c r="EL139" s="320">
        <v>0</v>
      </c>
      <c r="EM139" s="319">
        <v>0</v>
      </c>
      <c r="EN139" s="320"/>
      <c r="EO139" s="319">
        <v>0</v>
      </c>
      <c r="EP139" s="320"/>
      <c r="EQ139" s="319">
        <v>0</v>
      </c>
      <c r="ER139" s="320">
        <v>0</v>
      </c>
      <c r="ES139" s="319">
        <v>0</v>
      </c>
      <c r="ET139" s="320"/>
      <c r="EU139" s="319">
        <v>0</v>
      </c>
      <c r="EV139" s="320"/>
      <c r="EW139" s="319">
        <v>0</v>
      </c>
      <c r="EX139" s="320">
        <v>0</v>
      </c>
      <c r="EY139" s="319">
        <v>0</v>
      </c>
      <c r="EZ139" s="320"/>
      <c r="FA139" s="319">
        <v>0</v>
      </c>
      <c r="FB139" s="320"/>
      <c r="FC139" s="319">
        <v>0</v>
      </c>
      <c r="FD139" s="320">
        <v>0</v>
      </c>
      <c r="FE139" s="319">
        <v>0</v>
      </c>
      <c r="FF139" s="320"/>
      <c r="FG139" s="319">
        <v>0</v>
      </c>
      <c r="FH139" s="320"/>
      <c r="FI139" s="319">
        <v>0</v>
      </c>
      <c r="FJ139" s="320">
        <v>0</v>
      </c>
      <c r="FK139" s="319">
        <v>0</v>
      </c>
      <c r="FL139" s="320"/>
      <c r="FM139" s="319">
        <v>0</v>
      </c>
      <c r="FN139" s="320"/>
      <c r="FO139" s="319">
        <v>0</v>
      </c>
      <c r="FP139" s="320">
        <v>0</v>
      </c>
      <c r="FQ139" s="319">
        <v>0</v>
      </c>
      <c r="FR139" s="320"/>
      <c r="FS139" s="319">
        <v>0</v>
      </c>
      <c r="FT139" s="320"/>
      <c r="FU139" s="319">
        <v>0</v>
      </c>
      <c r="FV139" s="320">
        <v>0</v>
      </c>
      <c r="FW139" s="319">
        <v>0</v>
      </c>
      <c r="FX139" s="320"/>
      <c r="FY139" s="319">
        <v>0</v>
      </c>
      <c r="FZ139" s="320"/>
      <c r="GA139" s="319">
        <v>0</v>
      </c>
      <c r="GB139" s="320">
        <v>0</v>
      </c>
      <c r="GC139" s="319">
        <v>0</v>
      </c>
      <c r="GD139" s="320"/>
      <c r="GE139" s="319">
        <v>0</v>
      </c>
      <c r="GF139" s="320"/>
      <c r="GG139" s="319">
        <v>0</v>
      </c>
      <c r="GH139" s="320">
        <v>0</v>
      </c>
      <c r="GI139" s="319">
        <v>0</v>
      </c>
      <c r="GJ139" s="320"/>
      <c r="GK139" s="319">
        <v>0</v>
      </c>
      <c r="GL139" s="320"/>
      <c r="GM139" s="319">
        <v>0</v>
      </c>
      <c r="GN139" s="320">
        <v>0</v>
      </c>
      <c r="GO139" s="319">
        <v>0</v>
      </c>
      <c r="GP139" s="320"/>
      <c r="GQ139" s="319">
        <v>0</v>
      </c>
      <c r="GR139" s="320"/>
      <c r="GS139" s="319">
        <v>0</v>
      </c>
      <c r="GT139" s="320">
        <v>0</v>
      </c>
      <c r="GU139" s="319">
        <v>0</v>
      </c>
      <c r="GV139" s="320"/>
      <c r="GW139" s="319">
        <v>0</v>
      </c>
      <c r="GX139" s="320"/>
      <c r="GY139" s="319">
        <v>0</v>
      </c>
      <c r="GZ139" s="320">
        <v>0</v>
      </c>
    </row>
    <row r="140" spans="1:208" s="89" customFormat="1" ht="22.5" customHeight="1" thickBot="1" x14ac:dyDescent="0.25">
      <c r="A140" s="296" t="s">
        <v>3280</v>
      </c>
      <c r="B140" s="297" t="s">
        <v>3281</v>
      </c>
      <c r="C140" s="298" t="s">
        <v>3170</v>
      </c>
      <c r="D140" s="299" t="s">
        <v>3282</v>
      </c>
      <c r="E140" s="299" t="s">
        <v>3283</v>
      </c>
      <c r="F140" s="300" t="s">
        <v>3166</v>
      </c>
      <c r="G140" s="300" t="s">
        <v>3167</v>
      </c>
      <c r="H140" s="301" t="s">
        <v>1505</v>
      </c>
      <c r="I140" s="302" t="s">
        <v>1505</v>
      </c>
      <c r="J140" s="340" t="s">
        <v>3168</v>
      </c>
      <c r="K140" s="343" t="s">
        <v>53</v>
      </c>
      <c r="L140" s="256">
        <f>CONTINUA!BV140</f>
        <v>0</v>
      </c>
      <c r="M140" s="256">
        <f>CONTINUA!BW140</f>
        <v>0</v>
      </c>
      <c r="N140" s="564"/>
      <c r="O140" s="565" t="s">
        <v>3358</v>
      </c>
      <c r="P140" s="566">
        <v>0</v>
      </c>
      <c r="Q140" s="319">
        <v>0</v>
      </c>
      <c r="R140" s="320"/>
      <c r="S140" s="319">
        <v>0</v>
      </c>
      <c r="T140" s="320"/>
      <c r="U140" s="321">
        <v>0</v>
      </c>
      <c r="V140" s="322">
        <v>0</v>
      </c>
      <c r="W140" s="319">
        <v>0</v>
      </c>
      <c r="X140" s="320"/>
      <c r="Y140" s="319">
        <v>0</v>
      </c>
      <c r="Z140" s="320"/>
      <c r="AA140" s="321">
        <v>0</v>
      </c>
      <c r="AB140" s="322">
        <v>0</v>
      </c>
      <c r="AC140" s="319">
        <v>0</v>
      </c>
      <c r="AD140" s="320"/>
      <c r="AE140" s="319">
        <v>0</v>
      </c>
      <c r="AF140" s="320"/>
      <c r="AG140" s="321">
        <v>0</v>
      </c>
      <c r="AH140" s="322">
        <v>0</v>
      </c>
      <c r="AI140" s="319">
        <v>0</v>
      </c>
      <c r="AJ140" s="320"/>
      <c r="AK140" s="319">
        <v>0</v>
      </c>
      <c r="AL140" s="320"/>
      <c r="AM140" s="321">
        <v>0</v>
      </c>
      <c r="AN140" s="322">
        <v>0</v>
      </c>
      <c r="AO140" s="319">
        <v>0</v>
      </c>
      <c r="AP140" s="320"/>
      <c r="AQ140" s="319">
        <v>0</v>
      </c>
      <c r="AR140" s="320"/>
      <c r="AS140" s="321">
        <v>0</v>
      </c>
      <c r="AT140" s="322">
        <v>0</v>
      </c>
      <c r="AU140" s="319">
        <v>0</v>
      </c>
      <c r="AV140" s="320"/>
      <c r="AW140" s="319">
        <v>0</v>
      </c>
      <c r="AX140" s="320"/>
      <c r="AY140" s="321">
        <v>0</v>
      </c>
      <c r="AZ140" s="322">
        <v>0</v>
      </c>
      <c r="BA140" s="319">
        <v>0</v>
      </c>
      <c r="BB140" s="320"/>
      <c r="BC140" s="319">
        <v>0</v>
      </c>
      <c r="BD140" s="320"/>
      <c r="BE140" s="321">
        <v>0</v>
      </c>
      <c r="BF140" s="322">
        <v>0</v>
      </c>
      <c r="BG140" s="319">
        <v>0</v>
      </c>
      <c r="BH140" s="320"/>
      <c r="BI140" s="319">
        <v>0</v>
      </c>
      <c r="BJ140" s="320"/>
      <c r="BK140" s="321">
        <v>0</v>
      </c>
      <c r="BL140" s="322">
        <v>0</v>
      </c>
      <c r="BM140" s="319">
        <v>0</v>
      </c>
      <c r="BN140" s="320"/>
      <c r="BO140" s="319">
        <v>0</v>
      </c>
      <c r="BP140" s="320"/>
      <c r="BQ140" s="321">
        <v>0</v>
      </c>
      <c r="BR140" s="322">
        <v>0</v>
      </c>
      <c r="BS140" s="319">
        <v>0</v>
      </c>
      <c r="BT140" s="320"/>
      <c r="BU140" s="319">
        <v>0</v>
      </c>
      <c r="BV140" s="320"/>
      <c r="BW140" s="321">
        <v>0</v>
      </c>
      <c r="BX140" s="322">
        <v>0</v>
      </c>
      <c r="BY140" s="319">
        <v>0</v>
      </c>
      <c r="BZ140" s="320"/>
      <c r="CA140" s="319">
        <v>0</v>
      </c>
      <c r="CB140" s="320"/>
      <c r="CC140" s="321">
        <v>0</v>
      </c>
      <c r="CD140" s="322">
        <v>0</v>
      </c>
      <c r="CE140" s="319">
        <v>0</v>
      </c>
      <c r="CF140" s="320"/>
      <c r="CG140" s="319">
        <v>0</v>
      </c>
      <c r="CH140" s="320"/>
      <c r="CI140" s="321">
        <v>0</v>
      </c>
      <c r="CJ140" s="322">
        <v>0</v>
      </c>
      <c r="CK140" s="319">
        <v>0</v>
      </c>
      <c r="CL140" s="320"/>
      <c r="CM140" s="319">
        <v>0</v>
      </c>
      <c r="CN140" s="320"/>
      <c r="CO140" s="321">
        <v>0</v>
      </c>
      <c r="CP140" s="322">
        <v>0</v>
      </c>
      <c r="CQ140" s="319">
        <v>0</v>
      </c>
      <c r="CR140" s="320"/>
      <c r="CS140" s="319">
        <v>0</v>
      </c>
      <c r="CT140" s="320"/>
      <c r="CU140" s="321">
        <v>0</v>
      </c>
      <c r="CV140" s="322">
        <v>0</v>
      </c>
      <c r="CW140" s="319">
        <v>0</v>
      </c>
      <c r="CX140" s="320"/>
      <c r="CY140" s="319">
        <v>0</v>
      </c>
      <c r="CZ140" s="320"/>
      <c r="DA140" s="321">
        <v>0</v>
      </c>
      <c r="DB140" s="322">
        <v>0</v>
      </c>
      <c r="DC140" s="319">
        <v>0</v>
      </c>
      <c r="DD140" s="320"/>
      <c r="DE140" s="319">
        <v>0</v>
      </c>
      <c r="DF140" s="320"/>
      <c r="DG140" s="321">
        <v>0</v>
      </c>
      <c r="DH140" s="322">
        <v>0</v>
      </c>
      <c r="DI140" s="319">
        <v>0</v>
      </c>
      <c r="DJ140" s="320"/>
      <c r="DK140" s="319">
        <v>0</v>
      </c>
      <c r="DL140" s="320"/>
      <c r="DM140" s="321">
        <v>0</v>
      </c>
      <c r="DN140" s="322">
        <v>0</v>
      </c>
      <c r="DO140" s="319">
        <v>0</v>
      </c>
      <c r="DP140" s="320"/>
      <c r="DQ140" s="319">
        <v>0</v>
      </c>
      <c r="DR140" s="320"/>
      <c r="DS140" s="321">
        <v>0</v>
      </c>
      <c r="DT140" s="322">
        <v>0</v>
      </c>
      <c r="DU140" s="319">
        <v>0</v>
      </c>
      <c r="DV140" s="320"/>
      <c r="DW140" s="319">
        <v>0</v>
      </c>
      <c r="DX140" s="320"/>
      <c r="DY140" s="321">
        <v>0</v>
      </c>
      <c r="DZ140" s="322">
        <v>0</v>
      </c>
      <c r="EA140" s="319">
        <v>0</v>
      </c>
      <c r="EB140" s="320"/>
      <c r="EC140" s="319">
        <v>0</v>
      </c>
      <c r="ED140" s="320"/>
      <c r="EE140" s="321">
        <v>0</v>
      </c>
      <c r="EF140" s="322">
        <v>0</v>
      </c>
      <c r="EG140" s="319">
        <v>0</v>
      </c>
      <c r="EH140" s="320"/>
      <c r="EI140" s="319">
        <v>0</v>
      </c>
      <c r="EJ140" s="320"/>
      <c r="EK140" s="321">
        <v>0</v>
      </c>
      <c r="EL140" s="322">
        <v>0</v>
      </c>
      <c r="EM140" s="319">
        <v>0</v>
      </c>
      <c r="EN140" s="320"/>
      <c r="EO140" s="319">
        <v>0</v>
      </c>
      <c r="EP140" s="320"/>
      <c r="EQ140" s="321">
        <v>0</v>
      </c>
      <c r="ER140" s="322">
        <v>0</v>
      </c>
      <c r="ES140" s="319">
        <v>0</v>
      </c>
      <c r="ET140" s="320"/>
      <c r="EU140" s="319">
        <v>0</v>
      </c>
      <c r="EV140" s="320"/>
      <c r="EW140" s="321">
        <v>0</v>
      </c>
      <c r="EX140" s="322">
        <v>0</v>
      </c>
      <c r="EY140" s="319">
        <v>0</v>
      </c>
      <c r="EZ140" s="320"/>
      <c r="FA140" s="319">
        <v>0</v>
      </c>
      <c r="FB140" s="320"/>
      <c r="FC140" s="321">
        <v>0</v>
      </c>
      <c r="FD140" s="322">
        <v>0</v>
      </c>
      <c r="FE140" s="319">
        <v>0</v>
      </c>
      <c r="FF140" s="320"/>
      <c r="FG140" s="319">
        <v>0</v>
      </c>
      <c r="FH140" s="320"/>
      <c r="FI140" s="321">
        <v>0</v>
      </c>
      <c r="FJ140" s="322">
        <v>0</v>
      </c>
      <c r="FK140" s="319">
        <v>0</v>
      </c>
      <c r="FL140" s="320"/>
      <c r="FM140" s="319">
        <v>0</v>
      </c>
      <c r="FN140" s="320"/>
      <c r="FO140" s="321">
        <v>0</v>
      </c>
      <c r="FP140" s="322">
        <v>0</v>
      </c>
      <c r="FQ140" s="319">
        <v>0</v>
      </c>
      <c r="FR140" s="320"/>
      <c r="FS140" s="319">
        <v>0</v>
      </c>
      <c r="FT140" s="320"/>
      <c r="FU140" s="321">
        <v>0</v>
      </c>
      <c r="FV140" s="322">
        <v>0</v>
      </c>
      <c r="FW140" s="319">
        <v>0</v>
      </c>
      <c r="FX140" s="320"/>
      <c r="FY140" s="319">
        <v>0</v>
      </c>
      <c r="FZ140" s="320"/>
      <c r="GA140" s="321">
        <v>0</v>
      </c>
      <c r="GB140" s="322">
        <v>0</v>
      </c>
      <c r="GC140" s="319">
        <v>0</v>
      </c>
      <c r="GD140" s="320"/>
      <c r="GE140" s="319">
        <v>0</v>
      </c>
      <c r="GF140" s="320"/>
      <c r="GG140" s="321">
        <v>0</v>
      </c>
      <c r="GH140" s="322">
        <v>0</v>
      </c>
      <c r="GI140" s="319">
        <v>0</v>
      </c>
      <c r="GJ140" s="320"/>
      <c r="GK140" s="319">
        <v>0</v>
      </c>
      <c r="GL140" s="320"/>
      <c r="GM140" s="321">
        <v>0</v>
      </c>
      <c r="GN140" s="322">
        <v>0</v>
      </c>
      <c r="GO140" s="319">
        <v>0</v>
      </c>
      <c r="GP140" s="320"/>
      <c r="GQ140" s="319">
        <v>0</v>
      </c>
      <c r="GR140" s="320"/>
      <c r="GS140" s="321">
        <v>0</v>
      </c>
      <c r="GT140" s="322">
        <v>0</v>
      </c>
      <c r="GU140" s="319">
        <v>0</v>
      </c>
      <c r="GV140" s="320"/>
      <c r="GW140" s="319">
        <v>0</v>
      </c>
      <c r="GX140" s="320"/>
      <c r="GY140" s="321">
        <v>0</v>
      </c>
      <c r="GZ140" s="322">
        <v>0</v>
      </c>
    </row>
    <row r="141" spans="1:208" s="89" customFormat="1" ht="22.5" customHeight="1" x14ac:dyDescent="0.2">
      <c r="A141" t="s">
        <v>3284</v>
      </c>
      <c r="B141" s="429" t="s">
        <v>3285</v>
      </c>
      <c r="C141" s="430">
        <v>1</v>
      </c>
      <c r="D141" s="431" t="s">
        <v>3286</v>
      </c>
      <c r="E141" s="431" t="s">
        <v>3287</v>
      </c>
      <c r="F141" s="432" t="s">
        <v>3166</v>
      </c>
      <c r="G141" s="432" t="s">
        <v>3167</v>
      </c>
      <c r="H141" s="270" t="s">
        <v>1509</v>
      </c>
      <c r="I141" s="271" t="s">
        <v>1509</v>
      </c>
      <c r="J141" s="328" t="s">
        <v>3168</v>
      </c>
      <c r="K141" s="329" t="s">
        <v>3169</v>
      </c>
      <c r="L141" s="256">
        <f>CONTINUA!BV141</f>
        <v>0</v>
      </c>
      <c r="M141" s="256">
        <f>CONTINUA!BW141</f>
        <v>0</v>
      </c>
      <c r="N141" s="564"/>
      <c r="O141" s="565" t="s">
        <v>3359</v>
      </c>
      <c r="P141" s="566">
        <v>0</v>
      </c>
      <c r="Q141" s="319">
        <v>0</v>
      </c>
      <c r="R141" s="320"/>
      <c r="S141" s="319">
        <v>0</v>
      </c>
      <c r="T141" s="320"/>
      <c r="U141" s="321">
        <v>0</v>
      </c>
      <c r="V141" s="322">
        <v>0</v>
      </c>
      <c r="W141" s="319">
        <v>0</v>
      </c>
      <c r="X141" s="320"/>
      <c r="Y141" s="319">
        <v>0</v>
      </c>
      <c r="Z141" s="320"/>
      <c r="AA141" s="321">
        <v>0</v>
      </c>
      <c r="AB141" s="322">
        <v>0</v>
      </c>
      <c r="AC141" s="319">
        <v>0</v>
      </c>
      <c r="AD141" s="320"/>
      <c r="AE141" s="319">
        <v>0</v>
      </c>
      <c r="AF141" s="320"/>
      <c r="AG141" s="321">
        <v>0</v>
      </c>
      <c r="AH141" s="322">
        <v>0</v>
      </c>
      <c r="AI141" s="319">
        <v>0</v>
      </c>
      <c r="AJ141" s="320"/>
      <c r="AK141" s="319">
        <v>0</v>
      </c>
      <c r="AL141" s="320"/>
      <c r="AM141" s="321">
        <v>0</v>
      </c>
      <c r="AN141" s="322">
        <v>0</v>
      </c>
      <c r="AO141" s="319">
        <v>0</v>
      </c>
      <c r="AP141" s="320"/>
      <c r="AQ141" s="319">
        <v>0</v>
      </c>
      <c r="AR141" s="320"/>
      <c r="AS141" s="321">
        <v>0</v>
      </c>
      <c r="AT141" s="322">
        <v>0</v>
      </c>
      <c r="AU141" s="319">
        <v>0</v>
      </c>
      <c r="AV141" s="320"/>
      <c r="AW141" s="319">
        <v>0</v>
      </c>
      <c r="AX141" s="320"/>
      <c r="AY141" s="321">
        <v>0</v>
      </c>
      <c r="AZ141" s="322">
        <v>0</v>
      </c>
      <c r="BA141" s="319">
        <v>0</v>
      </c>
      <c r="BB141" s="320"/>
      <c r="BC141" s="319">
        <v>0</v>
      </c>
      <c r="BD141" s="320"/>
      <c r="BE141" s="321">
        <v>0</v>
      </c>
      <c r="BF141" s="322">
        <v>0</v>
      </c>
      <c r="BG141" s="319">
        <v>0</v>
      </c>
      <c r="BH141" s="320"/>
      <c r="BI141" s="319">
        <v>0</v>
      </c>
      <c r="BJ141" s="320"/>
      <c r="BK141" s="321">
        <v>0</v>
      </c>
      <c r="BL141" s="322">
        <v>0</v>
      </c>
      <c r="BM141" s="319">
        <v>0</v>
      </c>
      <c r="BN141" s="320"/>
      <c r="BO141" s="319">
        <v>0</v>
      </c>
      <c r="BP141" s="320"/>
      <c r="BQ141" s="321">
        <v>0</v>
      </c>
      <c r="BR141" s="322">
        <v>0</v>
      </c>
      <c r="BS141" s="319">
        <v>0</v>
      </c>
      <c r="BT141" s="320"/>
      <c r="BU141" s="319">
        <v>0</v>
      </c>
      <c r="BV141" s="320"/>
      <c r="BW141" s="321">
        <v>0</v>
      </c>
      <c r="BX141" s="322">
        <v>0</v>
      </c>
      <c r="BY141" s="319">
        <v>0</v>
      </c>
      <c r="BZ141" s="320"/>
      <c r="CA141" s="319">
        <v>0</v>
      </c>
      <c r="CB141" s="320"/>
      <c r="CC141" s="321">
        <v>0</v>
      </c>
      <c r="CD141" s="322">
        <v>0</v>
      </c>
      <c r="CE141" s="319">
        <v>0</v>
      </c>
      <c r="CF141" s="320"/>
      <c r="CG141" s="319">
        <v>0</v>
      </c>
      <c r="CH141" s="320"/>
      <c r="CI141" s="321">
        <v>0</v>
      </c>
      <c r="CJ141" s="322">
        <v>0</v>
      </c>
      <c r="CK141" s="319">
        <v>0</v>
      </c>
      <c r="CL141" s="320"/>
      <c r="CM141" s="319">
        <v>0</v>
      </c>
      <c r="CN141" s="320"/>
      <c r="CO141" s="321">
        <v>0</v>
      </c>
      <c r="CP141" s="322">
        <v>0</v>
      </c>
      <c r="CQ141" s="319">
        <v>0</v>
      </c>
      <c r="CR141" s="320"/>
      <c r="CS141" s="319">
        <v>0</v>
      </c>
      <c r="CT141" s="320"/>
      <c r="CU141" s="321">
        <v>0</v>
      </c>
      <c r="CV141" s="322">
        <v>0</v>
      </c>
      <c r="CW141" s="319">
        <v>0</v>
      </c>
      <c r="CX141" s="320"/>
      <c r="CY141" s="319">
        <v>0</v>
      </c>
      <c r="CZ141" s="320"/>
      <c r="DA141" s="321">
        <v>0</v>
      </c>
      <c r="DB141" s="322">
        <v>0</v>
      </c>
      <c r="DC141" s="319">
        <v>0</v>
      </c>
      <c r="DD141" s="320"/>
      <c r="DE141" s="319">
        <v>0</v>
      </c>
      <c r="DF141" s="320"/>
      <c r="DG141" s="321">
        <v>0</v>
      </c>
      <c r="DH141" s="322">
        <v>0</v>
      </c>
      <c r="DI141" s="319">
        <v>0</v>
      </c>
      <c r="DJ141" s="320"/>
      <c r="DK141" s="319">
        <v>0</v>
      </c>
      <c r="DL141" s="320"/>
      <c r="DM141" s="321">
        <v>0</v>
      </c>
      <c r="DN141" s="322">
        <v>0</v>
      </c>
      <c r="DO141" s="319">
        <v>0</v>
      </c>
      <c r="DP141" s="320"/>
      <c r="DQ141" s="319">
        <v>0</v>
      </c>
      <c r="DR141" s="320"/>
      <c r="DS141" s="321">
        <v>0</v>
      </c>
      <c r="DT141" s="322">
        <v>0</v>
      </c>
      <c r="DU141" s="319">
        <v>0</v>
      </c>
      <c r="DV141" s="320"/>
      <c r="DW141" s="319">
        <v>0</v>
      </c>
      <c r="DX141" s="320"/>
      <c r="DY141" s="321">
        <v>0</v>
      </c>
      <c r="DZ141" s="322">
        <v>0</v>
      </c>
      <c r="EA141" s="319">
        <v>0</v>
      </c>
      <c r="EB141" s="320"/>
      <c r="EC141" s="319">
        <v>0</v>
      </c>
      <c r="ED141" s="320"/>
      <c r="EE141" s="321">
        <v>0</v>
      </c>
      <c r="EF141" s="322">
        <v>0</v>
      </c>
      <c r="EG141" s="319">
        <v>0</v>
      </c>
      <c r="EH141" s="320"/>
      <c r="EI141" s="319">
        <v>0</v>
      </c>
      <c r="EJ141" s="320"/>
      <c r="EK141" s="321">
        <v>0</v>
      </c>
      <c r="EL141" s="322">
        <v>0</v>
      </c>
      <c r="EM141" s="319">
        <v>0</v>
      </c>
      <c r="EN141" s="320"/>
      <c r="EO141" s="319">
        <v>0</v>
      </c>
      <c r="EP141" s="320"/>
      <c r="EQ141" s="321">
        <v>0</v>
      </c>
      <c r="ER141" s="322">
        <v>0</v>
      </c>
      <c r="ES141" s="319">
        <v>0</v>
      </c>
      <c r="ET141" s="320"/>
      <c r="EU141" s="319">
        <v>0</v>
      </c>
      <c r="EV141" s="320"/>
      <c r="EW141" s="321">
        <v>0</v>
      </c>
      <c r="EX141" s="322">
        <v>0</v>
      </c>
      <c r="EY141" s="319">
        <v>0</v>
      </c>
      <c r="EZ141" s="320"/>
      <c r="FA141" s="319">
        <v>0</v>
      </c>
      <c r="FB141" s="320"/>
      <c r="FC141" s="321">
        <v>0</v>
      </c>
      <c r="FD141" s="322">
        <v>0</v>
      </c>
      <c r="FE141" s="319">
        <v>0</v>
      </c>
      <c r="FF141" s="320"/>
      <c r="FG141" s="319">
        <v>0</v>
      </c>
      <c r="FH141" s="320"/>
      <c r="FI141" s="321">
        <v>0</v>
      </c>
      <c r="FJ141" s="322">
        <v>0</v>
      </c>
      <c r="FK141" s="319">
        <v>0</v>
      </c>
      <c r="FL141" s="320"/>
      <c r="FM141" s="319">
        <v>0</v>
      </c>
      <c r="FN141" s="320"/>
      <c r="FO141" s="321">
        <v>0</v>
      </c>
      <c r="FP141" s="322">
        <v>0</v>
      </c>
      <c r="FQ141" s="319">
        <v>0</v>
      </c>
      <c r="FR141" s="320"/>
      <c r="FS141" s="319">
        <v>0</v>
      </c>
      <c r="FT141" s="320"/>
      <c r="FU141" s="321">
        <v>0</v>
      </c>
      <c r="FV141" s="322">
        <v>0</v>
      </c>
      <c r="FW141" s="319">
        <v>0</v>
      </c>
      <c r="FX141" s="320"/>
      <c r="FY141" s="319">
        <v>0</v>
      </c>
      <c r="FZ141" s="320"/>
      <c r="GA141" s="321">
        <v>0</v>
      </c>
      <c r="GB141" s="322">
        <v>0</v>
      </c>
      <c r="GC141" s="319">
        <v>0</v>
      </c>
      <c r="GD141" s="320"/>
      <c r="GE141" s="319">
        <v>0</v>
      </c>
      <c r="GF141" s="320"/>
      <c r="GG141" s="321">
        <v>0</v>
      </c>
      <c r="GH141" s="322">
        <v>0</v>
      </c>
      <c r="GI141" s="319">
        <v>0</v>
      </c>
      <c r="GJ141" s="320"/>
      <c r="GK141" s="319">
        <v>0</v>
      </c>
      <c r="GL141" s="320"/>
      <c r="GM141" s="321">
        <v>0</v>
      </c>
      <c r="GN141" s="322">
        <v>0</v>
      </c>
      <c r="GO141" s="319">
        <v>0</v>
      </c>
      <c r="GP141" s="320"/>
      <c r="GQ141" s="319">
        <v>0</v>
      </c>
      <c r="GR141" s="320"/>
      <c r="GS141" s="321">
        <v>0</v>
      </c>
      <c r="GT141" s="322">
        <v>0</v>
      </c>
      <c r="GU141" s="319">
        <v>0</v>
      </c>
      <c r="GV141" s="320"/>
      <c r="GW141" s="319">
        <v>0</v>
      </c>
      <c r="GX141" s="320"/>
      <c r="GY141" s="321">
        <v>0</v>
      </c>
      <c r="GZ141" s="322">
        <v>0</v>
      </c>
    </row>
    <row r="142" spans="1:208" s="89" customFormat="1" ht="22.5" customHeight="1" x14ac:dyDescent="0.2">
      <c r="A142" s="287" t="s">
        <v>3284</v>
      </c>
      <c r="B142" s="288" t="s">
        <v>3285</v>
      </c>
      <c r="C142" s="289" t="s">
        <v>3170</v>
      </c>
      <c r="D142" s="290" t="s">
        <v>3286</v>
      </c>
      <c r="E142" s="290" t="s">
        <v>3287</v>
      </c>
      <c r="F142" s="291" t="s">
        <v>3166</v>
      </c>
      <c r="G142" s="291" t="s">
        <v>3167</v>
      </c>
      <c r="H142" s="292" t="s">
        <v>1509</v>
      </c>
      <c r="I142" s="293" t="s">
        <v>1509</v>
      </c>
      <c r="J142" s="340" t="s">
        <v>3168</v>
      </c>
      <c r="K142" s="340" t="s">
        <v>3171</v>
      </c>
      <c r="L142" s="256">
        <f>CONTINUA!BV142</f>
        <v>12</v>
      </c>
      <c r="M142" s="256">
        <f>CONTINUA!BW142</f>
        <v>0</v>
      </c>
      <c r="N142" s="564"/>
      <c r="O142" s="565" t="s">
        <v>3359</v>
      </c>
      <c r="P142" s="566">
        <v>0</v>
      </c>
      <c r="Q142" s="319">
        <v>39</v>
      </c>
      <c r="R142" s="320"/>
      <c r="S142" s="319">
        <v>13</v>
      </c>
      <c r="T142" s="320"/>
      <c r="U142" s="319">
        <v>0</v>
      </c>
      <c r="V142" s="320">
        <v>0</v>
      </c>
      <c r="W142" s="319">
        <v>39</v>
      </c>
      <c r="X142" s="320"/>
      <c r="Y142" s="319">
        <v>13</v>
      </c>
      <c r="Z142" s="320"/>
      <c r="AA142" s="319">
        <v>0</v>
      </c>
      <c r="AB142" s="320">
        <v>0</v>
      </c>
      <c r="AC142" s="319">
        <v>39</v>
      </c>
      <c r="AD142" s="320"/>
      <c r="AE142" s="319">
        <v>13</v>
      </c>
      <c r="AF142" s="320"/>
      <c r="AG142" s="319">
        <v>0</v>
      </c>
      <c r="AH142" s="320">
        <v>0</v>
      </c>
      <c r="AI142" s="319">
        <v>39</v>
      </c>
      <c r="AJ142" s="320"/>
      <c r="AK142" s="319">
        <v>13</v>
      </c>
      <c r="AL142" s="320"/>
      <c r="AM142" s="319">
        <v>0</v>
      </c>
      <c r="AN142" s="320">
        <v>0</v>
      </c>
      <c r="AO142" s="319">
        <v>39</v>
      </c>
      <c r="AP142" s="320"/>
      <c r="AQ142" s="319">
        <v>13</v>
      </c>
      <c r="AR142" s="320"/>
      <c r="AS142" s="319">
        <v>0</v>
      </c>
      <c r="AT142" s="320">
        <v>0</v>
      </c>
      <c r="AU142" s="319">
        <v>39</v>
      </c>
      <c r="AV142" s="320"/>
      <c r="AW142" s="319">
        <v>13</v>
      </c>
      <c r="AX142" s="320"/>
      <c r="AY142" s="319">
        <v>0</v>
      </c>
      <c r="AZ142" s="320">
        <v>0</v>
      </c>
      <c r="BA142" s="319">
        <v>39</v>
      </c>
      <c r="BB142" s="320"/>
      <c r="BC142" s="319">
        <v>13</v>
      </c>
      <c r="BD142" s="320"/>
      <c r="BE142" s="319">
        <v>0</v>
      </c>
      <c r="BF142" s="320">
        <v>0</v>
      </c>
      <c r="BG142" s="319">
        <v>39</v>
      </c>
      <c r="BH142" s="320"/>
      <c r="BI142" s="319">
        <v>13</v>
      </c>
      <c r="BJ142" s="320"/>
      <c r="BK142" s="319">
        <v>0</v>
      </c>
      <c r="BL142" s="320">
        <v>0</v>
      </c>
      <c r="BM142" s="319">
        <v>39</v>
      </c>
      <c r="BN142" s="320"/>
      <c r="BO142" s="319">
        <v>13</v>
      </c>
      <c r="BP142" s="320"/>
      <c r="BQ142" s="319">
        <v>0</v>
      </c>
      <c r="BR142" s="320">
        <v>0</v>
      </c>
      <c r="BS142" s="319">
        <v>39</v>
      </c>
      <c r="BT142" s="320"/>
      <c r="BU142" s="319">
        <v>13</v>
      </c>
      <c r="BV142" s="320"/>
      <c r="BW142" s="319">
        <v>0</v>
      </c>
      <c r="BX142" s="320">
        <v>0</v>
      </c>
      <c r="BY142" s="319">
        <v>39</v>
      </c>
      <c r="BZ142" s="320"/>
      <c r="CA142" s="319">
        <v>13</v>
      </c>
      <c r="CB142" s="320"/>
      <c r="CC142" s="319">
        <v>0</v>
      </c>
      <c r="CD142" s="320">
        <v>0</v>
      </c>
      <c r="CE142" s="319">
        <v>39</v>
      </c>
      <c r="CF142" s="320"/>
      <c r="CG142" s="319">
        <v>13</v>
      </c>
      <c r="CH142" s="320"/>
      <c r="CI142" s="319">
        <v>0</v>
      </c>
      <c r="CJ142" s="320">
        <v>0</v>
      </c>
      <c r="CK142" s="319">
        <v>39</v>
      </c>
      <c r="CL142" s="320"/>
      <c r="CM142" s="319">
        <v>13</v>
      </c>
      <c r="CN142" s="320"/>
      <c r="CO142" s="319">
        <v>0</v>
      </c>
      <c r="CP142" s="320">
        <v>0</v>
      </c>
      <c r="CQ142" s="319">
        <v>39</v>
      </c>
      <c r="CR142" s="320"/>
      <c r="CS142" s="319">
        <v>13</v>
      </c>
      <c r="CT142" s="320"/>
      <c r="CU142" s="319">
        <v>0</v>
      </c>
      <c r="CV142" s="320">
        <v>0</v>
      </c>
      <c r="CW142" s="319">
        <v>39</v>
      </c>
      <c r="CX142" s="320"/>
      <c r="CY142" s="319">
        <v>13</v>
      </c>
      <c r="CZ142" s="320"/>
      <c r="DA142" s="319">
        <v>0</v>
      </c>
      <c r="DB142" s="320">
        <v>0</v>
      </c>
      <c r="DC142" s="319">
        <v>39</v>
      </c>
      <c r="DD142" s="320"/>
      <c r="DE142" s="319">
        <v>13</v>
      </c>
      <c r="DF142" s="320"/>
      <c r="DG142" s="319">
        <v>0</v>
      </c>
      <c r="DH142" s="320">
        <v>0</v>
      </c>
      <c r="DI142" s="319">
        <v>39</v>
      </c>
      <c r="DJ142" s="320"/>
      <c r="DK142" s="319">
        <v>13</v>
      </c>
      <c r="DL142" s="320"/>
      <c r="DM142" s="319">
        <v>0</v>
      </c>
      <c r="DN142" s="320">
        <v>0</v>
      </c>
      <c r="DO142" s="319">
        <v>39</v>
      </c>
      <c r="DP142" s="320"/>
      <c r="DQ142" s="319">
        <v>13</v>
      </c>
      <c r="DR142" s="320"/>
      <c r="DS142" s="319">
        <v>0</v>
      </c>
      <c r="DT142" s="320">
        <v>0</v>
      </c>
      <c r="DU142" s="319">
        <v>39</v>
      </c>
      <c r="DV142" s="320"/>
      <c r="DW142" s="319">
        <v>13</v>
      </c>
      <c r="DX142" s="320"/>
      <c r="DY142" s="319">
        <v>0</v>
      </c>
      <c r="DZ142" s="320">
        <v>0</v>
      </c>
      <c r="EA142" s="319">
        <v>39</v>
      </c>
      <c r="EB142" s="320"/>
      <c r="EC142" s="319">
        <v>13</v>
      </c>
      <c r="ED142" s="320"/>
      <c r="EE142" s="319">
        <v>0</v>
      </c>
      <c r="EF142" s="320">
        <v>0</v>
      </c>
      <c r="EG142" s="319">
        <v>39</v>
      </c>
      <c r="EH142" s="320"/>
      <c r="EI142" s="319">
        <v>13</v>
      </c>
      <c r="EJ142" s="320"/>
      <c r="EK142" s="319">
        <v>0</v>
      </c>
      <c r="EL142" s="320">
        <v>0</v>
      </c>
      <c r="EM142" s="319">
        <v>39</v>
      </c>
      <c r="EN142" s="320"/>
      <c r="EO142" s="319">
        <v>13</v>
      </c>
      <c r="EP142" s="320"/>
      <c r="EQ142" s="319">
        <v>0</v>
      </c>
      <c r="ER142" s="320">
        <v>0</v>
      </c>
      <c r="ES142" s="319">
        <v>39</v>
      </c>
      <c r="ET142" s="320"/>
      <c r="EU142" s="319">
        <v>13</v>
      </c>
      <c r="EV142" s="320"/>
      <c r="EW142" s="319">
        <v>0</v>
      </c>
      <c r="EX142" s="320">
        <v>0</v>
      </c>
      <c r="EY142" s="319">
        <v>39</v>
      </c>
      <c r="EZ142" s="320"/>
      <c r="FA142" s="319">
        <v>13</v>
      </c>
      <c r="FB142" s="320"/>
      <c r="FC142" s="319">
        <v>0</v>
      </c>
      <c r="FD142" s="320">
        <v>0</v>
      </c>
      <c r="FE142" s="319">
        <v>39</v>
      </c>
      <c r="FF142" s="320"/>
      <c r="FG142" s="319">
        <v>13</v>
      </c>
      <c r="FH142" s="320"/>
      <c r="FI142" s="319">
        <v>0</v>
      </c>
      <c r="FJ142" s="320">
        <v>0</v>
      </c>
      <c r="FK142" s="319">
        <v>39</v>
      </c>
      <c r="FL142" s="320"/>
      <c r="FM142" s="319">
        <v>13</v>
      </c>
      <c r="FN142" s="320"/>
      <c r="FO142" s="319">
        <v>0</v>
      </c>
      <c r="FP142" s="320">
        <v>0</v>
      </c>
      <c r="FQ142" s="319">
        <v>39</v>
      </c>
      <c r="FR142" s="320"/>
      <c r="FS142" s="319">
        <v>13</v>
      </c>
      <c r="FT142" s="320"/>
      <c r="FU142" s="319">
        <v>0</v>
      </c>
      <c r="FV142" s="320">
        <v>0</v>
      </c>
      <c r="FW142" s="319">
        <v>39</v>
      </c>
      <c r="FX142" s="320"/>
      <c r="FY142" s="319">
        <v>13</v>
      </c>
      <c r="FZ142" s="320"/>
      <c r="GA142" s="319">
        <v>0</v>
      </c>
      <c r="GB142" s="320">
        <v>0</v>
      </c>
      <c r="GC142" s="319">
        <v>39</v>
      </c>
      <c r="GD142" s="320"/>
      <c r="GE142" s="319">
        <v>13</v>
      </c>
      <c r="GF142" s="320"/>
      <c r="GG142" s="319">
        <v>0</v>
      </c>
      <c r="GH142" s="320">
        <v>0</v>
      </c>
      <c r="GI142" s="319">
        <v>39</v>
      </c>
      <c r="GJ142" s="320"/>
      <c r="GK142" s="319">
        <v>13</v>
      </c>
      <c r="GL142" s="320"/>
      <c r="GM142" s="319">
        <v>0</v>
      </c>
      <c r="GN142" s="320">
        <v>0</v>
      </c>
      <c r="GO142" s="319">
        <v>39</v>
      </c>
      <c r="GP142" s="320"/>
      <c r="GQ142" s="319">
        <v>13</v>
      </c>
      <c r="GR142" s="320"/>
      <c r="GS142" s="319">
        <v>0</v>
      </c>
      <c r="GT142" s="320">
        <v>0</v>
      </c>
      <c r="GU142" s="319">
        <v>39</v>
      </c>
      <c r="GV142" s="320"/>
      <c r="GW142" s="319">
        <v>13</v>
      </c>
      <c r="GX142" s="320"/>
      <c r="GY142" s="319">
        <v>0</v>
      </c>
      <c r="GZ142" s="320">
        <v>0</v>
      </c>
    </row>
    <row r="143" spans="1:208" s="89" customFormat="1" ht="22.5" customHeight="1" x14ac:dyDescent="0.2">
      <c r="A143" s="287" t="s">
        <v>3284</v>
      </c>
      <c r="B143" s="288" t="s">
        <v>3285</v>
      </c>
      <c r="C143" s="294" t="s">
        <v>3170</v>
      </c>
      <c r="D143" s="290" t="s">
        <v>3286</v>
      </c>
      <c r="E143" s="290" t="s">
        <v>3287</v>
      </c>
      <c r="F143" s="295" t="s">
        <v>3166</v>
      </c>
      <c r="G143" s="295" t="s">
        <v>3167</v>
      </c>
      <c r="H143" s="292" t="s">
        <v>1509</v>
      </c>
      <c r="I143" s="293" t="s">
        <v>1509</v>
      </c>
      <c r="J143" s="340" t="s">
        <v>3168</v>
      </c>
      <c r="K143" s="341" t="s">
        <v>3172</v>
      </c>
      <c r="L143" s="256">
        <f>CONTINUA!BV143</f>
        <v>0</v>
      </c>
      <c r="M143" s="256">
        <f>CONTINUA!BW143</f>
        <v>0</v>
      </c>
      <c r="N143" s="564"/>
      <c r="O143" s="565" t="s">
        <v>3359</v>
      </c>
      <c r="P143" s="566">
        <v>0</v>
      </c>
      <c r="Q143" s="319">
        <v>0</v>
      </c>
      <c r="R143" s="320"/>
      <c r="S143" s="319">
        <v>0</v>
      </c>
      <c r="T143" s="320"/>
      <c r="U143" s="319">
        <v>0</v>
      </c>
      <c r="V143" s="320">
        <v>0</v>
      </c>
      <c r="W143" s="319">
        <v>0</v>
      </c>
      <c r="X143" s="320"/>
      <c r="Y143" s="319">
        <v>0</v>
      </c>
      <c r="Z143" s="320"/>
      <c r="AA143" s="319">
        <v>0</v>
      </c>
      <c r="AB143" s="320">
        <v>0</v>
      </c>
      <c r="AC143" s="319">
        <v>0</v>
      </c>
      <c r="AD143" s="320"/>
      <c r="AE143" s="319">
        <v>0</v>
      </c>
      <c r="AF143" s="320"/>
      <c r="AG143" s="319">
        <v>0</v>
      </c>
      <c r="AH143" s="320">
        <v>0</v>
      </c>
      <c r="AI143" s="319">
        <v>0</v>
      </c>
      <c r="AJ143" s="320"/>
      <c r="AK143" s="319">
        <v>0</v>
      </c>
      <c r="AL143" s="320"/>
      <c r="AM143" s="319">
        <v>0</v>
      </c>
      <c r="AN143" s="320">
        <v>0</v>
      </c>
      <c r="AO143" s="319">
        <v>0</v>
      </c>
      <c r="AP143" s="320"/>
      <c r="AQ143" s="319">
        <v>0</v>
      </c>
      <c r="AR143" s="320"/>
      <c r="AS143" s="319">
        <v>0</v>
      </c>
      <c r="AT143" s="320">
        <v>0</v>
      </c>
      <c r="AU143" s="319">
        <v>0</v>
      </c>
      <c r="AV143" s="320"/>
      <c r="AW143" s="319">
        <v>0</v>
      </c>
      <c r="AX143" s="320"/>
      <c r="AY143" s="319">
        <v>0</v>
      </c>
      <c r="AZ143" s="320">
        <v>0</v>
      </c>
      <c r="BA143" s="319">
        <v>0</v>
      </c>
      <c r="BB143" s="320"/>
      <c r="BC143" s="319">
        <v>0</v>
      </c>
      <c r="BD143" s="320"/>
      <c r="BE143" s="319">
        <v>0</v>
      </c>
      <c r="BF143" s="320">
        <v>0</v>
      </c>
      <c r="BG143" s="319">
        <v>0</v>
      </c>
      <c r="BH143" s="320"/>
      <c r="BI143" s="319">
        <v>0</v>
      </c>
      <c r="BJ143" s="320"/>
      <c r="BK143" s="319">
        <v>0</v>
      </c>
      <c r="BL143" s="320">
        <v>0</v>
      </c>
      <c r="BM143" s="319">
        <v>0</v>
      </c>
      <c r="BN143" s="320"/>
      <c r="BO143" s="319">
        <v>0</v>
      </c>
      <c r="BP143" s="320"/>
      <c r="BQ143" s="319">
        <v>0</v>
      </c>
      <c r="BR143" s="320">
        <v>0</v>
      </c>
      <c r="BS143" s="319">
        <v>0</v>
      </c>
      <c r="BT143" s="320"/>
      <c r="BU143" s="319">
        <v>0</v>
      </c>
      <c r="BV143" s="320"/>
      <c r="BW143" s="319">
        <v>0</v>
      </c>
      <c r="BX143" s="320">
        <v>0</v>
      </c>
      <c r="BY143" s="319">
        <v>0</v>
      </c>
      <c r="BZ143" s="320"/>
      <c r="CA143" s="319">
        <v>0</v>
      </c>
      <c r="CB143" s="320"/>
      <c r="CC143" s="319">
        <v>0</v>
      </c>
      <c r="CD143" s="320">
        <v>0</v>
      </c>
      <c r="CE143" s="319">
        <v>0</v>
      </c>
      <c r="CF143" s="320"/>
      <c r="CG143" s="319">
        <v>0</v>
      </c>
      <c r="CH143" s="320"/>
      <c r="CI143" s="319">
        <v>0</v>
      </c>
      <c r="CJ143" s="320">
        <v>0</v>
      </c>
      <c r="CK143" s="319">
        <v>0</v>
      </c>
      <c r="CL143" s="320"/>
      <c r="CM143" s="319">
        <v>0</v>
      </c>
      <c r="CN143" s="320"/>
      <c r="CO143" s="319">
        <v>0</v>
      </c>
      <c r="CP143" s="320">
        <v>0</v>
      </c>
      <c r="CQ143" s="319">
        <v>0</v>
      </c>
      <c r="CR143" s="320"/>
      <c r="CS143" s="319">
        <v>0</v>
      </c>
      <c r="CT143" s="320"/>
      <c r="CU143" s="319">
        <v>0</v>
      </c>
      <c r="CV143" s="320">
        <v>0</v>
      </c>
      <c r="CW143" s="319">
        <v>0</v>
      </c>
      <c r="CX143" s="320"/>
      <c r="CY143" s="319">
        <v>0</v>
      </c>
      <c r="CZ143" s="320"/>
      <c r="DA143" s="319">
        <v>0</v>
      </c>
      <c r="DB143" s="320">
        <v>0</v>
      </c>
      <c r="DC143" s="319">
        <v>0</v>
      </c>
      <c r="DD143" s="320"/>
      <c r="DE143" s="319">
        <v>0</v>
      </c>
      <c r="DF143" s="320"/>
      <c r="DG143" s="319">
        <v>0</v>
      </c>
      <c r="DH143" s="320">
        <v>0</v>
      </c>
      <c r="DI143" s="319">
        <v>0</v>
      </c>
      <c r="DJ143" s="320"/>
      <c r="DK143" s="319">
        <v>0</v>
      </c>
      <c r="DL143" s="320"/>
      <c r="DM143" s="319">
        <v>0</v>
      </c>
      <c r="DN143" s="320">
        <v>0</v>
      </c>
      <c r="DO143" s="319">
        <v>0</v>
      </c>
      <c r="DP143" s="320"/>
      <c r="DQ143" s="319">
        <v>0</v>
      </c>
      <c r="DR143" s="320"/>
      <c r="DS143" s="319">
        <v>0</v>
      </c>
      <c r="DT143" s="320">
        <v>0</v>
      </c>
      <c r="DU143" s="319">
        <v>0</v>
      </c>
      <c r="DV143" s="320"/>
      <c r="DW143" s="319">
        <v>0</v>
      </c>
      <c r="DX143" s="320"/>
      <c r="DY143" s="319">
        <v>0</v>
      </c>
      <c r="DZ143" s="320">
        <v>0</v>
      </c>
      <c r="EA143" s="319">
        <v>0</v>
      </c>
      <c r="EB143" s="320"/>
      <c r="EC143" s="319">
        <v>0</v>
      </c>
      <c r="ED143" s="320"/>
      <c r="EE143" s="319">
        <v>0</v>
      </c>
      <c r="EF143" s="320">
        <v>0</v>
      </c>
      <c r="EG143" s="319">
        <v>0</v>
      </c>
      <c r="EH143" s="320"/>
      <c r="EI143" s="319">
        <v>0</v>
      </c>
      <c r="EJ143" s="320"/>
      <c r="EK143" s="319">
        <v>0</v>
      </c>
      <c r="EL143" s="320">
        <v>0</v>
      </c>
      <c r="EM143" s="319">
        <v>0</v>
      </c>
      <c r="EN143" s="320"/>
      <c r="EO143" s="319">
        <v>0</v>
      </c>
      <c r="EP143" s="320"/>
      <c r="EQ143" s="319">
        <v>0</v>
      </c>
      <c r="ER143" s="320">
        <v>0</v>
      </c>
      <c r="ES143" s="319">
        <v>0</v>
      </c>
      <c r="ET143" s="320"/>
      <c r="EU143" s="319">
        <v>0</v>
      </c>
      <c r="EV143" s="320"/>
      <c r="EW143" s="319">
        <v>0</v>
      </c>
      <c r="EX143" s="320">
        <v>0</v>
      </c>
      <c r="EY143" s="319">
        <v>0</v>
      </c>
      <c r="EZ143" s="320"/>
      <c r="FA143" s="319">
        <v>0</v>
      </c>
      <c r="FB143" s="320"/>
      <c r="FC143" s="319">
        <v>0</v>
      </c>
      <c r="FD143" s="320">
        <v>0</v>
      </c>
      <c r="FE143" s="319">
        <v>0</v>
      </c>
      <c r="FF143" s="320"/>
      <c r="FG143" s="319">
        <v>0</v>
      </c>
      <c r="FH143" s="320"/>
      <c r="FI143" s="319">
        <v>0</v>
      </c>
      <c r="FJ143" s="320">
        <v>0</v>
      </c>
      <c r="FK143" s="319">
        <v>0</v>
      </c>
      <c r="FL143" s="320"/>
      <c r="FM143" s="319">
        <v>0</v>
      </c>
      <c r="FN143" s="320"/>
      <c r="FO143" s="319">
        <v>0</v>
      </c>
      <c r="FP143" s="320">
        <v>0</v>
      </c>
      <c r="FQ143" s="319">
        <v>0</v>
      </c>
      <c r="FR143" s="320"/>
      <c r="FS143" s="319">
        <v>0</v>
      </c>
      <c r="FT143" s="320"/>
      <c r="FU143" s="319">
        <v>0</v>
      </c>
      <c r="FV143" s="320">
        <v>0</v>
      </c>
      <c r="FW143" s="319">
        <v>0</v>
      </c>
      <c r="FX143" s="320"/>
      <c r="FY143" s="319">
        <v>0</v>
      </c>
      <c r="FZ143" s="320"/>
      <c r="GA143" s="319">
        <v>0</v>
      </c>
      <c r="GB143" s="320">
        <v>0</v>
      </c>
      <c r="GC143" s="319">
        <v>0</v>
      </c>
      <c r="GD143" s="320"/>
      <c r="GE143" s="319">
        <v>0</v>
      </c>
      <c r="GF143" s="320"/>
      <c r="GG143" s="319">
        <v>0</v>
      </c>
      <c r="GH143" s="320">
        <v>0</v>
      </c>
      <c r="GI143" s="319">
        <v>0</v>
      </c>
      <c r="GJ143" s="320"/>
      <c r="GK143" s="319">
        <v>0</v>
      </c>
      <c r="GL143" s="320"/>
      <c r="GM143" s="319">
        <v>0</v>
      </c>
      <c r="GN143" s="320">
        <v>0</v>
      </c>
      <c r="GO143" s="319">
        <v>0</v>
      </c>
      <c r="GP143" s="320"/>
      <c r="GQ143" s="319">
        <v>0</v>
      </c>
      <c r="GR143" s="320"/>
      <c r="GS143" s="319">
        <v>0</v>
      </c>
      <c r="GT143" s="320">
        <v>0</v>
      </c>
      <c r="GU143" s="319">
        <v>0</v>
      </c>
      <c r="GV143" s="320"/>
      <c r="GW143" s="319">
        <v>0</v>
      </c>
      <c r="GX143" s="320"/>
      <c r="GY143" s="319">
        <v>0</v>
      </c>
      <c r="GZ143" s="320">
        <v>0</v>
      </c>
    </row>
    <row r="144" spans="1:208" s="89" customFormat="1" ht="22.5" customHeight="1" x14ac:dyDescent="0.2">
      <c r="A144" s="287" t="s">
        <v>3284</v>
      </c>
      <c r="B144" s="288" t="s">
        <v>3285</v>
      </c>
      <c r="C144" s="294" t="s">
        <v>3170</v>
      </c>
      <c r="D144" s="290" t="s">
        <v>3286</v>
      </c>
      <c r="E144" s="290" t="s">
        <v>3287</v>
      </c>
      <c r="F144" s="295" t="s">
        <v>3166</v>
      </c>
      <c r="G144" s="295" t="s">
        <v>3167</v>
      </c>
      <c r="H144" s="292" t="s">
        <v>1509</v>
      </c>
      <c r="I144" s="293" t="s">
        <v>1509</v>
      </c>
      <c r="J144" s="340" t="s">
        <v>3168</v>
      </c>
      <c r="K144" s="342" t="s">
        <v>3173</v>
      </c>
      <c r="L144" s="256">
        <f>CONTINUA!BV144</f>
        <v>0</v>
      </c>
      <c r="M144" s="256">
        <f>CONTINUA!BW144</f>
        <v>0</v>
      </c>
      <c r="N144" s="564"/>
      <c r="O144" s="565" t="s">
        <v>3359</v>
      </c>
      <c r="P144" s="566">
        <v>0</v>
      </c>
      <c r="Q144" s="319">
        <v>0</v>
      </c>
      <c r="R144" s="320"/>
      <c r="S144" s="319">
        <v>0</v>
      </c>
      <c r="T144" s="320"/>
      <c r="U144" s="319">
        <v>0</v>
      </c>
      <c r="V144" s="320">
        <v>0</v>
      </c>
      <c r="W144" s="319">
        <v>0</v>
      </c>
      <c r="X144" s="320"/>
      <c r="Y144" s="319">
        <v>0</v>
      </c>
      <c r="Z144" s="320"/>
      <c r="AA144" s="319">
        <v>0</v>
      </c>
      <c r="AB144" s="320">
        <v>0</v>
      </c>
      <c r="AC144" s="319">
        <v>0</v>
      </c>
      <c r="AD144" s="320"/>
      <c r="AE144" s="319">
        <v>0</v>
      </c>
      <c r="AF144" s="320"/>
      <c r="AG144" s="319">
        <v>0</v>
      </c>
      <c r="AH144" s="320">
        <v>0</v>
      </c>
      <c r="AI144" s="319">
        <v>0</v>
      </c>
      <c r="AJ144" s="320"/>
      <c r="AK144" s="319">
        <v>0</v>
      </c>
      <c r="AL144" s="320"/>
      <c r="AM144" s="319">
        <v>0</v>
      </c>
      <c r="AN144" s="320">
        <v>0</v>
      </c>
      <c r="AO144" s="319">
        <v>0</v>
      </c>
      <c r="AP144" s="320"/>
      <c r="AQ144" s="319">
        <v>0</v>
      </c>
      <c r="AR144" s="320"/>
      <c r="AS144" s="319">
        <v>0</v>
      </c>
      <c r="AT144" s="320">
        <v>0</v>
      </c>
      <c r="AU144" s="319">
        <v>0</v>
      </c>
      <c r="AV144" s="320"/>
      <c r="AW144" s="319">
        <v>0</v>
      </c>
      <c r="AX144" s="320"/>
      <c r="AY144" s="319">
        <v>0</v>
      </c>
      <c r="AZ144" s="320">
        <v>0</v>
      </c>
      <c r="BA144" s="319">
        <v>0</v>
      </c>
      <c r="BB144" s="320"/>
      <c r="BC144" s="319">
        <v>0</v>
      </c>
      <c r="BD144" s="320"/>
      <c r="BE144" s="319">
        <v>0</v>
      </c>
      <c r="BF144" s="320">
        <v>0</v>
      </c>
      <c r="BG144" s="319">
        <v>0</v>
      </c>
      <c r="BH144" s="320"/>
      <c r="BI144" s="319">
        <v>0</v>
      </c>
      <c r="BJ144" s="320"/>
      <c r="BK144" s="319">
        <v>0</v>
      </c>
      <c r="BL144" s="320">
        <v>0</v>
      </c>
      <c r="BM144" s="319">
        <v>0</v>
      </c>
      <c r="BN144" s="320"/>
      <c r="BO144" s="319">
        <v>0</v>
      </c>
      <c r="BP144" s="320"/>
      <c r="BQ144" s="319">
        <v>0</v>
      </c>
      <c r="BR144" s="320">
        <v>0</v>
      </c>
      <c r="BS144" s="319">
        <v>0</v>
      </c>
      <c r="BT144" s="320"/>
      <c r="BU144" s="319">
        <v>0</v>
      </c>
      <c r="BV144" s="320"/>
      <c r="BW144" s="319">
        <v>0</v>
      </c>
      <c r="BX144" s="320">
        <v>0</v>
      </c>
      <c r="BY144" s="319">
        <v>0</v>
      </c>
      <c r="BZ144" s="320"/>
      <c r="CA144" s="319">
        <v>0</v>
      </c>
      <c r="CB144" s="320"/>
      <c r="CC144" s="319">
        <v>0</v>
      </c>
      <c r="CD144" s="320">
        <v>0</v>
      </c>
      <c r="CE144" s="319">
        <v>0</v>
      </c>
      <c r="CF144" s="320"/>
      <c r="CG144" s="319">
        <v>0</v>
      </c>
      <c r="CH144" s="320"/>
      <c r="CI144" s="319">
        <v>0</v>
      </c>
      <c r="CJ144" s="320">
        <v>0</v>
      </c>
      <c r="CK144" s="319">
        <v>0</v>
      </c>
      <c r="CL144" s="320"/>
      <c r="CM144" s="319">
        <v>0</v>
      </c>
      <c r="CN144" s="320"/>
      <c r="CO144" s="319">
        <v>0</v>
      </c>
      <c r="CP144" s="320">
        <v>0</v>
      </c>
      <c r="CQ144" s="319">
        <v>0</v>
      </c>
      <c r="CR144" s="320"/>
      <c r="CS144" s="319">
        <v>0</v>
      </c>
      <c r="CT144" s="320"/>
      <c r="CU144" s="319">
        <v>0</v>
      </c>
      <c r="CV144" s="320">
        <v>0</v>
      </c>
      <c r="CW144" s="319">
        <v>0</v>
      </c>
      <c r="CX144" s="320"/>
      <c r="CY144" s="319">
        <v>0</v>
      </c>
      <c r="CZ144" s="320"/>
      <c r="DA144" s="319">
        <v>0</v>
      </c>
      <c r="DB144" s="320">
        <v>0</v>
      </c>
      <c r="DC144" s="319">
        <v>0</v>
      </c>
      <c r="DD144" s="320"/>
      <c r="DE144" s="319">
        <v>0</v>
      </c>
      <c r="DF144" s="320"/>
      <c r="DG144" s="319">
        <v>0</v>
      </c>
      <c r="DH144" s="320">
        <v>0</v>
      </c>
      <c r="DI144" s="319">
        <v>0</v>
      </c>
      <c r="DJ144" s="320"/>
      <c r="DK144" s="319">
        <v>0</v>
      </c>
      <c r="DL144" s="320"/>
      <c r="DM144" s="319">
        <v>0</v>
      </c>
      <c r="DN144" s="320">
        <v>0</v>
      </c>
      <c r="DO144" s="319">
        <v>0</v>
      </c>
      <c r="DP144" s="320"/>
      <c r="DQ144" s="319">
        <v>0</v>
      </c>
      <c r="DR144" s="320"/>
      <c r="DS144" s="319">
        <v>0</v>
      </c>
      <c r="DT144" s="320">
        <v>0</v>
      </c>
      <c r="DU144" s="319">
        <v>0</v>
      </c>
      <c r="DV144" s="320"/>
      <c r="DW144" s="319">
        <v>0</v>
      </c>
      <c r="DX144" s="320"/>
      <c r="DY144" s="319">
        <v>0</v>
      </c>
      <c r="DZ144" s="320">
        <v>0</v>
      </c>
      <c r="EA144" s="319">
        <v>0</v>
      </c>
      <c r="EB144" s="320"/>
      <c r="EC144" s="319">
        <v>0</v>
      </c>
      <c r="ED144" s="320"/>
      <c r="EE144" s="319">
        <v>0</v>
      </c>
      <c r="EF144" s="320">
        <v>0</v>
      </c>
      <c r="EG144" s="319">
        <v>0</v>
      </c>
      <c r="EH144" s="320"/>
      <c r="EI144" s="319">
        <v>0</v>
      </c>
      <c r="EJ144" s="320"/>
      <c r="EK144" s="319">
        <v>0</v>
      </c>
      <c r="EL144" s="320">
        <v>0</v>
      </c>
      <c r="EM144" s="319">
        <v>0</v>
      </c>
      <c r="EN144" s="320"/>
      <c r="EO144" s="319">
        <v>0</v>
      </c>
      <c r="EP144" s="320"/>
      <c r="EQ144" s="319">
        <v>0</v>
      </c>
      <c r="ER144" s="320">
        <v>0</v>
      </c>
      <c r="ES144" s="319">
        <v>0</v>
      </c>
      <c r="ET144" s="320"/>
      <c r="EU144" s="319">
        <v>0</v>
      </c>
      <c r="EV144" s="320"/>
      <c r="EW144" s="319">
        <v>0</v>
      </c>
      <c r="EX144" s="320">
        <v>0</v>
      </c>
      <c r="EY144" s="319">
        <v>0</v>
      </c>
      <c r="EZ144" s="320"/>
      <c r="FA144" s="319">
        <v>0</v>
      </c>
      <c r="FB144" s="320"/>
      <c r="FC144" s="319">
        <v>0</v>
      </c>
      <c r="FD144" s="320">
        <v>0</v>
      </c>
      <c r="FE144" s="319">
        <v>0</v>
      </c>
      <c r="FF144" s="320"/>
      <c r="FG144" s="319">
        <v>0</v>
      </c>
      <c r="FH144" s="320"/>
      <c r="FI144" s="319">
        <v>0</v>
      </c>
      <c r="FJ144" s="320">
        <v>0</v>
      </c>
      <c r="FK144" s="319">
        <v>0</v>
      </c>
      <c r="FL144" s="320"/>
      <c r="FM144" s="319">
        <v>0</v>
      </c>
      <c r="FN144" s="320"/>
      <c r="FO144" s="319">
        <v>0</v>
      </c>
      <c r="FP144" s="320">
        <v>0</v>
      </c>
      <c r="FQ144" s="319">
        <v>0</v>
      </c>
      <c r="FR144" s="320"/>
      <c r="FS144" s="319">
        <v>0</v>
      </c>
      <c r="FT144" s="320"/>
      <c r="FU144" s="319">
        <v>0</v>
      </c>
      <c r="FV144" s="320">
        <v>0</v>
      </c>
      <c r="FW144" s="319">
        <v>0</v>
      </c>
      <c r="FX144" s="320"/>
      <c r="FY144" s="319">
        <v>0</v>
      </c>
      <c r="FZ144" s="320"/>
      <c r="GA144" s="319">
        <v>0</v>
      </c>
      <c r="GB144" s="320">
        <v>0</v>
      </c>
      <c r="GC144" s="319">
        <v>0</v>
      </c>
      <c r="GD144" s="320"/>
      <c r="GE144" s="319">
        <v>0</v>
      </c>
      <c r="GF144" s="320"/>
      <c r="GG144" s="319">
        <v>0</v>
      </c>
      <c r="GH144" s="320">
        <v>0</v>
      </c>
      <c r="GI144" s="319">
        <v>0</v>
      </c>
      <c r="GJ144" s="320"/>
      <c r="GK144" s="319">
        <v>0</v>
      </c>
      <c r="GL144" s="320"/>
      <c r="GM144" s="319">
        <v>0</v>
      </c>
      <c r="GN144" s="320">
        <v>0</v>
      </c>
      <c r="GO144" s="319">
        <v>0</v>
      </c>
      <c r="GP144" s="320"/>
      <c r="GQ144" s="319">
        <v>0</v>
      </c>
      <c r="GR144" s="320"/>
      <c r="GS144" s="319">
        <v>0</v>
      </c>
      <c r="GT144" s="320">
        <v>0</v>
      </c>
      <c r="GU144" s="319">
        <v>0</v>
      </c>
      <c r="GV144" s="320"/>
      <c r="GW144" s="319">
        <v>0</v>
      </c>
      <c r="GX144" s="320"/>
      <c r="GY144" s="319">
        <v>0</v>
      </c>
      <c r="GZ144" s="320">
        <v>0</v>
      </c>
    </row>
    <row r="145" spans="1:208" s="89" customFormat="1" ht="22.5" customHeight="1" thickBot="1" x14ac:dyDescent="0.25">
      <c r="A145" s="296" t="s">
        <v>3284</v>
      </c>
      <c r="B145" s="297" t="s">
        <v>3285</v>
      </c>
      <c r="C145" s="298" t="s">
        <v>3170</v>
      </c>
      <c r="D145" s="299" t="s">
        <v>3286</v>
      </c>
      <c r="E145" s="299" t="s">
        <v>3287</v>
      </c>
      <c r="F145" s="300" t="s">
        <v>3166</v>
      </c>
      <c r="G145" s="300" t="s">
        <v>3167</v>
      </c>
      <c r="H145" s="301" t="s">
        <v>1509</v>
      </c>
      <c r="I145" s="302" t="s">
        <v>1509</v>
      </c>
      <c r="J145" s="340" t="s">
        <v>3168</v>
      </c>
      <c r="K145" s="343" t="s">
        <v>53</v>
      </c>
      <c r="L145" s="256">
        <f>CONTINUA!BV145</f>
        <v>0</v>
      </c>
      <c r="M145" s="256">
        <f>CONTINUA!BW145</f>
        <v>0</v>
      </c>
      <c r="N145" s="564"/>
      <c r="O145" s="565" t="s">
        <v>3359</v>
      </c>
      <c r="P145" s="566">
        <v>0</v>
      </c>
      <c r="Q145" s="319">
        <v>0</v>
      </c>
      <c r="R145" s="320"/>
      <c r="S145" s="319">
        <v>0</v>
      </c>
      <c r="T145" s="320"/>
      <c r="U145" s="321">
        <v>0</v>
      </c>
      <c r="V145" s="322">
        <v>0</v>
      </c>
      <c r="W145" s="319">
        <v>0</v>
      </c>
      <c r="X145" s="320"/>
      <c r="Y145" s="319">
        <v>0</v>
      </c>
      <c r="Z145" s="320"/>
      <c r="AA145" s="321">
        <v>0</v>
      </c>
      <c r="AB145" s="322">
        <v>0</v>
      </c>
      <c r="AC145" s="319">
        <v>0</v>
      </c>
      <c r="AD145" s="320"/>
      <c r="AE145" s="319">
        <v>0</v>
      </c>
      <c r="AF145" s="320"/>
      <c r="AG145" s="321">
        <v>0</v>
      </c>
      <c r="AH145" s="322">
        <v>0</v>
      </c>
      <c r="AI145" s="319">
        <v>0</v>
      </c>
      <c r="AJ145" s="320"/>
      <c r="AK145" s="319">
        <v>0</v>
      </c>
      <c r="AL145" s="320"/>
      <c r="AM145" s="321">
        <v>0</v>
      </c>
      <c r="AN145" s="322">
        <v>0</v>
      </c>
      <c r="AO145" s="319">
        <v>0</v>
      </c>
      <c r="AP145" s="320"/>
      <c r="AQ145" s="319">
        <v>0</v>
      </c>
      <c r="AR145" s="320"/>
      <c r="AS145" s="321">
        <v>0</v>
      </c>
      <c r="AT145" s="322">
        <v>0</v>
      </c>
      <c r="AU145" s="319">
        <v>0</v>
      </c>
      <c r="AV145" s="320"/>
      <c r="AW145" s="319">
        <v>0</v>
      </c>
      <c r="AX145" s="320"/>
      <c r="AY145" s="321">
        <v>0</v>
      </c>
      <c r="AZ145" s="322">
        <v>0</v>
      </c>
      <c r="BA145" s="319">
        <v>0</v>
      </c>
      <c r="BB145" s="320"/>
      <c r="BC145" s="319">
        <v>0</v>
      </c>
      <c r="BD145" s="320"/>
      <c r="BE145" s="321">
        <v>0</v>
      </c>
      <c r="BF145" s="322">
        <v>0</v>
      </c>
      <c r="BG145" s="319">
        <v>0</v>
      </c>
      <c r="BH145" s="320"/>
      <c r="BI145" s="319">
        <v>0</v>
      </c>
      <c r="BJ145" s="320"/>
      <c r="BK145" s="321">
        <v>0</v>
      </c>
      <c r="BL145" s="322">
        <v>0</v>
      </c>
      <c r="BM145" s="319">
        <v>0</v>
      </c>
      <c r="BN145" s="320"/>
      <c r="BO145" s="319">
        <v>0</v>
      </c>
      <c r="BP145" s="320"/>
      <c r="BQ145" s="321">
        <v>0</v>
      </c>
      <c r="BR145" s="322">
        <v>0</v>
      </c>
      <c r="BS145" s="319">
        <v>0</v>
      </c>
      <c r="BT145" s="320"/>
      <c r="BU145" s="319">
        <v>0</v>
      </c>
      <c r="BV145" s="320"/>
      <c r="BW145" s="321">
        <v>0</v>
      </c>
      <c r="BX145" s="322">
        <v>0</v>
      </c>
      <c r="BY145" s="319">
        <v>0</v>
      </c>
      <c r="BZ145" s="320"/>
      <c r="CA145" s="319">
        <v>0</v>
      </c>
      <c r="CB145" s="320"/>
      <c r="CC145" s="321">
        <v>0</v>
      </c>
      <c r="CD145" s="322">
        <v>0</v>
      </c>
      <c r="CE145" s="319">
        <v>0</v>
      </c>
      <c r="CF145" s="320"/>
      <c r="CG145" s="319">
        <v>0</v>
      </c>
      <c r="CH145" s="320"/>
      <c r="CI145" s="321">
        <v>0</v>
      </c>
      <c r="CJ145" s="322">
        <v>0</v>
      </c>
      <c r="CK145" s="319">
        <v>0</v>
      </c>
      <c r="CL145" s="320"/>
      <c r="CM145" s="319">
        <v>0</v>
      </c>
      <c r="CN145" s="320"/>
      <c r="CO145" s="321">
        <v>0</v>
      </c>
      <c r="CP145" s="322">
        <v>0</v>
      </c>
      <c r="CQ145" s="319">
        <v>0</v>
      </c>
      <c r="CR145" s="320"/>
      <c r="CS145" s="319">
        <v>0</v>
      </c>
      <c r="CT145" s="320"/>
      <c r="CU145" s="321">
        <v>0</v>
      </c>
      <c r="CV145" s="322">
        <v>0</v>
      </c>
      <c r="CW145" s="319">
        <v>0</v>
      </c>
      <c r="CX145" s="320"/>
      <c r="CY145" s="319">
        <v>0</v>
      </c>
      <c r="CZ145" s="320"/>
      <c r="DA145" s="321">
        <v>0</v>
      </c>
      <c r="DB145" s="322">
        <v>0</v>
      </c>
      <c r="DC145" s="319">
        <v>0</v>
      </c>
      <c r="DD145" s="320"/>
      <c r="DE145" s="319">
        <v>0</v>
      </c>
      <c r="DF145" s="320"/>
      <c r="DG145" s="321">
        <v>0</v>
      </c>
      <c r="DH145" s="322">
        <v>0</v>
      </c>
      <c r="DI145" s="319">
        <v>0</v>
      </c>
      <c r="DJ145" s="320"/>
      <c r="DK145" s="319">
        <v>0</v>
      </c>
      <c r="DL145" s="320"/>
      <c r="DM145" s="321">
        <v>0</v>
      </c>
      <c r="DN145" s="322">
        <v>0</v>
      </c>
      <c r="DO145" s="319">
        <v>0</v>
      </c>
      <c r="DP145" s="320"/>
      <c r="DQ145" s="319">
        <v>0</v>
      </c>
      <c r="DR145" s="320"/>
      <c r="DS145" s="321">
        <v>0</v>
      </c>
      <c r="DT145" s="322">
        <v>0</v>
      </c>
      <c r="DU145" s="319">
        <v>0</v>
      </c>
      <c r="DV145" s="320"/>
      <c r="DW145" s="319">
        <v>0</v>
      </c>
      <c r="DX145" s="320"/>
      <c r="DY145" s="321">
        <v>0</v>
      </c>
      <c r="DZ145" s="322">
        <v>0</v>
      </c>
      <c r="EA145" s="319">
        <v>0</v>
      </c>
      <c r="EB145" s="320"/>
      <c r="EC145" s="319">
        <v>0</v>
      </c>
      <c r="ED145" s="320"/>
      <c r="EE145" s="321">
        <v>0</v>
      </c>
      <c r="EF145" s="322">
        <v>0</v>
      </c>
      <c r="EG145" s="319">
        <v>0</v>
      </c>
      <c r="EH145" s="320"/>
      <c r="EI145" s="319">
        <v>0</v>
      </c>
      <c r="EJ145" s="320"/>
      <c r="EK145" s="321">
        <v>0</v>
      </c>
      <c r="EL145" s="322">
        <v>0</v>
      </c>
      <c r="EM145" s="319">
        <v>0</v>
      </c>
      <c r="EN145" s="320"/>
      <c r="EO145" s="319">
        <v>0</v>
      </c>
      <c r="EP145" s="320"/>
      <c r="EQ145" s="321">
        <v>0</v>
      </c>
      <c r="ER145" s="322">
        <v>0</v>
      </c>
      <c r="ES145" s="319">
        <v>0</v>
      </c>
      <c r="ET145" s="320"/>
      <c r="EU145" s="319">
        <v>0</v>
      </c>
      <c r="EV145" s="320"/>
      <c r="EW145" s="321">
        <v>0</v>
      </c>
      <c r="EX145" s="322">
        <v>0</v>
      </c>
      <c r="EY145" s="319">
        <v>0</v>
      </c>
      <c r="EZ145" s="320"/>
      <c r="FA145" s="319">
        <v>0</v>
      </c>
      <c r="FB145" s="320"/>
      <c r="FC145" s="321">
        <v>0</v>
      </c>
      <c r="FD145" s="322">
        <v>0</v>
      </c>
      <c r="FE145" s="319">
        <v>0</v>
      </c>
      <c r="FF145" s="320"/>
      <c r="FG145" s="319">
        <v>0</v>
      </c>
      <c r="FH145" s="320"/>
      <c r="FI145" s="321">
        <v>0</v>
      </c>
      <c r="FJ145" s="322">
        <v>0</v>
      </c>
      <c r="FK145" s="319">
        <v>0</v>
      </c>
      <c r="FL145" s="320"/>
      <c r="FM145" s="319">
        <v>0</v>
      </c>
      <c r="FN145" s="320"/>
      <c r="FO145" s="321">
        <v>0</v>
      </c>
      <c r="FP145" s="322">
        <v>0</v>
      </c>
      <c r="FQ145" s="319">
        <v>0</v>
      </c>
      <c r="FR145" s="320"/>
      <c r="FS145" s="319">
        <v>0</v>
      </c>
      <c r="FT145" s="320"/>
      <c r="FU145" s="321">
        <v>0</v>
      </c>
      <c r="FV145" s="322">
        <v>0</v>
      </c>
      <c r="FW145" s="319">
        <v>0</v>
      </c>
      <c r="FX145" s="320"/>
      <c r="FY145" s="319">
        <v>0</v>
      </c>
      <c r="FZ145" s="320"/>
      <c r="GA145" s="321">
        <v>0</v>
      </c>
      <c r="GB145" s="322">
        <v>0</v>
      </c>
      <c r="GC145" s="319">
        <v>0</v>
      </c>
      <c r="GD145" s="320"/>
      <c r="GE145" s="319">
        <v>0</v>
      </c>
      <c r="GF145" s="320"/>
      <c r="GG145" s="321">
        <v>0</v>
      </c>
      <c r="GH145" s="322">
        <v>0</v>
      </c>
      <c r="GI145" s="319">
        <v>0</v>
      </c>
      <c r="GJ145" s="320"/>
      <c r="GK145" s="319">
        <v>0</v>
      </c>
      <c r="GL145" s="320"/>
      <c r="GM145" s="321">
        <v>0</v>
      </c>
      <c r="GN145" s="322">
        <v>0</v>
      </c>
      <c r="GO145" s="319">
        <v>0</v>
      </c>
      <c r="GP145" s="320"/>
      <c r="GQ145" s="319">
        <v>0</v>
      </c>
      <c r="GR145" s="320"/>
      <c r="GS145" s="321">
        <v>0</v>
      </c>
      <c r="GT145" s="322">
        <v>0</v>
      </c>
      <c r="GU145" s="319">
        <v>0</v>
      </c>
      <c r="GV145" s="320"/>
      <c r="GW145" s="319">
        <v>0</v>
      </c>
      <c r="GX145" s="320"/>
      <c r="GY145" s="321">
        <v>0</v>
      </c>
      <c r="GZ145" s="322">
        <v>0</v>
      </c>
    </row>
    <row r="146" spans="1:208" s="89" customFormat="1" ht="22.5" customHeight="1" x14ac:dyDescent="0.2">
      <c r="A146" t="s">
        <v>3288</v>
      </c>
      <c r="B146" s="429" t="s">
        <v>3289</v>
      </c>
      <c r="C146" s="430">
        <v>1</v>
      </c>
      <c r="D146" s="431" t="s">
        <v>3290</v>
      </c>
      <c r="E146" s="431" t="s">
        <v>3291</v>
      </c>
      <c r="F146" s="432" t="s">
        <v>3166</v>
      </c>
      <c r="G146" s="432" t="s">
        <v>3167</v>
      </c>
      <c r="H146" s="270" t="s">
        <v>1510</v>
      </c>
      <c r="I146" s="271" t="s">
        <v>1510</v>
      </c>
      <c r="J146" s="328" t="s">
        <v>3168</v>
      </c>
      <c r="K146" s="329" t="s">
        <v>3169</v>
      </c>
      <c r="L146" s="256">
        <f>CONTINUA!BV146</f>
        <v>0</v>
      </c>
      <c r="M146" s="256">
        <f>CONTINUA!BW146</f>
        <v>0</v>
      </c>
      <c r="N146" s="564"/>
      <c r="O146" s="565" t="s">
        <v>3360</v>
      </c>
      <c r="P146" s="566">
        <v>0</v>
      </c>
      <c r="Q146" s="319">
        <v>0</v>
      </c>
      <c r="R146" s="320"/>
      <c r="S146" s="319">
        <v>0</v>
      </c>
      <c r="T146" s="320"/>
      <c r="U146" s="321">
        <v>0</v>
      </c>
      <c r="V146" s="322">
        <v>0</v>
      </c>
      <c r="W146" s="319">
        <v>0</v>
      </c>
      <c r="X146" s="320"/>
      <c r="Y146" s="319">
        <v>0</v>
      </c>
      <c r="Z146" s="320"/>
      <c r="AA146" s="321">
        <v>0</v>
      </c>
      <c r="AB146" s="322">
        <v>0</v>
      </c>
      <c r="AC146" s="319">
        <v>0</v>
      </c>
      <c r="AD146" s="320"/>
      <c r="AE146" s="319">
        <v>0</v>
      </c>
      <c r="AF146" s="320"/>
      <c r="AG146" s="321">
        <v>0</v>
      </c>
      <c r="AH146" s="322">
        <v>0</v>
      </c>
      <c r="AI146" s="319">
        <v>0</v>
      </c>
      <c r="AJ146" s="320"/>
      <c r="AK146" s="319">
        <v>0</v>
      </c>
      <c r="AL146" s="320"/>
      <c r="AM146" s="321">
        <v>0</v>
      </c>
      <c r="AN146" s="322">
        <v>0</v>
      </c>
      <c r="AO146" s="319">
        <v>0</v>
      </c>
      <c r="AP146" s="320"/>
      <c r="AQ146" s="319">
        <v>0</v>
      </c>
      <c r="AR146" s="320"/>
      <c r="AS146" s="321">
        <v>0</v>
      </c>
      <c r="AT146" s="322">
        <v>0</v>
      </c>
      <c r="AU146" s="319">
        <v>0</v>
      </c>
      <c r="AV146" s="320"/>
      <c r="AW146" s="319">
        <v>0</v>
      </c>
      <c r="AX146" s="320"/>
      <c r="AY146" s="321">
        <v>0</v>
      </c>
      <c r="AZ146" s="322">
        <v>0</v>
      </c>
      <c r="BA146" s="319">
        <v>0</v>
      </c>
      <c r="BB146" s="320"/>
      <c r="BC146" s="319">
        <v>0</v>
      </c>
      <c r="BD146" s="320"/>
      <c r="BE146" s="321">
        <v>0</v>
      </c>
      <c r="BF146" s="322">
        <v>0</v>
      </c>
      <c r="BG146" s="319">
        <v>0</v>
      </c>
      <c r="BH146" s="320"/>
      <c r="BI146" s="319">
        <v>0</v>
      </c>
      <c r="BJ146" s="320"/>
      <c r="BK146" s="321">
        <v>0</v>
      </c>
      <c r="BL146" s="322">
        <v>0</v>
      </c>
      <c r="BM146" s="319">
        <v>0</v>
      </c>
      <c r="BN146" s="320"/>
      <c r="BO146" s="319">
        <v>0</v>
      </c>
      <c r="BP146" s="320"/>
      <c r="BQ146" s="321">
        <v>0</v>
      </c>
      <c r="BR146" s="322">
        <v>0</v>
      </c>
      <c r="BS146" s="319">
        <v>0</v>
      </c>
      <c r="BT146" s="320"/>
      <c r="BU146" s="319">
        <v>0</v>
      </c>
      <c r="BV146" s="320"/>
      <c r="BW146" s="321">
        <v>0</v>
      </c>
      <c r="BX146" s="322">
        <v>0</v>
      </c>
      <c r="BY146" s="319">
        <v>0</v>
      </c>
      <c r="BZ146" s="320"/>
      <c r="CA146" s="319">
        <v>0</v>
      </c>
      <c r="CB146" s="320"/>
      <c r="CC146" s="321">
        <v>0</v>
      </c>
      <c r="CD146" s="322">
        <v>0</v>
      </c>
      <c r="CE146" s="319">
        <v>0</v>
      </c>
      <c r="CF146" s="320"/>
      <c r="CG146" s="319">
        <v>0</v>
      </c>
      <c r="CH146" s="320"/>
      <c r="CI146" s="321">
        <v>0</v>
      </c>
      <c r="CJ146" s="322">
        <v>0</v>
      </c>
      <c r="CK146" s="319">
        <v>0</v>
      </c>
      <c r="CL146" s="320"/>
      <c r="CM146" s="319">
        <v>0</v>
      </c>
      <c r="CN146" s="320"/>
      <c r="CO146" s="321">
        <v>0</v>
      </c>
      <c r="CP146" s="322">
        <v>0</v>
      </c>
      <c r="CQ146" s="319">
        <v>0</v>
      </c>
      <c r="CR146" s="320"/>
      <c r="CS146" s="319">
        <v>0</v>
      </c>
      <c r="CT146" s="320"/>
      <c r="CU146" s="321">
        <v>0</v>
      </c>
      <c r="CV146" s="322">
        <v>0</v>
      </c>
      <c r="CW146" s="319">
        <v>0</v>
      </c>
      <c r="CX146" s="320"/>
      <c r="CY146" s="319">
        <v>0</v>
      </c>
      <c r="CZ146" s="320"/>
      <c r="DA146" s="321">
        <v>0</v>
      </c>
      <c r="DB146" s="322">
        <v>0</v>
      </c>
      <c r="DC146" s="319">
        <v>0</v>
      </c>
      <c r="DD146" s="320"/>
      <c r="DE146" s="319">
        <v>0</v>
      </c>
      <c r="DF146" s="320"/>
      <c r="DG146" s="321">
        <v>0</v>
      </c>
      <c r="DH146" s="322">
        <v>0</v>
      </c>
      <c r="DI146" s="319">
        <v>0</v>
      </c>
      <c r="DJ146" s="320"/>
      <c r="DK146" s="319">
        <v>0</v>
      </c>
      <c r="DL146" s="320"/>
      <c r="DM146" s="321">
        <v>0</v>
      </c>
      <c r="DN146" s="322">
        <v>0</v>
      </c>
      <c r="DO146" s="319">
        <v>0</v>
      </c>
      <c r="DP146" s="320"/>
      <c r="DQ146" s="319">
        <v>0</v>
      </c>
      <c r="DR146" s="320"/>
      <c r="DS146" s="321">
        <v>0</v>
      </c>
      <c r="DT146" s="322">
        <v>0</v>
      </c>
      <c r="DU146" s="319">
        <v>0</v>
      </c>
      <c r="DV146" s="320"/>
      <c r="DW146" s="319">
        <v>0</v>
      </c>
      <c r="DX146" s="320"/>
      <c r="DY146" s="321">
        <v>0</v>
      </c>
      <c r="DZ146" s="322">
        <v>0</v>
      </c>
      <c r="EA146" s="319">
        <v>0</v>
      </c>
      <c r="EB146" s="320"/>
      <c r="EC146" s="319">
        <v>0</v>
      </c>
      <c r="ED146" s="320"/>
      <c r="EE146" s="321">
        <v>0</v>
      </c>
      <c r="EF146" s="322">
        <v>0</v>
      </c>
      <c r="EG146" s="319">
        <v>0</v>
      </c>
      <c r="EH146" s="320"/>
      <c r="EI146" s="319">
        <v>0</v>
      </c>
      <c r="EJ146" s="320"/>
      <c r="EK146" s="321">
        <v>0</v>
      </c>
      <c r="EL146" s="322">
        <v>0</v>
      </c>
      <c r="EM146" s="319">
        <v>0</v>
      </c>
      <c r="EN146" s="320"/>
      <c r="EO146" s="319">
        <v>0</v>
      </c>
      <c r="EP146" s="320"/>
      <c r="EQ146" s="321">
        <v>0</v>
      </c>
      <c r="ER146" s="322">
        <v>0</v>
      </c>
      <c r="ES146" s="319">
        <v>0</v>
      </c>
      <c r="ET146" s="320"/>
      <c r="EU146" s="319">
        <v>0</v>
      </c>
      <c r="EV146" s="320"/>
      <c r="EW146" s="321">
        <v>0</v>
      </c>
      <c r="EX146" s="322">
        <v>0</v>
      </c>
      <c r="EY146" s="319">
        <v>0</v>
      </c>
      <c r="EZ146" s="320"/>
      <c r="FA146" s="319">
        <v>0</v>
      </c>
      <c r="FB146" s="320"/>
      <c r="FC146" s="321">
        <v>0</v>
      </c>
      <c r="FD146" s="322">
        <v>0</v>
      </c>
      <c r="FE146" s="319">
        <v>0</v>
      </c>
      <c r="FF146" s="320"/>
      <c r="FG146" s="319">
        <v>0</v>
      </c>
      <c r="FH146" s="320"/>
      <c r="FI146" s="321">
        <v>0</v>
      </c>
      <c r="FJ146" s="322">
        <v>0</v>
      </c>
      <c r="FK146" s="319">
        <v>0</v>
      </c>
      <c r="FL146" s="320"/>
      <c r="FM146" s="319">
        <v>0</v>
      </c>
      <c r="FN146" s="320"/>
      <c r="FO146" s="321">
        <v>0</v>
      </c>
      <c r="FP146" s="322">
        <v>0</v>
      </c>
      <c r="FQ146" s="319">
        <v>0</v>
      </c>
      <c r="FR146" s="320"/>
      <c r="FS146" s="319">
        <v>0</v>
      </c>
      <c r="FT146" s="320"/>
      <c r="FU146" s="321">
        <v>0</v>
      </c>
      <c r="FV146" s="322">
        <v>0</v>
      </c>
      <c r="FW146" s="319">
        <v>0</v>
      </c>
      <c r="FX146" s="320"/>
      <c r="FY146" s="319">
        <v>0</v>
      </c>
      <c r="FZ146" s="320"/>
      <c r="GA146" s="321">
        <v>0</v>
      </c>
      <c r="GB146" s="322">
        <v>0</v>
      </c>
      <c r="GC146" s="319">
        <v>0</v>
      </c>
      <c r="GD146" s="320"/>
      <c r="GE146" s="319">
        <v>0</v>
      </c>
      <c r="GF146" s="320"/>
      <c r="GG146" s="321">
        <v>0</v>
      </c>
      <c r="GH146" s="322">
        <v>0</v>
      </c>
      <c r="GI146" s="319">
        <v>0</v>
      </c>
      <c r="GJ146" s="320"/>
      <c r="GK146" s="319">
        <v>0</v>
      </c>
      <c r="GL146" s="320"/>
      <c r="GM146" s="321">
        <v>0</v>
      </c>
      <c r="GN146" s="322">
        <v>0</v>
      </c>
      <c r="GO146" s="319">
        <v>0</v>
      </c>
      <c r="GP146" s="320"/>
      <c r="GQ146" s="319">
        <v>0</v>
      </c>
      <c r="GR146" s="320"/>
      <c r="GS146" s="321">
        <v>0</v>
      </c>
      <c r="GT146" s="322">
        <v>0</v>
      </c>
      <c r="GU146" s="319">
        <v>0</v>
      </c>
      <c r="GV146" s="320"/>
      <c r="GW146" s="319">
        <v>0</v>
      </c>
      <c r="GX146" s="320"/>
      <c r="GY146" s="321">
        <v>0</v>
      </c>
      <c r="GZ146" s="322">
        <v>0</v>
      </c>
    </row>
    <row r="147" spans="1:208" s="89" customFormat="1" ht="22.5" customHeight="1" x14ac:dyDescent="0.2">
      <c r="A147" s="287" t="s">
        <v>3288</v>
      </c>
      <c r="B147" s="288" t="s">
        <v>3289</v>
      </c>
      <c r="C147" s="289" t="s">
        <v>3170</v>
      </c>
      <c r="D147" s="290" t="s">
        <v>3290</v>
      </c>
      <c r="E147" s="290" t="s">
        <v>3291</v>
      </c>
      <c r="F147" s="291" t="s">
        <v>3166</v>
      </c>
      <c r="G147" s="291" t="s">
        <v>3167</v>
      </c>
      <c r="H147" s="292" t="s">
        <v>1510</v>
      </c>
      <c r="I147" s="293" t="s">
        <v>1510</v>
      </c>
      <c r="J147" s="340" t="s">
        <v>3168</v>
      </c>
      <c r="K147" s="340" t="s">
        <v>3171</v>
      </c>
      <c r="L147" s="256">
        <f>CONTINUA!BV147</f>
        <v>52</v>
      </c>
      <c r="M147" s="256">
        <f>CONTINUA!BW147</f>
        <v>0</v>
      </c>
      <c r="N147" s="564"/>
      <c r="O147" s="565" t="s">
        <v>3360</v>
      </c>
      <c r="P147" s="566">
        <v>0</v>
      </c>
      <c r="Q147" s="319">
        <v>30</v>
      </c>
      <c r="R147" s="320"/>
      <c r="S147" s="319">
        <v>26</v>
      </c>
      <c r="T147" s="320"/>
      <c r="U147" s="319">
        <v>0</v>
      </c>
      <c r="V147" s="320">
        <v>0</v>
      </c>
      <c r="W147" s="319">
        <v>30</v>
      </c>
      <c r="X147" s="320"/>
      <c r="Y147" s="319">
        <v>26</v>
      </c>
      <c r="Z147" s="320"/>
      <c r="AA147" s="319">
        <v>0</v>
      </c>
      <c r="AB147" s="320">
        <v>0</v>
      </c>
      <c r="AC147" s="319">
        <v>30</v>
      </c>
      <c r="AD147" s="320"/>
      <c r="AE147" s="319">
        <v>26</v>
      </c>
      <c r="AF147" s="320"/>
      <c r="AG147" s="319">
        <v>0</v>
      </c>
      <c r="AH147" s="320">
        <v>0</v>
      </c>
      <c r="AI147" s="319">
        <v>30</v>
      </c>
      <c r="AJ147" s="320"/>
      <c r="AK147" s="319">
        <v>26</v>
      </c>
      <c r="AL147" s="320"/>
      <c r="AM147" s="319">
        <v>0</v>
      </c>
      <c r="AN147" s="320">
        <v>0</v>
      </c>
      <c r="AO147" s="319">
        <v>30</v>
      </c>
      <c r="AP147" s="320"/>
      <c r="AQ147" s="319">
        <v>26</v>
      </c>
      <c r="AR147" s="320"/>
      <c r="AS147" s="319">
        <v>0</v>
      </c>
      <c r="AT147" s="320">
        <v>0</v>
      </c>
      <c r="AU147" s="319">
        <v>30</v>
      </c>
      <c r="AV147" s="320"/>
      <c r="AW147" s="319">
        <v>26</v>
      </c>
      <c r="AX147" s="320"/>
      <c r="AY147" s="319">
        <v>0</v>
      </c>
      <c r="AZ147" s="320">
        <v>0</v>
      </c>
      <c r="BA147" s="319">
        <v>30</v>
      </c>
      <c r="BB147" s="320"/>
      <c r="BC147" s="319">
        <v>26</v>
      </c>
      <c r="BD147" s="320"/>
      <c r="BE147" s="319">
        <v>0</v>
      </c>
      <c r="BF147" s="320">
        <v>0</v>
      </c>
      <c r="BG147" s="319">
        <v>30</v>
      </c>
      <c r="BH147" s="320"/>
      <c r="BI147" s="319">
        <v>26</v>
      </c>
      <c r="BJ147" s="320"/>
      <c r="BK147" s="319">
        <v>0</v>
      </c>
      <c r="BL147" s="320">
        <v>0</v>
      </c>
      <c r="BM147" s="319">
        <v>30</v>
      </c>
      <c r="BN147" s="320"/>
      <c r="BO147" s="319">
        <v>26</v>
      </c>
      <c r="BP147" s="320"/>
      <c r="BQ147" s="319">
        <v>0</v>
      </c>
      <c r="BR147" s="320">
        <v>0</v>
      </c>
      <c r="BS147" s="319">
        <v>30</v>
      </c>
      <c r="BT147" s="320"/>
      <c r="BU147" s="319">
        <v>26</v>
      </c>
      <c r="BV147" s="320"/>
      <c r="BW147" s="319">
        <v>0</v>
      </c>
      <c r="BX147" s="320">
        <v>0</v>
      </c>
      <c r="BY147" s="319">
        <v>30</v>
      </c>
      <c r="BZ147" s="320"/>
      <c r="CA147" s="319">
        <v>26</v>
      </c>
      <c r="CB147" s="320"/>
      <c r="CC147" s="319">
        <v>0</v>
      </c>
      <c r="CD147" s="320">
        <v>0</v>
      </c>
      <c r="CE147" s="319">
        <v>30</v>
      </c>
      <c r="CF147" s="320"/>
      <c r="CG147" s="319">
        <v>26</v>
      </c>
      <c r="CH147" s="320"/>
      <c r="CI147" s="319">
        <v>0</v>
      </c>
      <c r="CJ147" s="320">
        <v>0</v>
      </c>
      <c r="CK147" s="319">
        <v>30</v>
      </c>
      <c r="CL147" s="320"/>
      <c r="CM147" s="319">
        <v>26</v>
      </c>
      <c r="CN147" s="320"/>
      <c r="CO147" s="319">
        <v>0</v>
      </c>
      <c r="CP147" s="320">
        <v>0</v>
      </c>
      <c r="CQ147" s="319">
        <v>30</v>
      </c>
      <c r="CR147" s="320"/>
      <c r="CS147" s="319">
        <v>26</v>
      </c>
      <c r="CT147" s="320"/>
      <c r="CU147" s="319">
        <v>0</v>
      </c>
      <c r="CV147" s="320">
        <v>0</v>
      </c>
      <c r="CW147" s="319">
        <v>30</v>
      </c>
      <c r="CX147" s="320"/>
      <c r="CY147" s="319">
        <v>26</v>
      </c>
      <c r="CZ147" s="320"/>
      <c r="DA147" s="319">
        <v>0</v>
      </c>
      <c r="DB147" s="320">
        <v>0</v>
      </c>
      <c r="DC147" s="319">
        <v>30</v>
      </c>
      <c r="DD147" s="320"/>
      <c r="DE147" s="319">
        <v>26</v>
      </c>
      <c r="DF147" s="320"/>
      <c r="DG147" s="319">
        <v>0</v>
      </c>
      <c r="DH147" s="320">
        <v>0</v>
      </c>
      <c r="DI147" s="319">
        <v>30</v>
      </c>
      <c r="DJ147" s="320"/>
      <c r="DK147" s="319">
        <v>26</v>
      </c>
      <c r="DL147" s="320"/>
      <c r="DM147" s="319">
        <v>0</v>
      </c>
      <c r="DN147" s="320">
        <v>0</v>
      </c>
      <c r="DO147" s="319">
        <v>30</v>
      </c>
      <c r="DP147" s="320"/>
      <c r="DQ147" s="319">
        <v>26</v>
      </c>
      <c r="DR147" s="320"/>
      <c r="DS147" s="319">
        <v>0</v>
      </c>
      <c r="DT147" s="320">
        <v>0</v>
      </c>
      <c r="DU147" s="319">
        <v>30</v>
      </c>
      <c r="DV147" s="320"/>
      <c r="DW147" s="319">
        <v>26</v>
      </c>
      <c r="DX147" s="320"/>
      <c r="DY147" s="319">
        <v>0</v>
      </c>
      <c r="DZ147" s="320">
        <v>0</v>
      </c>
      <c r="EA147" s="319">
        <v>30</v>
      </c>
      <c r="EB147" s="320"/>
      <c r="EC147" s="319">
        <v>26</v>
      </c>
      <c r="ED147" s="320"/>
      <c r="EE147" s="319">
        <v>0</v>
      </c>
      <c r="EF147" s="320">
        <v>0</v>
      </c>
      <c r="EG147" s="319">
        <v>30</v>
      </c>
      <c r="EH147" s="320"/>
      <c r="EI147" s="319">
        <v>26</v>
      </c>
      <c r="EJ147" s="320"/>
      <c r="EK147" s="319">
        <v>0</v>
      </c>
      <c r="EL147" s="320">
        <v>0</v>
      </c>
      <c r="EM147" s="319">
        <v>30</v>
      </c>
      <c r="EN147" s="320"/>
      <c r="EO147" s="319">
        <v>26</v>
      </c>
      <c r="EP147" s="320"/>
      <c r="EQ147" s="319">
        <v>0</v>
      </c>
      <c r="ER147" s="320">
        <v>0</v>
      </c>
      <c r="ES147" s="319">
        <v>30</v>
      </c>
      <c r="ET147" s="320"/>
      <c r="EU147" s="319">
        <v>26</v>
      </c>
      <c r="EV147" s="320"/>
      <c r="EW147" s="319">
        <v>0</v>
      </c>
      <c r="EX147" s="320">
        <v>0</v>
      </c>
      <c r="EY147" s="319">
        <v>30</v>
      </c>
      <c r="EZ147" s="320"/>
      <c r="FA147" s="319">
        <v>26</v>
      </c>
      <c r="FB147" s="320"/>
      <c r="FC147" s="319">
        <v>0</v>
      </c>
      <c r="FD147" s="320">
        <v>0</v>
      </c>
      <c r="FE147" s="319">
        <v>30</v>
      </c>
      <c r="FF147" s="320"/>
      <c r="FG147" s="319">
        <v>26</v>
      </c>
      <c r="FH147" s="320"/>
      <c r="FI147" s="319">
        <v>0</v>
      </c>
      <c r="FJ147" s="320">
        <v>0</v>
      </c>
      <c r="FK147" s="319">
        <v>30</v>
      </c>
      <c r="FL147" s="320"/>
      <c r="FM147" s="319">
        <v>26</v>
      </c>
      <c r="FN147" s="320"/>
      <c r="FO147" s="319">
        <v>0</v>
      </c>
      <c r="FP147" s="320">
        <v>0</v>
      </c>
      <c r="FQ147" s="319">
        <v>30</v>
      </c>
      <c r="FR147" s="320"/>
      <c r="FS147" s="319">
        <v>26</v>
      </c>
      <c r="FT147" s="320"/>
      <c r="FU147" s="319">
        <v>0</v>
      </c>
      <c r="FV147" s="320">
        <v>0</v>
      </c>
      <c r="FW147" s="319">
        <v>30</v>
      </c>
      <c r="FX147" s="320"/>
      <c r="FY147" s="319">
        <v>26</v>
      </c>
      <c r="FZ147" s="320"/>
      <c r="GA147" s="319">
        <v>0</v>
      </c>
      <c r="GB147" s="320">
        <v>0</v>
      </c>
      <c r="GC147" s="319">
        <v>30</v>
      </c>
      <c r="GD147" s="320"/>
      <c r="GE147" s="319">
        <v>26</v>
      </c>
      <c r="GF147" s="320"/>
      <c r="GG147" s="319">
        <v>0</v>
      </c>
      <c r="GH147" s="320">
        <v>0</v>
      </c>
      <c r="GI147" s="319">
        <v>30</v>
      </c>
      <c r="GJ147" s="320"/>
      <c r="GK147" s="319">
        <v>26</v>
      </c>
      <c r="GL147" s="320"/>
      <c r="GM147" s="319">
        <v>0</v>
      </c>
      <c r="GN147" s="320">
        <v>0</v>
      </c>
      <c r="GO147" s="319">
        <v>30</v>
      </c>
      <c r="GP147" s="320"/>
      <c r="GQ147" s="319">
        <v>26</v>
      </c>
      <c r="GR147" s="320"/>
      <c r="GS147" s="319">
        <v>0</v>
      </c>
      <c r="GT147" s="320">
        <v>0</v>
      </c>
      <c r="GU147" s="319">
        <v>30</v>
      </c>
      <c r="GV147" s="320"/>
      <c r="GW147" s="319">
        <v>26</v>
      </c>
      <c r="GX147" s="320"/>
      <c r="GY147" s="319">
        <v>0</v>
      </c>
      <c r="GZ147" s="320">
        <v>0</v>
      </c>
    </row>
    <row r="148" spans="1:208" s="89" customFormat="1" ht="22.5" customHeight="1" x14ac:dyDescent="0.2">
      <c r="A148" s="287" t="s">
        <v>3288</v>
      </c>
      <c r="B148" s="288" t="s">
        <v>3289</v>
      </c>
      <c r="C148" s="294" t="s">
        <v>3170</v>
      </c>
      <c r="D148" s="290" t="s">
        <v>3290</v>
      </c>
      <c r="E148" s="290" t="s">
        <v>3291</v>
      </c>
      <c r="F148" s="295" t="s">
        <v>3166</v>
      </c>
      <c r="G148" s="295" t="s">
        <v>3167</v>
      </c>
      <c r="H148" s="292" t="s">
        <v>1510</v>
      </c>
      <c r="I148" s="293" t="s">
        <v>1510</v>
      </c>
      <c r="J148" s="340" t="s">
        <v>3168</v>
      </c>
      <c r="K148" s="341" t="s">
        <v>3172</v>
      </c>
      <c r="L148" s="256">
        <f>CONTINUA!BV148</f>
        <v>0</v>
      </c>
      <c r="M148" s="256">
        <f>CONTINUA!BW148</f>
        <v>0</v>
      </c>
      <c r="N148" s="564"/>
      <c r="O148" s="565" t="s">
        <v>3360</v>
      </c>
      <c r="P148" s="566">
        <v>0</v>
      </c>
      <c r="Q148" s="319">
        <v>0</v>
      </c>
      <c r="R148" s="320"/>
      <c r="S148" s="319">
        <v>0</v>
      </c>
      <c r="T148" s="320"/>
      <c r="U148" s="319">
        <v>0</v>
      </c>
      <c r="V148" s="320">
        <v>0</v>
      </c>
      <c r="W148" s="319">
        <v>0</v>
      </c>
      <c r="X148" s="320"/>
      <c r="Y148" s="319">
        <v>0</v>
      </c>
      <c r="Z148" s="320"/>
      <c r="AA148" s="319">
        <v>0</v>
      </c>
      <c r="AB148" s="320">
        <v>0</v>
      </c>
      <c r="AC148" s="319">
        <v>0</v>
      </c>
      <c r="AD148" s="320"/>
      <c r="AE148" s="319">
        <v>0</v>
      </c>
      <c r="AF148" s="320"/>
      <c r="AG148" s="319">
        <v>0</v>
      </c>
      <c r="AH148" s="320">
        <v>0</v>
      </c>
      <c r="AI148" s="319">
        <v>0</v>
      </c>
      <c r="AJ148" s="320"/>
      <c r="AK148" s="319">
        <v>0</v>
      </c>
      <c r="AL148" s="320"/>
      <c r="AM148" s="319">
        <v>0</v>
      </c>
      <c r="AN148" s="320">
        <v>0</v>
      </c>
      <c r="AO148" s="319">
        <v>0</v>
      </c>
      <c r="AP148" s="320"/>
      <c r="AQ148" s="319">
        <v>0</v>
      </c>
      <c r="AR148" s="320"/>
      <c r="AS148" s="319">
        <v>0</v>
      </c>
      <c r="AT148" s="320">
        <v>0</v>
      </c>
      <c r="AU148" s="319">
        <v>0</v>
      </c>
      <c r="AV148" s="320"/>
      <c r="AW148" s="319">
        <v>0</v>
      </c>
      <c r="AX148" s="320"/>
      <c r="AY148" s="319">
        <v>0</v>
      </c>
      <c r="AZ148" s="320">
        <v>0</v>
      </c>
      <c r="BA148" s="319">
        <v>0</v>
      </c>
      <c r="BB148" s="320"/>
      <c r="BC148" s="319">
        <v>0</v>
      </c>
      <c r="BD148" s="320"/>
      <c r="BE148" s="319">
        <v>0</v>
      </c>
      <c r="BF148" s="320">
        <v>0</v>
      </c>
      <c r="BG148" s="319">
        <v>0</v>
      </c>
      <c r="BH148" s="320"/>
      <c r="BI148" s="319">
        <v>0</v>
      </c>
      <c r="BJ148" s="320"/>
      <c r="BK148" s="319">
        <v>0</v>
      </c>
      <c r="BL148" s="320">
        <v>0</v>
      </c>
      <c r="BM148" s="319">
        <v>0</v>
      </c>
      <c r="BN148" s="320"/>
      <c r="BO148" s="319">
        <v>0</v>
      </c>
      <c r="BP148" s="320"/>
      <c r="BQ148" s="319">
        <v>0</v>
      </c>
      <c r="BR148" s="320">
        <v>0</v>
      </c>
      <c r="BS148" s="319">
        <v>0</v>
      </c>
      <c r="BT148" s="320"/>
      <c r="BU148" s="319">
        <v>0</v>
      </c>
      <c r="BV148" s="320"/>
      <c r="BW148" s="319">
        <v>0</v>
      </c>
      <c r="BX148" s="320">
        <v>0</v>
      </c>
      <c r="BY148" s="319">
        <v>0</v>
      </c>
      <c r="BZ148" s="320"/>
      <c r="CA148" s="319">
        <v>0</v>
      </c>
      <c r="CB148" s="320"/>
      <c r="CC148" s="319">
        <v>0</v>
      </c>
      <c r="CD148" s="320">
        <v>0</v>
      </c>
      <c r="CE148" s="319">
        <v>0</v>
      </c>
      <c r="CF148" s="320"/>
      <c r="CG148" s="319">
        <v>0</v>
      </c>
      <c r="CH148" s="320"/>
      <c r="CI148" s="319">
        <v>0</v>
      </c>
      <c r="CJ148" s="320">
        <v>0</v>
      </c>
      <c r="CK148" s="319">
        <v>0</v>
      </c>
      <c r="CL148" s="320"/>
      <c r="CM148" s="319">
        <v>0</v>
      </c>
      <c r="CN148" s="320"/>
      <c r="CO148" s="319">
        <v>0</v>
      </c>
      <c r="CP148" s="320">
        <v>0</v>
      </c>
      <c r="CQ148" s="319">
        <v>0</v>
      </c>
      <c r="CR148" s="320"/>
      <c r="CS148" s="319">
        <v>0</v>
      </c>
      <c r="CT148" s="320"/>
      <c r="CU148" s="319">
        <v>0</v>
      </c>
      <c r="CV148" s="320">
        <v>0</v>
      </c>
      <c r="CW148" s="319">
        <v>0</v>
      </c>
      <c r="CX148" s="320"/>
      <c r="CY148" s="319">
        <v>0</v>
      </c>
      <c r="CZ148" s="320"/>
      <c r="DA148" s="319">
        <v>0</v>
      </c>
      <c r="DB148" s="320">
        <v>0</v>
      </c>
      <c r="DC148" s="319">
        <v>0</v>
      </c>
      <c r="DD148" s="320"/>
      <c r="DE148" s="319">
        <v>0</v>
      </c>
      <c r="DF148" s="320"/>
      <c r="DG148" s="319">
        <v>0</v>
      </c>
      <c r="DH148" s="320">
        <v>0</v>
      </c>
      <c r="DI148" s="319">
        <v>0</v>
      </c>
      <c r="DJ148" s="320"/>
      <c r="DK148" s="319">
        <v>0</v>
      </c>
      <c r="DL148" s="320"/>
      <c r="DM148" s="319">
        <v>0</v>
      </c>
      <c r="DN148" s="320">
        <v>0</v>
      </c>
      <c r="DO148" s="319">
        <v>0</v>
      </c>
      <c r="DP148" s="320"/>
      <c r="DQ148" s="319">
        <v>0</v>
      </c>
      <c r="DR148" s="320"/>
      <c r="DS148" s="319">
        <v>0</v>
      </c>
      <c r="DT148" s="320">
        <v>0</v>
      </c>
      <c r="DU148" s="319">
        <v>0</v>
      </c>
      <c r="DV148" s="320"/>
      <c r="DW148" s="319">
        <v>0</v>
      </c>
      <c r="DX148" s="320"/>
      <c r="DY148" s="319">
        <v>0</v>
      </c>
      <c r="DZ148" s="320">
        <v>0</v>
      </c>
      <c r="EA148" s="319">
        <v>0</v>
      </c>
      <c r="EB148" s="320"/>
      <c r="EC148" s="319">
        <v>0</v>
      </c>
      <c r="ED148" s="320"/>
      <c r="EE148" s="319">
        <v>0</v>
      </c>
      <c r="EF148" s="320">
        <v>0</v>
      </c>
      <c r="EG148" s="319">
        <v>0</v>
      </c>
      <c r="EH148" s="320"/>
      <c r="EI148" s="319">
        <v>0</v>
      </c>
      <c r="EJ148" s="320"/>
      <c r="EK148" s="319">
        <v>0</v>
      </c>
      <c r="EL148" s="320">
        <v>0</v>
      </c>
      <c r="EM148" s="319">
        <v>0</v>
      </c>
      <c r="EN148" s="320"/>
      <c r="EO148" s="319">
        <v>0</v>
      </c>
      <c r="EP148" s="320"/>
      <c r="EQ148" s="319">
        <v>0</v>
      </c>
      <c r="ER148" s="320">
        <v>0</v>
      </c>
      <c r="ES148" s="319">
        <v>0</v>
      </c>
      <c r="ET148" s="320"/>
      <c r="EU148" s="319">
        <v>0</v>
      </c>
      <c r="EV148" s="320"/>
      <c r="EW148" s="319">
        <v>0</v>
      </c>
      <c r="EX148" s="320">
        <v>0</v>
      </c>
      <c r="EY148" s="319">
        <v>0</v>
      </c>
      <c r="EZ148" s="320"/>
      <c r="FA148" s="319">
        <v>0</v>
      </c>
      <c r="FB148" s="320"/>
      <c r="FC148" s="319">
        <v>0</v>
      </c>
      <c r="FD148" s="320">
        <v>0</v>
      </c>
      <c r="FE148" s="319">
        <v>0</v>
      </c>
      <c r="FF148" s="320"/>
      <c r="FG148" s="319">
        <v>0</v>
      </c>
      <c r="FH148" s="320"/>
      <c r="FI148" s="319">
        <v>0</v>
      </c>
      <c r="FJ148" s="320">
        <v>0</v>
      </c>
      <c r="FK148" s="319">
        <v>0</v>
      </c>
      <c r="FL148" s="320"/>
      <c r="FM148" s="319">
        <v>0</v>
      </c>
      <c r="FN148" s="320"/>
      <c r="FO148" s="319">
        <v>0</v>
      </c>
      <c r="FP148" s="320">
        <v>0</v>
      </c>
      <c r="FQ148" s="319">
        <v>0</v>
      </c>
      <c r="FR148" s="320"/>
      <c r="FS148" s="319">
        <v>0</v>
      </c>
      <c r="FT148" s="320"/>
      <c r="FU148" s="319">
        <v>0</v>
      </c>
      <c r="FV148" s="320">
        <v>0</v>
      </c>
      <c r="FW148" s="319">
        <v>0</v>
      </c>
      <c r="FX148" s="320"/>
      <c r="FY148" s="319">
        <v>0</v>
      </c>
      <c r="FZ148" s="320"/>
      <c r="GA148" s="319">
        <v>0</v>
      </c>
      <c r="GB148" s="320">
        <v>0</v>
      </c>
      <c r="GC148" s="319">
        <v>0</v>
      </c>
      <c r="GD148" s="320"/>
      <c r="GE148" s="319">
        <v>0</v>
      </c>
      <c r="GF148" s="320"/>
      <c r="GG148" s="319">
        <v>0</v>
      </c>
      <c r="GH148" s="320">
        <v>0</v>
      </c>
      <c r="GI148" s="319">
        <v>0</v>
      </c>
      <c r="GJ148" s="320"/>
      <c r="GK148" s="319">
        <v>0</v>
      </c>
      <c r="GL148" s="320"/>
      <c r="GM148" s="319">
        <v>0</v>
      </c>
      <c r="GN148" s="320">
        <v>0</v>
      </c>
      <c r="GO148" s="319">
        <v>0</v>
      </c>
      <c r="GP148" s="320"/>
      <c r="GQ148" s="319">
        <v>0</v>
      </c>
      <c r="GR148" s="320"/>
      <c r="GS148" s="319">
        <v>0</v>
      </c>
      <c r="GT148" s="320">
        <v>0</v>
      </c>
      <c r="GU148" s="319">
        <v>0</v>
      </c>
      <c r="GV148" s="320"/>
      <c r="GW148" s="319">
        <v>0</v>
      </c>
      <c r="GX148" s="320"/>
      <c r="GY148" s="319">
        <v>0</v>
      </c>
      <c r="GZ148" s="320">
        <v>0</v>
      </c>
    </row>
    <row r="149" spans="1:208" s="89" customFormat="1" ht="22.5" customHeight="1" x14ac:dyDescent="0.2">
      <c r="A149" s="287" t="s">
        <v>3288</v>
      </c>
      <c r="B149" s="288" t="s">
        <v>3289</v>
      </c>
      <c r="C149" s="294" t="s">
        <v>3170</v>
      </c>
      <c r="D149" s="290" t="s">
        <v>3290</v>
      </c>
      <c r="E149" s="290" t="s">
        <v>3291</v>
      </c>
      <c r="F149" s="295" t="s">
        <v>3166</v>
      </c>
      <c r="G149" s="295" t="s">
        <v>3167</v>
      </c>
      <c r="H149" s="292" t="s">
        <v>1510</v>
      </c>
      <c r="I149" s="293" t="s">
        <v>1510</v>
      </c>
      <c r="J149" s="340" t="s">
        <v>3168</v>
      </c>
      <c r="K149" s="342" t="s">
        <v>3173</v>
      </c>
      <c r="L149" s="256">
        <f>CONTINUA!BV149</f>
        <v>0</v>
      </c>
      <c r="M149" s="256">
        <f>CONTINUA!BW149</f>
        <v>0</v>
      </c>
      <c r="N149" s="564"/>
      <c r="O149" s="565" t="s">
        <v>3360</v>
      </c>
      <c r="P149" s="566">
        <v>0</v>
      </c>
      <c r="Q149" s="319">
        <v>0</v>
      </c>
      <c r="R149" s="320"/>
      <c r="S149" s="319">
        <v>0</v>
      </c>
      <c r="T149" s="320"/>
      <c r="U149" s="319">
        <v>0</v>
      </c>
      <c r="V149" s="320">
        <v>0</v>
      </c>
      <c r="W149" s="319">
        <v>0</v>
      </c>
      <c r="X149" s="320"/>
      <c r="Y149" s="319">
        <v>0</v>
      </c>
      <c r="Z149" s="320"/>
      <c r="AA149" s="319">
        <v>0</v>
      </c>
      <c r="AB149" s="320">
        <v>0</v>
      </c>
      <c r="AC149" s="319">
        <v>0</v>
      </c>
      <c r="AD149" s="320"/>
      <c r="AE149" s="319">
        <v>0</v>
      </c>
      <c r="AF149" s="320"/>
      <c r="AG149" s="319">
        <v>0</v>
      </c>
      <c r="AH149" s="320">
        <v>0</v>
      </c>
      <c r="AI149" s="319">
        <v>0</v>
      </c>
      <c r="AJ149" s="320"/>
      <c r="AK149" s="319">
        <v>0</v>
      </c>
      <c r="AL149" s="320"/>
      <c r="AM149" s="319">
        <v>0</v>
      </c>
      <c r="AN149" s="320">
        <v>0</v>
      </c>
      <c r="AO149" s="319">
        <v>0</v>
      </c>
      <c r="AP149" s="320"/>
      <c r="AQ149" s="319">
        <v>0</v>
      </c>
      <c r="AR149" s="320"/>
      <c r="AS149" s="319">
        <v>0</v>
      </c>
      <c r="AT149" s="320">
        <v>0</v>
      </c>
      <c r="AU149" s="319">
        <v>0</v>
      </c>
      <c r="AV149" s="320"/>
      <c r="AW149" s="319">
        <v>0</v>
      </c>
      <c r="AX149" s="320"/>
      <c r="AY149" s="319">
        <v>0</v>
      </c>
      <c r="AZ149" s="320">
        <v>0</v>
      </c>
      <c r="BA149" s="319">
        <v>0</v>
      </c>
      <c r="BB149" s="320"/>
      <c r="BC149" s="319">
        <v>0</v>
      </c>
      <c r="BD149" s="320"/>
      <c r="BE149" s="319">
        <v>0</v>
      </c>
      <c r="BF149" s="320">
        <v>0</v>
      </c>
      <c r="BG149" s="319">
        <v>0</v>
      </c>
      <c r="BH149" s="320"/>
      <c r="BI149" s="319">
        <v>0</v>
      </c>
      <c r="BJ149" s="320"/>
      <c r="BK149" s="319">
        <v>0</v>
      </c>
      <c r="BL149" s="320">
        <v>0</v>
      </c>
      <c r="BM149" s="319">
        <v>0</v>
      </c>
      <c r="BN149" s="320"/>
      <c r="BO149" s="319">
        <v>0</v>
      </c>
      <c r="BP149" s="320"/>
      <c r="BQ149" s="319">
        <v>0</v>
      </c>
      <c r="BR149" s="320">
        <v>0</v>
      </c>
      <c r="BS149" s="319">
        <v>0</v>
      </c>
      <c r="BT149" s="320"/>
      <c r="BU149" s="319">
        <v>0</v>
      </c>
      <c r="BV149" s="320"/>
      <c r="BW149" s="319">
        <v>0</v>
      </c>
      <c r="BX149" s="320">
        <v>0</v>
      </c>
      <c r="BY149" s="319">
        <v>0</v>
      </c>
      <c r="BZ149" s="320"/>
      <c r="CA149" s="319">
        <v>0</v>
      </c>
      <c r="CB149" s="320"/>
      <c r="CC149" s="319">
        <v>0</v>
      </c>
      <c r="CD149" s="320">
        <v>0</v>
      </c>
      <c r="CE149" s="319">
        <v>0</v>
      </c>
      <c r="CF149" s="320"/>
      <c r="CG149" s="319">
        <v>0</v>
      </c>
      <c r="CH149" s="320"/>
      <c r="CI149" s="319">
        <v>0</v>
      </c>
      <c r="CJ149" s="320">
        <v>0</v>
      </c>
      <c r="CK149" s="319">
        <v>0</v>
      </c>
      <c r="CL149" s="320"/>
      <c r="CM149" s="319">
        <v>0</v>
      </c>
      <c r="CN149" s="320"/>
      <c r="CO149" s="319">
        <v>0</v>
      </c>
      <c r="CP149" s="320">
        <v>0</v>
      </c>
      <c r="CQ149" s="319">
        <v>0</v>
      </c>
      <c r="CR149" s="320"/>
      <c r="CS149" s="319">
        <v>0</v>
      </c>
      <c r="CT149" s="320"/>
      <c r="CU149" s="319">
        <v>0</v>
      </c>
      <c r="CV149" s="320">
        <v>0</v>
      </c>
      <c r="CW149" s="319">
        <v>0</v>
      </c>
      <c r="CX149" s="320"/>
      <c r="CY149" s="319">
        <v>0</v>
      </c>
      <c r="CZ149" s="320"/>
      <c r="DA149" s="319">
        <v>0</v>
      </c>
      <c r="DB149" s="320">
        <v>0</v>
      </c>
      <c r="DC149" s="319">
        <v>0</v>
      </c>
      <c r="DD149" s="320"/>
      <c r="DE149" s="319">
        <v>0</v>
      </c>
      <c r="DF149" s="320"/>
      <c r="DG149" s="319">
        <v>0</v>
      </c>
      <c r="DH149" s="320">
        <v>0</v>
      </c>
      <c r="DI149" s="319">
        <v>0</v>
      </c>
      <c r="DJ149" s="320"/>
      <c r="DK149" s="319">
        <v>0</v>
      </c>
      <c r="DL149" s="320"/>
      <c r="DM149" s="319">
        <v>0</v>
      </c>
      <c r="DN149" s="320">
        <v>0</v>
      </c>
      <c r="DO149" s="319">
        <v>0</v>
      </c>
      <c r="DP149" s="320"/>
      <c r="DQ149" s="319">
        <v>0</v>
      </c>
      <c r="DR149" s="320"/>
      <c r="DS149" s="319">
        <v>0</v>
      </c>
      <c r="DT149" s="320">
        <v>0</v>
      </c>
      <c r="DU149" s="319">
        <v>0</v>
      </c>
      <c r="DV149" s="320"/>
      <c r="DW149" s="319">
        <v>0</v>
      </c>
      <c r="DX149" s="320"/>
      <c r="DY149" s="319">
        <v>0</v>
      </c>
      <c r="DZ149" s="320">
        <v>0</v>
      </c>
      <c r="EA149" s="319">
        <v>0</v>
      </c>
      <c r="EB149" s="320"/>
      <c r="EC149" s="319">
        <v>0</v>
      </c>
      <c r="ED149" s="320"/>
      <c r="EE149" s="319">
        <v>0</v>
      </c>
      <c r="EF149" s="320">
        <v>0</v>
      </c>
      <c r="EG149" s="319">
        <v>0</v>
      </c>
      <c r="EH149" s="320"/>
      <c r="EI149" s="319">
        <v>0</v>
      </c>
      <c r="EJ149" s="320"/>
      <c r="EK149" s="319">
        <v>0</v>
      </c>
      <c r="EL149" s="320">
        <v>0</v>
      </c>
      <c r="EM149" s="319">
        <v>0</v>
      </c>
      <c r="EN149" s="320"/>
      <c r="EO149" s="319">
        <v>0</v>
      </c>
      <c r="EP149" s="320"/>
      <c r="EQ149" s="319">
        <v>0</v>
      </c>
      <c r="ER149" s="320">
        <v>0</v>
      </c>
      <c r="ES149" s="319">
        <v>0</v>
      </c>
      <c r="ET149" s="320"/>
      <c r="EU149" s="319">
        <v>0</v>
      </c>
      <c r="EV149" s="320"/>
      <c r="EW149" s="319">
        <v>0</v>
      </c>
      <c r="EX149" s="320">
        <v>0</v>
      </c>
      <c r="EY149" s="319">
        <v>0</v>
      </c>
      <c r="EZ149" s="320"/>
      <c r="FA149" s="319">
        <v>0</v>
      </c>
      <c r="FB149" s="320"/>
      <c r="FC149" s="319">
        <v>0</v>
      </c>
      <c r="FD149" s="320">
        <v>0</v>
      </c>
      <c r="FE149" s="319">
        <v>0</v>
      </c>
      <c r="FF149" s="320"/>
      <c r="FG149" s="319">
        <v>0</v>
      </c>
      <c r="FH149" s="320"/>
      <c r="FI149" s="319">
        <v>0</v>
      </c>
      <c r="FJ149" s="320">
        <v>0</v>
      </c>
      <c r="FK149" s="319">
        <v>0</v>
      </c>
      <c r="FL149" s="320"/>
      <c r="FM149" s="319">
        <v>0</v>
      </c>
      <c r="FN149" s="320"/>
      <c r="FO149" s="319">
        <v>0</v>
      </c>
      <c r="FP149" s="320">
        <v>0</v>
      </c>
      <c r="FQ149" s="319">
        <v>0</v>
      </c>
      <c r="FR149" s="320"/>
      <c r="FS149" s="319">
        <v>0</v>
      </c>
      <c r="FT149" s="320"/>
      <c r="FU149" s="319">
        <v>0</v>
      </c>
      <c r="FV149" s="320">
        <v>0</v>
      </c>
      <c r="FW149" s="319">
        <v>0</v>
      </c>
      <c r="FX149" s="320"/>
      <c r="FY149" s="319">
        <v>0</v>
      </c>
      <c r="FZ149" s="320"/>
      <c r="GA149" s="319">
        <v>0</v>
      </c>
      <c r="GB149" s="320">
        <v>0</v>
      </c>
      <c r="GC149" s="319">
        <v>0</v>
      </c>
      <c r="GD149" s="320"/>
      <c r="GE149" s="319">
        <v>0</v>
      </c>
      <c r="GF149" s="320"/>
      <c r="GG149" s="319">
        <v>0</v>
      </c>
      <c r="GH149" s="320">
        <v>0</v>
      </c>
      <c r="GI149" s="319">
        <v>0</v>
      </c>
      <c r="GJ149" s="320"/>
      <c r="GK149" s="319">
        <v>0</v>
      </c>
      <c r="GL149" s="320"/>
      <c r="GM149" s="319">
        <v>0</v>
      </c>
      <c r="GN149" s="320">
        <v>0</v>
      </c>
      <c r="GO149" s="319">
        <v>0</v>
      </c>
      <c r="GP149" s="320"/>
      <c r="GQ149" s="319">
        <v>0</v>
      </c>
      <c r="GR149" s="320"/>
      <c r="GS149" s="319">
        <v>0</v>
      </c>
      <c r="GT149" s="320">
        <v>0</v>
      </c>
      <c r="GU149" s="319">
        <v>0</v>
      </c>
      <c r="GV149" s="320"/>
      <c r="GW149" s="319">
        <v>0</v>
      </c>
      <c r="GX149" s="320"/>
      <c r="GY149" s="319">
        <v>0</v>
      </c>
      <c r="GZ149" s="320">
        <v>0</v>
      </c>
    </row>
    <row r="150" spans="1:208" s="89" customFormat="1" ht="22.5" customHeight="1" thickBot="1" x14ac:dyDescent="0.25">
      <c r="A150" s="296" t="s">
        <v>3288</v>
      </c>
      <c r="B150" s="297" t="s">
        <v>3289</v>
      </c>
      <c r="C150" s="298" t="s">
        <v>3170</v>
      </c>
      <c r="D150" s="299" t="s">
        <v>3290</v>
      </c>
      <c r="E150" s="299" t="s">
        <v>3291</v>
      </c>
      <c r="F150" s="300" t="s">
        <v>3166</v>
      </c>
      <c r="G150" s="300" t="s">
        <v>3167</v>
      </c>
      <c r="H150" s="301" t="s">
        <v>1510</v>
      </c>
      <c r="I150" s="302" t="s">
        <v>1510</v>
      </c>
      <c r="J150" s="340" t="s">
        <v>3168</v>
      </c>
      <c r="K150" s="343" t="s">
        <v>53</v>
      </c>
      <c r="L150" s="256">
        <f>CONTINUA!BV150</f>
        <v>0</v>
      </c>
      <c r="M150" s="256">
        <f>CONTINUA!BW150</f>
        <v>0</v>
      </c>
      <c r="N150" s="564"/>
      <c r="O150" s="565" t="s">
        <v>3360</v>
      </c>
      <c r="P150" s="566">
        <v>0</v>
      </c>
      <c r="Q150" s="319">
        <v>0</v>
      </c>
      <c r="R150" s="320"/>
      <c r="S150" s="319">
        <v>0</v>
      </c>
      <c r="T150" s="320"/>
      <c r="U150" s="321">
        <v>0</v>
      </c>
      <c r="V150" s="322">
        <v>0</v>
      </c>
      <c r="W150" s="319">
        <v>0</v>
      </c>
      <c r="X150" s="320"/>
      <c r="Y150" s="319">
        <v>0</v>
      </c>
      <c r="Z150" s="320"/>
      <c r="AA150" s="321">
        <v>0</v>
      </c>
      <c r="AB150" s="322">
        <v>0</v>
      </c>
      <c r="AC150" s="319">
        <v>0</v>
      </c>
      <c r="AD150" s="320"/>
      <c r="AE150" s="319">
        <v>0</v>
      </c>
      <c r="AF150" s="320"/>
      <c r="AG150" s="321">
        <v>0</v>
      </c>
      <c r="AH150" s="322">
        <v>0</v>
      </c>
      <c r="AI150" s="319">
        <v>0</v>
      </c>
      <c r="AJ150" s="320"/>
      <c r="AK150" s="319">
        <v>0</v>
      </c>
      <c r="AL150" s="320"/>
      <c r="AM150" s="321">
        <v>0</v>
      </c>
      <c r="AN150" s="322">
        <v>0</v>
      </c>
      <c r="AO150" s="319">
        <v>0</v>
      </c>
      <c r="AP150" s="320"/>
      <c r="AQ150" s="319">
        <v>0</v>
      </c>
      <c r="AR150" s="320"/>
      <c r="AS150" s="321">
        <v>0</v>
      </c>
      <c r="AT150" s="322">
        <v>0</v>
      </c>
      <c r="AU150" s="319">
        <v>0</v>
      </c>
      <c r="AV150" s="320"/>
      <c r="AW150" s="319">
        <v>0</v>
      </c>
      <c r="AX150" s="320"/>
      <c r="AY150" s="321">
        <v>0</v>
      </c>
      <c r="AZ150" s="322">
        <v>0</v>
      </c>
      <c r="BA150" s="319">
        <v>0</v>
      </c>
      <c r="BB150" s="320"/>
      <c r="BC150" s="319">
        <v>0</v>
      </c>
      <c r="BD150" s="320"/>
      <c r="BE150" s="321">
        <v>0</v>
      </c>
      <c r="BF150" s="322">
        <v>0</v>
      </c>
      <c r="BG150" s="319">
        <v>0</v>
      </c>
      <c r="BH150" s="320"/>
      <c r="BI150" s="319">
        <v>0</v>
      </c>
      <c r="BJ150" s="320"/>
      <c r="BK150" s="321">
        <v>0</v>
      </c>
      <c r="BL150" s="322">
        <v>0</v>
      </c>
      <c r="BM150" s="319">
        <v>0</v>
      </c>
      <c r="BN150" s="320"/>
      <c r="BO150" s="319">
        <v>0</v>
      </c>
      <c r="BP150" s="320"/>
      <c r="BQ150" s="321">
        <v>0</v>
      </c>
      <c r="BR150" s="322">
        <v>0</v>
      </c>
      <c r="BS150" s="319">
        <v>0</v>
      </c>
      <c r="BT150" s="320"/>
      <c r="BU150" s="319">
        <v>0</v>
      </c>
      <c r="BV150" s="320"/>
      <c r="BW150" s="321">
        <v>0</v>
      </c>
      <c r="BX150" s="322">
        <v>0</v>
      </c>
      <c r="BY150" s="319">
        <v>0</v>
      </c>
      <c r="BZ150" s="320"/>
      <c r="CA150" s="319">
        <v>0</v>
      </c>
      <c r="CB150" s="320"/>
      <c r="CC150" s="321">
        <v>0</v>
      </c>
      <c r="CD150" s="322">
        <v>0</v>
      </c>
      <c r="CE150" s="319">
        <v>0</v>
      </c>
      <c r="CF150" s="320"/>
      <c r="CG150" s="319">
        <v>0</v>
      </c>
      <c r="CH150" s="320"/>
      <c r="CI150" s="321">
        <v>0</v>
      </c>
      <c r="CJ150" s="322">
        <v>0</v>
      </c>
      <c r="CK150" s="319">
        <v>0</v>
      </c>
      <c r="CL150" s="320"/>
      <c r="CM150" s="319">
        <v>0</v>
      </c>
      <c r="CN150" s="320"/>
      <c r="CO150" s="321">
        <v>0</v>
      </c>
      <c r="CP150" s="322">
        <v>0</v>
      </c>
      <c r="CQ150" s="319">
        <v>0</v>
      </c>
      <c r="CR150" s="320"/>
      <c r="CS150" s="319">
        <v>0</v>
      </c>
      <c r="CT150" s="320"/>
      <c r="CU150" s="321">
        <v>0</v>
      </c>
      <c r="CV150" s="322">
        <v>0</v>
      </c>
      <c r="CW150" s="319">
        <v>0</v>
      </c>
      <c r="CX150" s="320"/>
      <c r="CY150" s="319">
        <v>0</v>
      </c>
      <c r="CZ150" s="320"/>
      <c r="DA150" s="321">
        <v>0</v>
      </c>
      <c r="DB150" s="322">
        <v>0</v>
      </c>
      <c r="DC150" s="319">
        <v>0</v>
      </c>
      <c r="DD150" s="320"/>
      <c r="DE150" s="319">
        <v>0</v>
      </c>
      <c r="DF150" s="320"/>
      <c r="DG150" s="321">
        <v>0</v>
      </c>
      <c r="DH150" s="322">
        <v>0</v>
      </c>
      <c r="DI150" s="319">
        <v>0</v>
      </c>
      <c r="DJ150" s="320"/>
      <c r="DK150" s="319">
        <v>0</v>
      </c>
      <c r="DL150" s="320"/>
      <c r="DM150" s="321">
        <v>0</v>
      </c>
      <c r="DN150" s="322">
        <v>0</v>
      </c>
      <c r="DO150" s="319">
        <v>0</v>
      </c>
      <c r="DP150" s="320"/>
      <c r="DQ150" s="319">
        <v>0</v>
      </c>
      <c r="DR150" s="320"/>
      <c r="DS150" s="321">
        <v>0</v>
      </c>
      <c r="DT150" s="322">
        <v>0</v>
      </c>
      <c r="DU150" s="319">
        <v>0</v>
      </c>
      <c r="DV150" s="320"/>
      <c r="DW150" s="319">
        <v>0</v>
      </c>
      <c r="DX150" s="320"/>
      <c r="DY150" s="321">
        <v>0</v>
      </c>
      <c r="DZ150" s="322">
        <v>0</v>
      </c>
      <c r="EA150" s="319">
        <v>0</v>
      </c>
      <c r="EB150" s="320"/>
      <c r="EC150" s="319">
        <v>0</v>
      </c>
      <c r="ED150" s="320"/>
      <c r="EE150" s="321">
        <v>0</v>
      </c>
      <c r="EF150" s="322">
        <v>0</v>
      </c>
      <c r="EG150" s="319">
        <v>0</v>
      </c>
      <c r="EH150" s="320"/>
      <c r="EI150" s="319">
        <v>0</v>
      </c>
      <c r="EJ150" s="320"/>
      <c r="EK150" s="321">
        <v>0</v>
      </c>
      <c r="EL150" s="322">
        <v>0</v>
      </c>
      <c r="EM150" s="319">
        <v>0</v>
      </c>
      <c r="EN150" s="320"/>
      <c r="EO150" s="319">
        <v>0</v>
      </c>
      <c r="EP150" s="320"/>
      <c r="EQ150" s="321">
        <v>0</v>
      </c>
      <c r="ER150" s="322">
        <v>0</v>
      </c>
      <c r="ES150" s="319">
        <v>0</v>
      </c>
      <c r="ET150" s="320"/>
      <c r="EU150" s="319">
        <v>0</v>
      </c>
      <c r="EV150" s="320"/>
      <c r="EW150" s="321">
        <v>0</v>
      </c>
      <c r="EX150" s="322">
        <v>0</v>
      </c>
      <c r="EY150" s="319">
        <v>0</v>
      </c>
      <c r="EZ150" s="320"/>
      <c r="FA150" s="319">
        <v>0</v>
      </c>
      <c r="FB150" s="320"/>
      <c r="FC150" s="321">
        <v>0</v>
      </c>
      <c r="FD150" s="322">
        <v>0</v>
      </c>
      <c r="FE150" s="319">
        <v>0</v>
      </c>
      <c r="FF150" s="320"/>
      <c r="FG150" s="319">
        <v>0</v>
      </c>
      <c r="FH150" s="320"/>
      <c r="FI150" s="321">
        <v>0</v>
      </c>
      <c r="FJ150" s="322">
        <v>0</v>
      </c>
      <c r="FK150" s="319">
        <v>0</v>
      </c>
      <c r="FL150" s="320"/>
      <c r="FM150" s="319">
        <v>0</v>
      </c>
      <c r="FN150" s="320"/>
      <c r="FO150" s="321">
        <v>0</v>
      </c>
      <c r="FP150" s="322">
        <v>0</v>
      </c>
      <c r="FQ150" s="319">
        <v>0</v>
      </c>
      <c r="FR150" s="320"/>
      <c r="FS150" s="319">
        <v>0</v>
      </c>
      <c r="FT150" s="320"/>
      <c r="FU150" s="321">
        <v>0</v>
      </c>
      <c r="FV150" s="322">
        <v>0</v>
      </c>
      <c r="FW150" s="319">
        <v>0</v>
      </c>
      <c r="FX150" s="320"/>
      <c r="FY150" s="319">
        <v>0</v>
      </c>
      <c r="FZ150" s="320"/>
      <c r="GA150" s="321">
        <v>0</v>
      </c>
      <c r="GB150" s="322">
        <v>0</v>
      </c>
      <c r="GC150" s="319">
        <v>0</v>
      </c>
      <c r="GD150" s="320"/>
      <c r="GE150" s="319">
        <v>0</v>
      </c>
      <c r="GF150" s="320"/>
      <c r="GG150" s="321">
        <v>0</v>
      </c>
      <c r="GH150" s="322">
        <v>0</v>
      </c>
      <c r="GI150" s="319">
        <v>0</v>
      </c>
      <c r="GJ150" s="320"/>
      <c r="GK150" s="319">
        <v>0</v>
      </c>
      <c r="GL150" s="320"/>
      <c r="GM150" s="321">
        <v>0</v>
      </c>
      <c r="GN150" s="322">
        <v>0</v>
      </c>
      <c r="GO150" s="319">
        <v>0</v>
      </c>
      <c r="GP150" s="320"/>
      <c r="GQ150" s="319">
        <v>0</v>
      </c>
      <c r="GR150" s="320"/>
      <c r="GS150" s="321">
        <v>0</v>
      </c>
      <c r="GT150" s="322">
        <v>0</v>
      </c>
      <c r="GU150" s="319">
        <v>0</v>
      </c>
      <c r="GV150" s="320"/>
      <c r="GW150" s="319">
        <v>0</v>
      </c>
      <c r="GX150" s="320"/>
      <c r="GY150" s="321">
        <v>0</v>
      </c>
      <c r="GZ150" s="322">
        <v>0</v>
      </c>
    </row>
    <row r="151" spans="1:208" s="89" customFormat="1" ht="22.5" customHeight="1" x14ac:dyDescent="0.2">
      <c r="A151" t="s">
        <v>3292</v>
      </c>
      <c r="B151" s="429" t="s">
        <v>3293</v>
      </c>
      <c r="C151" s="430">
        <v>1</v>
      </c>
      <c r="D151" s="431" t="s">
        <v>3294</v>
      </c>
      <c r="E151" s="431" t="s">
        <v>3295</v>
      </c>
      <c r="F151" s="432" t="s">
        <v>3166</v>
      </c>
      <c r="G151" s="432" t="s">
        <v>3167</v>
      </c>
      <c r="H151" s="270" t="s">
        <v>1511</v>
      </c>
      <c r="I151" s="271" t="s">
        <v>1511</v>
      </c>
      <c r="J151" s="328" t="s">
        <v>3168</v>
      </c>
      <c r="K151" s="329" t="s">
        <v>3169</v>
      </c>
      <c r="L151" s="256">
        <f>CONTINUA!BV151</f>
        <v>0</v>
      </c>
      <c r="M151" s="256">
        <f>CONTINUA!BW151</f>
        <v>0</v>
      </c>
      <c r="N151" s="564"/>
      <c r="O151" s="565" t="s">
        <v>3361</v>
      </c>
      <c r="P151" s="566">
        <v>0</v>
      </c>
      <c r="Q151" s="319">
        <v>0</v>
      </c>
      <c r="R151" s="320"/>
      <c r="S151" s="319">
        <v>0</v>
      </c>
      <c r="T151" s="320"/>
      <c r="U151" s="321">
        <v>0</v>
      </c>
      <c r="V151" s="322">
        <v>0</v>
      </c>
      <c r="W151" s="319">
        <v>0</v>
      </c>
      <c r="X151" s="320"/>
      <c r="Y151" s="319">
        <v>0</v>
      </c>
      <c r="Z151" s="320"/>
      <c r="AA151" s="321">
        <v>0</v>
      </c>
      <c r="AB151" s="322">
        <v>0</v>
      </c>
      <c r="AC151" s="319">
        <v>0</v>
      </c>
      <c r="AD151" s="320"/>
      <c r="AE151" s="319">
        <v>0</v>
      </c>
      <c r="AF151" s="320"/>
      <c r="AG151" s="321">
        <v>0</v>
      </c>
      <c r="AH151" s="322">
        <v>0</v>
      </c>
      <c r="AI151" s="319">
        <v>0</v>
      </c>
      <c r="AJ151" s="320"/>
      <c r="AK151" s="319">
        <v>0</v>
      </c>
      <c r="AL151" s="320"/>
      <c r="AM151" s="321">
        <v>0</v>
      </c>
      <c r="AN151" s="322">
        <v>0</v>
      </c>
      <c r="AO151" s="319">
        <v>0</v>
      </c>
      <c r="AP151" s="320"/>
      <c r="AQ151" s="319">
        <v>0</v>
      </c>
      <c r="AR151" s="320"/>
      <c r="AS151" s="321">
        <v>0</v>
      </c>
      <c r="AT151" s="322">
        <v>0</v>
      </c>
      <c r="AU151" s="319">
        <v>0</v>
      </c>
      <c r="AV151" s="320"/>
      <c r="AW151" s="319">
        <v>0</v>
      </c>
      <c r="AX151" s="320"/>
      <c r="AY151" s="321">
        <v>0</v>
      </c>
      <c r="AZ151" s="322">
        <v>0</v>
      </c>
      <c r="BA151" s="319">
        <v>0</v>
      </c>
      <c r="BB151" s="320"/>
      <c r="BC151" s="319">
        <v>0</v>
      </c>
      <c r="BD151" s="320"/>
      <c r="BE151" s="321">
        <v>0</v>
      </c>
      <c r="BF151" s="322">
        <v>0</v>
      </c>
      <c r="BG151" s="319">
        <v>0</v>
      </c>
      <c r="BH151" s="320"/>
      <c r="BI151" s="319">
        <v>0</v>
      </c>
      <c r="BJ151" s="320"/>
      <c r="BK151" s="321">
        <v>0</v>
      </c>
      <c r="BL151" s="322">
        <v>0</v>
      </c>
      <c r="BM151" s="319">
        <v>0</v>
      </c>
      <c r="BN151" s="320"/>
      <c r="BO151" s="319">
        <v>0</v>
      </c>
      <c r="BP151" s="320"/>
      <c r="BQ151" s="321">
        <v>0</v>
      </c>
      <c r="BR151" s="322">
        <v>0</v>
      </c>
      <c r="BS151" s="319">
        <v>0</v>
      </c>
      <c r="BT151" s="320"/>
      <c r="BU151" s="319">
        <v>0</v>
      </c>
      <c r="BV151" s="320"/>
      <c r="BW151" s="321">
        <v>0</v>
      </c>
      <c r="BX151" s="322">
        <v>0</v>
      </c>
      <c r="BY151" s="319">
        <v>0</v>
      </c>
      <c r="BZ151" s="320"/>
      <c r="CA151" s="319">
        <v>0</v>
      </c>
      <c r="CB151" s="320"/>
      <c r="CC151" s="321">
        <v>0</v>
      </c>
      <c r="CD151" s="322">
        <v>0</v>
      </c>
      <c r="CE151" s="319">
        <v>0</v>
      </c>
      <c r="CF151" s="320"/>
      <c r="CG151" s="319">
        <v>0</v>
      </c>
      <c r="CH151" s="320"/>
      <c r="CI151" s="321">
        <v>0</v>
      </c>
      <c r="CJ151" s="322">
        <v>0</v>
      </c>
      <c r="CK151" s="319">
        <v>0</v>
      </c>
      <c r="CL151" s="320"/>
      <c r="CM151" s="319">
        <v>0</v>
      </c>
      <c r="CN151" s="320"/>
      <c r="CO151" s="321">
        <v>0</v>
      </c>
      <c r="CP151" s="322">
        <v>0</v>
      </c>
      <c r="CQ151" s="319">
        <v>0</v>
      </c>
      <c r="CR151" s="320"/>
      <c r="CS151" s="319">
        <v>0</v>
      </c>
      <c r="CT151" s="320"/>
      <c r="CU151" s="321">
        <v>0</v>
      </c>
      <c r="CV151" s="322">
        <v>0</v>
      </c>
      <c r="CW151" s="319">
        <v>0</v>
      </c>
      <c r="CX151" s="320"/>
      <c r="CY151" s="319">
        <v>0</v>
      </c>
      <c r="CZ151" s="320"/>
      <c r="DA151" s="321">
        <v>0</v>
      </c>
      <c r="DB151" s="322">
        <v>0</v>
      </c>
      <c r="DC151" s="319">
        <v>0</v>
      </c>
      <c r="DD151" s="320"/>
      <c r="DE151" s="319">
        <v>0</v>
      </c>
      <c r="DF151" s="320"/>
      <c r="DG151" s="321">
        <v>0</v>
      </c>
      <c r="DH151" s="322">
        <v>0</v>
      </c>
      <c r="DI151" s="319">
        <v>0</v>
      </c>
      <c r="DJ151" s="320"/>
      <c r="DK151" s="319">
        <v>0</v>
      </c>
      <c r="DL151" s="320"/>
      <c r="DM151" s="321">
        <v>0</v>
      </c>
      <c r="DN151" s="322">
        <v>0</v>
      </c>
      <c r="DO151" s="319">
        <v>0</v>
      </c>
      <c r="DP151" s="320"/>
      <c r="DQ151" s="319">
        <v>0</v>
      </c>
      <c r="DR151" s="320"/>
      <c r="DS151" s="321">
        <v>0</v>
      </c>
      <c r="DT151" s="322">
        <v>0</v>
      </c>
      <c r="DU151" s="319">
        <v>0</v>
      </c>
      <c r="DV151" s="320"/>
      <c r="DW151" s="319">
        <v>0</v>
      </c>
      <c r="DX151" s="320"/>
      <c r="DY151" s="321">
        <v>0</v>
      </c>
      <c r="DZ151" s="322">
        <v>0</v>
      </c>
      <c r="EA151" s="319">
        <v>0</v>
      </c>
      <c r="EB151" s="320"/>
      <c r="EC151" s="319">
        <v>0</v>
      </c>
      <c r="ED151" s="320"/>
      <c r="EE151" s="321">
        <v>0</v>
      </c>
      <c r="EF151" s="322">
        <v>0</v>
      </c>
      <c r="EG151" s="319">
        <v>0</v>
      </c>
      <c r="EH151" s="320"/>
      <c r="EI151" s="319">
        <v>0</v>
      </c>
      <c r="EJ151" s="320"/>
      <c r="EK151" s="321">
        <v>0</v>
      </c>
      <c r="EL151" s="322">
        <v>0</v>
      </c>
      <c r="EM151" s="319">
        <v>0</v>
      </c>
      <c r="EN151" s="320"/>
      <c r="EO151" s="319">
        <v>0</v>
      </c>
      <c r="EP151" s="320"/>
      <c r="EQ151" s="321">
        <v>0</v>
      </c>
      <c r="ER151" s="322">
        <v>0</v>
      </c>
      <c r="ES151" s="319">
        <v>0</v>
      </c>
      <c r="ET151" s="320"/>
      <c r="EU151" s="319">
        <v>0</v>
      </c>
      <c r="EV151" s="320"/>
      <c r="EW151" s="321">
        <v>0</v>
      </c>
      <c r="EX151" s="322">
        <v>0</v>
      </c>
      <c r="EY151" s="319">
        <v>0</v>
      </c>
      <c r="EZ151" s="320"/>
      <c r="FA151" s="319">
        <v>0</v>
      </c>
      <c r="FB151" s="320"/>
      <c r="FC151" s="321">
        <v>0</v>
      </c>
      <c r="FD151" s="322">
        <v>0</v>
      </c>
      <c r="FE151" s="319">
        <v>0</v>
      </c>
      <c r="FF151" s="320"/>
      <c r="FG151" s="319">
        <v>0</v>
      </c>
      <c r="FH151" s="320"/>
      <c r="FI151" s="321">
        <v>0</v>
      </c>
      <c r="FJ151" s="322">
        <v>0</v>
      </c>
      <c r="FK151" s="319">
        <v>0</v>
      </c>
      <c r="FL151" s="320"/>
      <c r="FM151" s="319">
        <v>0</v>
      </c>
      <c r="FN151" s="320"/>
      <c r="FO151" s="321">
        <v>0</v>
      </c>
      <c r="FP151" s="322">
        <v>0</v>
      </c>
      <c r="FQ151" s="319">
        <v>0</v>
      </c>
      <c r="FR151" s="320"/>
      <c r="FS151" s="319">
        <v>0</v>
      </c>
      <c r="FT151" s="320"/>
      <c r="FU151" s="321">
        <v>0</v>
      </c>
      <c r="FV151" s="322">
        <v>0</v>
      </c>
      <c r="FW151" s="319">
        <v>0</v>
      </c>
      <c r="FX151" s="320"/>
      <c r="FY151" s="319">
        <v>0</v>
      </c>
      <c r="FZ151" s="320"/>
      <c r="GA151" s="321">
        <v>0</v>
      </c>
      <c r="GB151" s="322">
        <v>0</v>
      </c>
      <c r="GC151" s="319">
        <v>0</v>
      </c>
      <c r="GD151" s="320"/>
      <c r="GE151" s="319">
        <v>0</v>
      </c>
      <c r="GF151" s="320"/>
      <c r="GG151" s="321">
        <v>0</v>
      </c>
      <c r="GH151" s="322">
        <v>0</v>
      </c>
      <c r="GI151" s="319">
        <v>0</v>
      </c>
      <c r="GJ151" s="320"/>
      <c r="GK151" s="319">
        <v>0</v>
      </c>
      <c r="GL151" s="320"/>
      <c r="GM151" s="321">
        <v>0</v>
      </c>
      <c r="GN151" s="322">
        <v>0</v>
      </c>
      <c r="GO151" s="319">
        <v>0</v>
      </c>
      <c r="GP151" s="320"/>
      <c r="GQ151" s="319">
        <v>0</v>
      </c>
      <c r="GR151" s="320"/>
      <c r="GS151" s="321">
        <v>0</v>
      </c>
      <c r="GT151" s="322">
        <v>0</v>
      </c>
      <c r="GU151" s="319">
        <v>0</v>
      </c>
      <c r="GV151" s="320"/>
      <c r="GW151" s="319">
        <v>0</v>
      </c>
      <c r="GX151" s="320"/>
      <c r="GY151" s="321">
        <v>0</v>
      </c>
      <c r="GZ151" s="322">
        <v>0</v>
      </c>
    </row>
    <row r="152" spans="1:208" s="89" customFormat="1" ht="22.5" customHeight="1" x14ac:dyDescent="0.2">
      <c r="A152" s="287" t="s">
        <v>3292</v>
      </c>
      <c r="B152" s="288" t="s">
        <v>3293</v>
      </c>
      <c r="C152" s="289" t="s">
        <v>3170</v>
      </c>
      <c r="D152" s="290" t="s">
        <v>3294</v>
      </c>
      <c r="E152" s="290" t="s">
        <v>3295</v>
      </c>
      <c r="F152" s="291" t="s">
        <v>3166</v>
      </c>
      <c r="G152" s="291" t="s">
        <v>3167</v>
      </c>
      <c r="H152" s="292" t="s">
        <v>1511</v>
      </c>
      <c r="I152" s="293" t="s">
        <v>1511</v>
      </c>
      <c r="J152" s="340" t="s">
        <v>3168</v>
      </c>
      <c r="K152" s="340" t="s">
        <v>3171</v>
      </c>
      <c r="L152" s="256">
        <f>CONTINUA!BV152</f>
        <v>32</v>
      </c>
      <c r="M152" s="256">
        <f>CONTINUA!BW152</f>
        <v>0</v>
      </c>
      <c r="N152" s="564"/>
      <c r="O152" s="565" t="s">
        <v>3361</v>
      </c>
      <c r="P152" s="566">
        <v>0</v>
      </c>
      <c r="Q152" s="319">
        <v>33</v>
      </c>
      <c r="R152" s="320"/>
      <c r="S152" s="319">
        <v>1</v>
      </c>
      <c r="T152" s="320"/>
      <c r="U152" s="319">
        <v>0</v>
      </c>
      <c r="V152" s="320">
        <v>0</v>
      </c>
      <c r="W152" s="319">
        <v>33</v>
      </c>
      <c r="X152" s="320"/>
      <c r="Y152" s="319">
        <v>1</v>
      </c>
      <c r="Z152" s="320"/>
      <c r="AA152" s="319">
        <v>0</v>
      </c>
      <c r="AB152" s="320">
        <v>0</v>
      </c>
      <c r="AC152" s="319">
        <v>33</v>
      </c>
      <c r="AD152" s="320"/>
      <c r="AE152" s="319">
        <v>1</v>
      </c>
      <c r="AF152" s="320"/>
      <c r="AG152" s="319">
        <v>0</v>
      </c>
      <c r="AH152" s="320">
        <v>0</v>
      </c>
      <c r="AI152" s="319">
        <v>33</v>
      </c>
      <c r="AJ152" s="320"/>
      <c r="AK152" s="319">
        <v>1</v>
      </c>
      <c r="AL152" s="320"/>
      <c r="AM152" s="319">
        <v>0</v>
      </c>
      <c r="AN152" s="320">
        <v>0</v>
      </c>
      <c r="AO152" s="319">
        <v>33</v>
      </c>
      <c r="AP152" s="320"/>
      <c r="AQ152" s="319">
        <v>1</v>
      </c>
      <c r="AR152" s="320"/>
      <c r="AS152" s="319">
        <v>0</v>
      </c>
      <c r="AT152" s="320">
        <v>0</v>
      </c>
      <c r="AU152" s="319">
        <v>33</v>
      </c>
      <c r="AV152" s="320"/>
      <c r="AW152" s="319">
        <v>1</v>
      </c>
      <c r="AX152" s="320"/>
      <c r="AY152" s="319">
        <v>0</v>
      </c>
      <c r="AZ152" s="320">
        <v>0</v>
      </c>
      <c r="BA152" s="319">
        <v>33</v>
      </c>
      <c r="BB152" s="320"/>
      <c r="BC152" s="319">
        <v>1</v>
      </c>
      <c r="BD152" s="320"/>
      <c r="BE152" s="319">
        <v>0</v>
      </c>
      <c r="BF152" s="320">
        <v>0</v>
      </c>
      <c r="BG152" s="319">
        <v>33</v>
      </c>
      <c r="BH152" s="320"/>
      <c r="BI152" s="319">
        <v>1</v>
      </c>
      <c r="BJ152" s="320"/>
      <c r="BK152" s="319">
        <v>0</v>
      </c>
      <c r="BL152" s="320">
        <v>0</v>
      </c>
      <c r="BM152" s="319">
        <v>33</v>
      </c>
      <c r="BN152" s="320"/>
      <c r="BO152" s="319">
        <v>1</v>
      </c>
      <c r="BP152" s="320"/>
      <c r="BQ152" s="319">
        <v>0</v>
      </c>
      <c r="BR152" s="320">
        <v>0</v>
      </c>
      <c r="BS152" s="319">
        <v>33</v>
      </c>
      <c r="BT152" s="320"/>
      <c r="BU152" s="319">
        <v>1</v>
      </c>
      <c r="BV152" s="320"/>
      <c r="BW152" s="319">
        <v>0</v>
      </c>
      <c r="BX152" s="320">
        <v>0</v>
      </c>
      <c r="BY152" s="319">
        <v>33</v>
      </c>
      <c r="BZ152" s="320"/>
      <c r="CA152" s="319">
        <v>1</v>
      </c>
      <c r="CB152" s="320"/>
      <c r="CC152" s="319">
        <v>0</v>
      </c>
      <c r="CD152" s="320">
        <v>0</v>
      </c>
      <c r="CE152" s="319">
        <v>33</v>
      </c>
      <c r="CF152" s="320"/>
      <c r="CG152" s="319">
        <v>1</v>
      </c>
      <c r="CH152" s="320"/>
      <c r="CI152" s="319">
        <v>0</v>
      </c>
      <c r="CJ152" s="320">
        <v>0</v>
      </c>
      <c r="CK152" s="319">
        <v>33</v>
      </c>
      <c r="CL152" s="320"/>
      <c r="CM152" s="319">
        <v>1</v>
      </c>
      <c r="CN152" s="320"/>
      <c r="CO152" s="319">
        <v>0</v>
      </c>
      <c r="CP152" s="320">
        <v>0</v>
      </c>
      <c r="CQ152" s="319">
        <v>33</v>
      </c>
      <c r="CR152" s="320"/>
      <c r="CS152" s="319">
        <v>1</v>
      </c>
      <c r="CT152" s="320"/>
      <c r="CU152" s="319">
        <v>0</v>
      </c>
      <c r="CV152" s="320">
        <v>0</v>
      </c>
      <c r="CW152" s="319">
        <v>33</v>
      </c>
      <c r="CX152" s="320"/>
      <c r="CY152" s="319">
        <v>1</v>
      </c>
      <c r="CZ152" s="320"/>
      <c r="DA152" s="319">
        <v>0</v>
      </c>
      <c r="DB152" s="320">
        <v>0</v>
      </c>
      <c r="DC152" s="319">
        <v>33</v>
      </c>
      <c r="DD152" s="320"/>
      <c r="DE152" s="319">
        <v>1</v>
      </c>
      <c r="DF152" s="320"/>
      <c r="DG152" s="319">
        <v>0</v>
      </c>
      <c r="DH152" s="320">
        <v>0</v>
      </c>
      <c r="DI152" s="319">
        <v>33</v>
      </c>
      <c r="DJ152" s="320"/>
      <c r="DK152" s="319">
        <v>1</v>
      </c>
      <c r="DL152" s="320"/>
      <c r="DM152" s="319">
        <v>0</v>
      </c>
      <c r="DN152" s="320">
        <v>0</v>
      </c>
      <c r="DO152" s="319">
        <v>33</v>
      </c>
      <c r="DP152" s="320"/>
      <c r="DQ152" s="319">
        <v>1</v>
      </c>
      <c r="DR152" s="320"/>
      <c r="DS152" s="319">
        <v>0</v>
      </c>
      <c r="DT152" s="320">
        <v>0</v>
      </c>
      <c r="DU152" s="319">
        <v>33</v>
      </c>
      <c r="DV152" s="320"/>
      <c r="DW152" s="319">
        <v>1</v>
      </c>
      <c r="DX152" s="320"/>
      <c r="DY152" s="319">
        <v>0</v>
      </c>
      <c r="DZ152" s="320">
        <v>0</v>
      </c>
      <c r="EA152" s="319">
        <v>33</v>
      </c>
      <c r="EB152" s="320"/>
      <c r="EC152" s="319">
        <v>1</v>
      </c>
      <c r="ED152" s="320"/>
      <c r="EE152" s="319">
        <v>0</v>
      </c>
      <c r="EF152" s="320">
        <v>0</v>
      </c>
      <c r="EG152" s="319">
        <v>33</v>
      </c>
      <c r="EH152" s="320"/>
      <c r="EI152" s="319">
        <v>1</v>
      </c>
      <c r="EJ152" s="320"/>
      <c r="EK152" s="319">
        <v>0</v>
      </c>
      <c r="EL152" s="320">
        <v>0</v>
      </c>
      <c r="EM152" s="319">
        <v>33</v>
      </c>
      <c r="EN152" s="320"/>
      <c r="EO152" s="319">
        <v>1</v>
      </c>
      <c r="EP152" s="320"/>
      <c r="EQ152" s="319">
        <v>0</v>
      </c>
      <c r="ER152" s="320">
        <v>0</v>
      </c>
      <c r="ES152" s="319">
        <v>33</v>
      </c>
      <c r="ET152" s="320"/>
      <c r="EU152" s="319">
        <v>1</v>
      </c>
      <c r="EV152" s="320"/>
      <c r="EW152" s="319">
        <v>0</v>
      </c>
      <c r="EX152" s="320">
        <v>0</v>
      </c>
      <c r="EY152" s="319">
        <v>33</v>
      </c>
      <c r="EZ152" s="320"/>
      <c r="FA152" s="319">
        <v>1</v>
      </c>
      <c r="FB152" s="320"/>
      <c r="FC152" s="319">
        <v>0</v>
      </c>
      <c r="FD152" s="320">
        <v>0</v>
      </c>
      <c r="FE152" s="319">
        <v>33</v>
      </c>
      <c r="FF152" s="320"/>
      <c r="FG152" s="319">
        <v>1</v>
      </c>
      <c r="FH152" s="320"/>
      <c r="FI152" s="319">
        <v>0</v>
      </c>
      <c r="FJ152" s="320">
        <v>0</v>
      </c>
      <c r="FK152" s="319">
        <v>33</v>
      </c>
      <c r="FL152" s="320"/>
      <c r="FM152" s="319">
        <v>1</v>
      </c>
      <c r="FN152" s="320"/>
      <c r="FO152" s="319">
        <v>0</v>
      </c>
      <c r="FP152" s="320">
        <v>0</v>
      </c>
      <c r="FQ152" s="319">
        <v>33</v>
      </c>
      <c r="FR152" s="320"/>
      <c r="FS152" s="319">
        <v>1</v>
      </c>
      <c r="FT152" s="320"/>
      <c r="FU152" s="319">
        <v>0</v>
      </c>
      <c r="FV152" s="320">
        <v>0</v>
      </c>
      <c r="FW152" s="319">
        <v>33</v>
      </c>
      <c r="FX152" s="320"/>
      <c r="FY152" s="319">
        <v>1</v>
      </c>
      <c r="FZ152" s="320"/>
      <c r="GA152" s="319">
        <v>0</v>
      </c>
      <c r="GB152" s="320">
        <v>0</v>
      </c>
      <c r="GC152" s="319">
        <v>33</v>
      </c>
      <c r="GD152" s="320"/>
      <c r="GE152" s="319">
        <v>1</v>
      </c>
      <c r="GF152" s="320"/>
      <c r="GG152" s="319">
        <v>0</v>
      </c>
      <c r="GH152" s="320">
        <v>0</v>
      </c>
      <c r="GI152" s="319">
        <v>33</v>
      </c>
      <c r="GJ152" s="320"/>
      <c r="GK152" s="319">
        <v>1</v>
      </c>
      <c r="GL152" s="320"/>
      <c r="GM152" s="319">
        <v>0</v>
      </c>
      <c r="GN152" s="320">
        <v>0</v>
      </c>
      <c r="GO152" s="319">
        <v>33</v>
      </c>
      <c r="GP152" s="320"/>
      <c r="GQ152" s="319">
        <v>1</v>
      </c>
      <c r="GR152" s="320"/>
      <c r="GS152" s="319">
        <v>0</v>
      </c>
      <c r="GT152" s="320">
        <v>0</v>
      </c>
      <c r="GU152" s="319">
        <v>33</v>
      </c>
      <c r="GV152" s="320"/>
      <c r="GW152" s="319">
        <v>1</v>
      </c>
      <c r="GX152" s="320"/>
      <c r="GY152" s="319">
        <v>0</v>
      </c>
      <c r="GZ152" s="320">
        <v>0</v>
      </c>
    </row>
    <row r="153" spans="1:208" s="89" customFormat="1" ht="22.5" customHeight="1" x14ac:dyDescent="0.2">
      <c r="A153" s="287" t="s">
        <v>3292</v>
      </c>
      <c r="B153" s="288" t="s">
        <v>3293</v>
      </c>
      <c r="C153" s="294" t="s">
        <v>3170</v>
      </c>
      <c r="D153" s="290" t="s">
        <v>3294</v>
      </c>
      <c r="E153" s="290" t="s">
        <v>3295</v>
      </c>
      <c r="F153" s="295" t="s">
        <v>3166</v>
      </c>
      <c r="G153" s="295" t="s">
        <v>3167</v>
      </c>
      <c r="H153" s="292" t="s">
        <v>1511</v>
      </c>
      <c r="I153" s="293" t="s">
        <v>1511</v>
      </c>
      <c r="J153" s="340" t="s">
        <v>3168</v>
      </c>
      <c r="K153" s="341" t="s">
        <v>3172</v>
      </c>
      <c r="L153" s="256">
        <f>CONTINUA!BV153</f>
        <v>0</v>
      </c>
      <c r="M153" s="256">
        <f>CONTINUA!BW153</f>
        <v>0</v>
      </c>
      <c r="N153" s="564"/>
      <c r="O153" s="565" t="s">
        <v>3361</v>
      </c>
      <c r="P153" s="566">
        <v>0</v>
      </c>
      <c r="Q153" s="319">
        <v>0</v>
      </c>
      <c r="R153" s="320"/>
      <c r="S153" s="319">
        <v>0</v>
      </c>
      <c r="T153" s="320"/>
      <c r="U153" s="319">
        <v>0</v>
      </c>
      <c r="V153" s="320">
        <v>0</v>
      </c>
      <c r="W153" s="319">
        <v>0</v>
      </c>
      <c r="X153" s="320"/>
      <c r="Y153" s="319">
        <v>0</v>
      </c>
      <c r="Z153" s="320"/>
      <c r="AA153" s="319">
        <v>0</v>
      </c>
      <c r="AB153" s="320">
        <v>0</v>
      </c>
      <c r="AC153" s="319">
        <v>0</v>
      </c>
      <c r="AD153" s="320"/>
      <c r="AE153" s="319">
        <v>0</v>
      </c>
      <c r="AF153" s="320"/>
      <c r="AG153" s="319">
        <v>0</v>
      </c>
      <c r="AH153" s="320">
        <v>0</v>
      </c>
      <c r="AI153" s="319">
        <v>0</v>
      </c>
      <c r="AJ153" s="320"/>
      <c r="AK153" s="319">
        <v>0</v>
      </c>
      <c r="AL153" s="320"/>
      <c r="AM153" s="319">
        <v>0</v>
      </c>
      <c r="AN153" s="320">
        <v>0</v>
      </c>
      <c r="AO153" s="319">
        <v>0</v>
      </c>
      <c r="AP153" s="320"/>
      <c r="AQ153" s="319">
        <v>0</v>
      </c>
      <c r="AR153" s="320"/>
      <c r="AS153" s="319">
        <v>0</v>
      </c>
      <c r="AT153" s="320">
        <v>0</v>
      </c>
      <c r="AU153" s="319">
        <v>0</v>
      </c>
      <c r="AV153" s="320"/>
      <c r="AW153" s="319">
        <v>0</v>
      </c>
      <c r="AX153" s="320"/>
      <c r="AY153" s="319">
        <v>0</v>
      </c>
      <c r="AZ153" s="320">
        <v>0</v>
      </c>
      <c r="BA153" s="319">
        <v>0</v>
      </c>
      <c r="BB153" s="320"/>
      <c r="BC153" s="319">
        <v>0</v>
      </c>
      <c r="BD153" s="320"/>
      <c r="BE153" s="319">
        <v>0</v>
      </c>
      <c r="BF153" s="320">
        <v>0</v>
      </c>
      <c r="BG153" s="319">
        <v>0</v>
      </c>
      <c r="BH153" s="320"/>
      <c r="BI153" s="319">
        <v>0</v>
      </c>
      <c r="BJ153" s="320"/>
      <c r="BK153" s="319">
        <v>0</v>
      </c>
      <c r="BL153" s="320">
        <v>0</v>
      </c>
      <c r="BM153" s="319">
        <v>0</v>
      </c>
      <c r="BN153" s="320"/>
      <c r="BO153" s="319">
        <v>0</v>
      </c>
      <c r="BP153" s="320"/>
      <c r="BQ153" s="319">
        <v>0</v>
      </c>
      <c r="BR153" s="320">
        <v>0</v>
      </c>
      <c r="BS153" s="319">
        <v>0</v>
      </c>
      <c r="BT153" s="320"/>
      <c r="BU153" s="319">
        <v>0</v>
      </c>
      <c r="BV153" s="320"/>
      <c r="BW153" s="319">
        <v>0</v>
      </c>
      <c r="BX153" s="320">
        <v>0</v>
      </c>
      <c r="BY153" s="319">
        <v>0</v>
      </c>
      <c r="BZ153" s="320"/>
      <c r="CA153" s="319">
        <v>0</v>
      </c>
      <c r="CB153" s="320"/>
      <c r="CC153" s="319">
        <v>0</v>
      </c>
      <c r="CD153" s="320">
        <v>0</v>
      </c>
      <c r="CE153" s="319">
        <v>0</v>
      </c>
      <c r="CF153" s="320"/>
      <c r="CG153" s="319">
        <v>0</v>
      </c>
      <c r="CH153" s="320"/>
      <c r="CI153" s="319">
        <v>0</v>
      </c>
      <c r="CJ153" s="320">
        <v>0</v>
      </c>
      <c r="CK153" s="319">
        <v>0</v>
      </c>
      <c r="CL153" s="320"/>
      <c r="CM153" s="319">
        <v>0</v>
      </c>
      <c r="CN153" s="320"/>
      <c r="CO153" s="319">
        <v>0</v>
      </c>
      <c r="CP153" s="320">
        <v>0</v>
      </c>
      <c r="CQ153" s="319">
        <v>0</v>
      </c>
      <c r="CR153" s="320"/>
      <c r="CS153" s="319">
        <v>0</v>
      </c>
      <c r="CT153" s="320"/>
      <c r="CU153" s="319">
        <v>0</v>
      </c>
      <c r="CV153" s="320">
        <v>0</v>
      </c>
      <c r="CW153" s="319">
        <v>0</v>
      </c>
      <c r="CX153" s="320"/>
      <c r="CY153" s="319">
        <v>0</v>
      </c>
      <c r="CZ153" s="320"/>
      <c r="DA153" s="319">
        <v>0</v>
      </c>
      <c r="DB153" s="320">
        <v>0</v>
      </c>
      <c r="DC153" s="319">
        <v>0</v>
      </c>
      <c r="DD153" s="320"/>
      <c r="DE153" s="319">
        <v>0</v>
      </c>
      <c r="DF153" s="320"/>
      <c r="DG153" s="319">
        <v>0</v>
      </c>
      <c r="DH153" s="320">
        <v>0</v>
      </c>
      <c r="DI153" s="319">
        <v>0</v>
      </c>
      <c r="DJ153" s="320"/>
      <c r="DK153" s="319">
        <v>0</v>
      </c>
      <c r="DL153" s="320"/>
      <c r="DM153" s="319">
        <v>0</v>
      </c>
      <c r="DN153" s="320">
        <v>0</v>
      </c>
      <c r="DO153" s="319">
        <v>0</v>
      </c>
      <c r="DP153" s="320"/>
      <c r="DQ153" s="319">
        <v>0</v>
      </c>
      <c r="DR153" s="320"/>
      <c r="DS153" s="319">
        <v>0</v>
      </c>
      <c r="DT153" s="320">
        <v>0</v>
      </c>
      <c r="DU153" s="319">
        <v>0</v>
      </c>
      <c r="DV153" s="320"/>
      <c r="DW153" s="319">
        <v>0</v>
      </c>
      <c r="DX153" s="320"/>
      <c r="DY153" s="319">
        <v>0</v>
      </c>
      <c r="DZ153" s="320">
        <v>0</v>
      </c>
      <c r="EA153" s="319">
        <v>0</v>
      </c>
      <c r="EB153" s="320"/>
      <c r="EC153" s="319">
        <v>0</v>
      </c>
      <c r="ED153" s="320"/>
      <c r="EE153" s="319">
        <v>0</v>
      </c>
      <c r="EF153" s="320">
        <v>0</v>
      </c>
      <c r="EG153" s="319">
        <v>0</v>
      </c>
      <c r="EH153" s="320"/>
      <c r="EI153" s="319">
        <v>0</v>
      </c>
      <c r="EJ153" s="320"/>
      <c r="EK153" s="319">
        <v>0</v>
      </c>
      <c r="EL153" s="320">
        <v>0</v>
      </c>
      <c r="EM153" s="319">
        <v>0</v>
      </c>
      <c r="EN153" s="320"/>
      <c r="EO153" s="319">
        <v>0</v>
      </c>
      <c r="EP153" s="320"/>
      <c r="EQ153" s="319">
        <v>0</v>
      </c>
      <c r="ER153" s="320">
        <v>0</v>
      </c>
      <c r="ES153" s="319">
        <v>0</v>
      </c>
      <c r="ET153" s="320"/>
      <c r="EU153" s="319">
        <v>0</v>
      </c>
      <c r="EV153" s="320"/>
      <c r="EW153" s="319">
        <v>0</v>
      </c>
      <c r="EX153" s="320">
        <v>0</v>
      </c>
      <c r="EY153" s="319">
        <v>0</v>
      </c>
      <c r="EZ153" s="320"/>
      <c r="FA153" s="319">
        <v>0</v>
      </c>
      <c r="FB153" s="320"/>
      <c r="FC153" s="319">
        <v>0</v>
      </c>
      <c r="FD153" s="320">
        <v>0</v>
      </c>
      <c r="FE153" s="319">
        <v>0</v>
      </c>
      <c r="FF153" s="320"/>
      <c r="FG153" s="319">
        <v>0</v>
      </c>
      <c r="FH153" s="320"/>
      <c r="FI153" s="319">
        <v>0</v>
      </c>
      <c r="FJ153" s="320">
        <v>0</v>
      </c>
      <c r="FK153" s="319">
        <v>0</v>
      </c>
      <c r="FL153" s="320"/>
      <c r="FM153" s="319">
        <v>0</v>
      </c>
      <c r="FN153" s="320"/>
      <c r="FO153" s="319">
        <v>0</v>
      </c>
      <c r="FP153" s="320">
        <v>0</v>
      </c>
      <c r="FQ153" s="319">
        <v>0</v>
      </c>
      <c r="FR153" s="320"/>
      <c r="FS153" s="319">
        <v>0</v>
      </c>
      <c r="FT153" s="320"/>
      <c r="FU153" s="319">
        <v>0</v>
      </c>
      <c r="FV153" s="320">
        <v>0</v>
      </c>
      <c r="FW153" s="319">
        <v>0</v>
      </c>
      <c r="FX153" s="320"/>
      <c r="FY153" s="319">
        <v>0</v>
      </c>
      <c r="FZ153" s="320"/>
      <c r="GA153" s="319">
        <v>0</v>
      </c>
      <c r="GB153" s="320">
        <v>0</v>
      </c>
      <c r="GC153" s="319">
        <v>0</v>
      </c>
      <c r="GD153" s="320"/>
      <c r="GE153" s="319">
        <v>0</v>
      </c>
      <c r="GF153" s="320"/>
      <c r="GG153" s="319">
        <v>0</v>
      </c>
      <c r="GH153" s="320">
        <v>0</v>
      </c>
      <c r="GI153" s="319">
        <v>0</v>
      </c>
      <c r="GJ153" s="320"/>
      <c r="GK153" s="319">
        <v>0</v>
      </c>
      <c r="GL153" s="320"/>
      <c r="GM153" s="319">
        <v>0</v>
      </c>
      <c r="GN153" s="320">
        <v>0</v>
      </c>
      <c r="GO153" s="319">
        <v>0</v>
      </c>
      <c r="GP153" s="320"/>
      <c r="GQ153" s="319">
        <v>0</v>
      </c>
      <c r="GR153" s="320"/>
      <c r="GS153" s="319">
        <v>0</v>
      </c>
      <c r="GT153" s="320">
        <v>0</v>
      </c>
      <c r="GU153" s="319">
        <v>0</v>
      </c>
      <c r="GV153" s="320"/>
      <c r="GW153" s="319">
        <v>0</v>
      </c>
      <c r="GX153" s="320"/>
      <c r="GY153" s="319">
        <v>0</v>
      </c>
      <c r="GZ153" s="320">
        <v>0</v>
      </c>
    </row>
    <row r="154" spans="1:208" s="89" customFormat="1" ht="22.5" customHeight="1" x14ac:dyDescent="0.2">
      <c r="A154" s="287" t="s">
        <v>3292</v>
      </c>
      <c r="B154" s="288" t="s">
        <v>3293</v>
      </c>
      <c r="C154" s="294" t="s">
        <v>3170</v>
      </c>
      <c r="D154" s="290" t="s">
        <v>3294</v>
      </c>
      <c r="E154" s="290" t="s">
        <v>3295</v>
      </c>
      <c r="F154" s="295" t="s">
        <v>3166</v>
      </c>
      <c r="G154" s="295" t="s">
        <v>3167</v>
      </c>
      <c r="H154" s="292" t="s">
        <v>1511</v>
      </c>
      <c r="I154" s="293" t="s">
        <v>1511</v>
      </c>
      <c r="J154" s="340" t="s">
        <v>3168</v>
      </c>
      <c r="K154" s="342" t="s">
        <v>3173</v>
      </c>
      <c r="L154" s="256">
        <f>CONTINUA!BV154</f>
        <v>0</v>
      </c>
      <c r="M154" s="256">
        <f>CONTINUA!BW154</f>
        <v>0</v>
      </c>
      <c r="N154" s="564"/>
      <c r="O154" s="565" t="s">
        <v>3361</v>
      </c>
      <c r="P154" s="566">
        <v>0</v>
      </c>
      <c r="Q154" s="319">
        <v>0</v>
      </c>
      <c r="R154" s="320"/>
      <c r="S154" s="319">
        <v>0</v>
      </c>
      <c r="T154" s="320"/>
      <c r="U154" s="319">
        <v>0</v>
      </c>
      <c r="V154" s="320">
        <v>0</v>
      </c>
      <c r="W154" s="319">
        <v>0</v>
      </c>
      <c r="X154" s="320"/>
      <c r="Y154" s="319">
        <v>0</v>
      </c>
      <c r="Z154" s="320"/>
      <c r="AA154" s="319">
        <v>0</v>
      </c>
      <c r="AB154" s="320">
        <v>0</v>
      </c>
      <c r="AC154" s="319">
        <v>0</v>
      </c>
      <c r="AD154" s="320"/>
      <c r="AE154" s="319">
        <v>0</v>
      </c>
      <c r="AF154" s="320"/>
      <c r="AG154" s="319">
        <v>0</v>
      </c>
      <c r="AH154" s="320">
        <v>0</v>
      </c>
      <c r="AI154" s="319">
        <v>0</v>
      </c>
      <c r="AJ154" s="320"/>
      <c r="AK154" s="319">
        <v>0</v>
      </c>
      <c r="AL154" s="320"/>
      <c r="AM154" s="319">
        <v>0</v>
      </c>
      <c r="AN154" s="320">
        <v>0</v>
      </c>
      <c r="AO154" s="319">
        <v>0</v>
      </c>
      <c r="AP154" s="320"/>
      <c r="AQ154" s="319">
        <v>0</v>
      </c>
      <c r="AR154" s="320"/>
      <c r="AS154" s="319">
        <v>0</v>
      </c>
      <c r="AT154" s="320">
        <v>0</v>
      </c>
      <c r="AU154" s="319">
        <v>0</v>
      </c>
      <c r="AV154" s="320"/>
      <c r="AW154" s="319">
        <v>0</v>
      </c>
      <c r="AX154" s="320"/>
      <c r="AY154" s="319">
        <v>0</v>
      </c>
      <c r="AZ154" s="320">
        <v>0</v>
      </c>
      <c r="BA154" s="319">
        <v>0</v>
      </c>
      <c r="BB154" s="320"/>
      <c r="BC154" s="319">
        <v>0</v>
      </c>
      <c r="BD154" s="320"/>
      <c r="BE154" s="319">
        <v>0</v>
      </c>
      <c r="BF154" s="320">
        <v>0</v>
      </c>
      <c r="BG154" s="319">
        <v>0</v>
      </c>
      <c r="BH154" s="320"/>
      <c r="BI154" s="319">
        <v>0</v>
      </c>
      <c r="BJ154" s="320"/>
      <c r="BK154" s="319">
        <v>0</v>
      </c>
      <c r="BL154" s="320">
        <v>0</v>
      </c>
      <c r="BM154" s="319">
        <v>0</v>
      </c>
      <c r="BN154" s="320"/>
      <c r="BO154" s="319">
        <v>0</v>
      </c>
      <c r="BP154" s="320"/>
      <c r="BQ154" s="319">
        <v>0</v>
      </c>
      <c r="BR154" s="320">
        <v>0</v>
      </c>
      <c r="BS154" s="319">
        <v>0</v>
      </c>
      <c r="BT154" s="320"/>
      <c r="BU154" s="319">
        <v>0</v>
      </c>
      <c r="BV154" s="320"/>
      <c r="BW154" s="319">
        <v>0</v>
      </c>
      <c r="BX154" s="320">
        <v>0</v>
      </c>
      <c r="BY154" s="319">
        <v>0</v>
      </c>
      <c r="BZ154" s="320"/>
      <c r="CA154" s="319">
        <v>0</v>
      </c>
      <c r="CB154" s="320"/>
      <c r="CC154" s="319">
        <v>0</v>
      </c>
      <c r="CD154" s="320">
        <v>0</v>
      </c>
      <c r="CE154" s="319">
        <v>0</v>
      </c>
      <c r="CF154" s="320"/>
      <c r="CG154" s="319">
        <v>0</v>
      </c>
      <c r="CH154" s="320"/>
      <c r="CI154" s="319">
        <v>0</v>
      </c>
      <c r="CJ154" s="320">
        <v>0</v>
      </c>
      <c r="CK154" s="319">
        <v>0</v>
      </c>
      <c r="CL154" s="320"/>
      <c r="CM154" s="319">
        <v>0</v>
      </c>
      <c r="CN154" s="320"/>
      <c r="CO154" s="319">
        <v>0</v>
      </c>
      <c r="CP154" s="320">
        <v>0</v>
      </c>
      <c r="CQ154" s="319">
        <v>0</v>
      </c>
      <c r="CR154" s="320"/>
      <c r="CS154" s="319">
        <v>0</v>
      </c>
      <c r="CT154" s="320"/>
      <c r="CU154" s="319">
        <v>0</v>
      </c>
      <c r="CV154" s="320">
        <v>0</v>
      </c>
      <c r="CW154" s="319">
        <v>0</v>
      </c>
      <c r="CX154" s="320"/>
      <c r="CY154" s="319">
        <v>0</v>
      </c>
      <c r="CZ154" s="320"/>
      <c r="DA154" s="319">
        <v>0</v>
      </c>
      <c r="DB154" s="320">
        <v>0</v>
      </c>
      <c r="DC154" s="319">
        <v>0</v>
      </c>
      <c r="DD154" s="320"/>
      <c r="DE154" s="319">
        <v>0</v>
      </c>
      <c r="DF154" s="320"/>
      <c r="DG154" s="319">
        <v>0</v>
      </c>
      <c r="DH154" s="320">
        <v>0</v>
      </c>
      <c r="DI154" s="319">
        <v>0</v>
      </c>
      <c r="DJ154" s="320"/>
      <c r="DK154" s="319">
        <v>0</v>
      </c>
      <c r="DL154" s="320"/>
      <c r="DM154" s="319">
        <v>0</v>
      </c>
      <c r="DN154" s="320">
        <v>0</v>
      </c>
      <c r="DO154" s="319">
        <v>0</v>
      </c>
      <c r="DP154" s="320"/>
      <c r="DQ154" s="319">
        <v>0</v>
      </c>
      <c r="DR154" s="320"/>
      <c r="DS154" s="319">
        <v>0</v>
      </c>
      <c r="DT154" s="320">
        <v>0</v>
      </c>
      <c r="DU154" s="319">
        <v>0</v>
      </c>
      <c r="DV154" s="320"/>
      <c r="DW154" s="319">
        <v>0</v>
      </c>
      <c r="DX154" s="320"/>
      <c r="DY154" s="319">
        <v>0</v>
      </c>
      <c r="DZ154" s="320">
        <v>0</v>
      </c>
      <c r="EA154" s="319">
        <v>0</v>
      </c>
      <c r="EB154" s="320"/>
      <c r="EC154" s="319">
        <v>0</v>
      </c>
      <c r="ED154" s="320"/>
      <c r="EE154" s="319">
        <v>0</v>
      </c>
      <c r="EF154" s="320">
        <v>0</v>
      </c>
      <c r="EG154" s="319">
        <v>0</v>
      </c>
      <c r="EH154" s="320"/>
      <c r="EI154" s="319">
        <v>0</v>
      </c>
      <c r="EJ154" s="320"/>
      <c r="EK154" s="319">
        <v>0</v>
      </c>
      <c r="EL154" s="320">
        <v>0</v>
      </c>
      <c r="EM154" s="319">
        <v>0</v>
      </c>
      <c r="EN154" s="320"/>
      <c r="EO154" s="319">
        <v>0</v>
      </c>
      <c r="EP154" s="320"/>
      <c r="EQ154" s="319">
        <v>0</v>
      </c>
      <c r="ER154" s="320">
        <v>0</v>
      </c>
      <c r="ES154" s="319">
        <v>0</v>
      </c>
      <c r="ET154" s="320"/>
      <c r="EU154" s="319">
        <v>0</v>
      </c>
      <c r="EV154" s="320"/>
      <c r="EW154" s="319">
        <v>0</v>
      </c>
      <c r="EX154" s="320">
        <v>0</v>
      </c>
      <c r="EY154" s="319">
        <v>0</v>
      </c>
      <c r="EZ154" s="320"/>
      <c r="FA154" s="319">
        <v>0</v>
      </c>
      <c r="FB154" s="320"/>
      <c r="FC154" s="319">
        <v>0</v>
      </c>
      <c r="FD154" s="320">
        <v>0</v>
      </c>
      <c r="FE154" s="319">
        <v>0</v>
      </c>
      <c r="FF154" s="320"/>
      <c r="FG154" s="319">
        <v>0</v>
      </c>
      <c r="FH154" s="320"/>
      <c r="FI154" s="319">
        <v>0</v>
      </c>
      <c r="FJ154" s="320">
        <v>0</v>
      </c>
      <c r="FK154" s="319">
        <v>0</v>
      </c>
      <c r="FL154" s="320"/>
      <c r="FM154" s="319">
        <v>0</v>
      </c>
      <c r="FN154" s="320"/>
      <c r="FO154" s="319">
        <v>0</v>
      </c>
      <c r="FP154" s="320">
        <v>0</v>
      </c>
      <c r="FQ154" s="319">
        <v>0</v>
      </c>
      <c r="FR154" s="320"/>
      <c r="FS154" s="319">
        <v>0</v>
      </c>
      <c r="FT154" s="320"/>
      <c r="FU154" s="319">
        <v>0</v>
      </c>
      <c r="FV154" s="320">
        <v>0</v>
      </c>
      <c r="FW154" s="319">
        <v>0</v>
      </c>
      <c r="FX154" s="320"/>
      <c r="FY154" s="319">
        <v>0</v>
      </c>
      <c r="FZ154" s="320"/>
      <c r="GA154" s="319">
        <v>0</v>
      </c>
      <c r="GB154" s="320">
        <v>0</v>
      </c>
      <c r="GC154" s="319">
        <v>0</v>
      </c>
      <c r="GD154" s="320"/>
      <c r="GE154" s="319">
        <v>0</v>
      </c>
      <c r="GF154" s="320"/>
      <c r="GG154" s="319">
        <v>0</v>
      </c>
      <c r="GH154" s="320">
        <v>0</v>
      </c>
      <c r="GI154" s="319">
        <v>0</v>
      </c>
      <c r="GJ154" s="320"/>
      <c r="GK154" s="319">
        <v>0</v>
      </c>
      <c r="GL154" s="320"/>
      <c r="GM154" s="319">
        <v>0</v>
      </c>
      <c r="GN154" s="320">
        <v>0</v>
      </c>
      <c r="GO154" s="319">
        <v>0</v>
      </c>
      <c r="GP154" s="320"/>
      <c r="GQ154" s="319">
        <v>0</v>
      </c>
      <c r="GR154" s="320"/>
      <c r="GS154" s="319">
        <v>0</v>
      </c>
      <c r="GT154" s="320">
        <v>0</v>
      </c>
      <c r="GU154" s="319">
        <v>0</v>
      </c>
      <c r="GV154" s="320"/>
      <c r="GW154" s="319">
        <v>0</v>
      </c>
      <c r="GX154" s="320"/>
      <c r="GY154" s="319">
        <v>0</v>
      </c>
      <c r="GZ154" s="320">
        <v>0</v>
      </c>
    </row>
    <row r="155" spans="1:208" s="89" customFormat="1" ht="22.5" customHeight="1" thickBot="1" x14ac:dyDescent="0.25">
      <c r="A155" s="296" t="s">
        <v>3292</v>
      </c>
      <c r="B155" s="297" t="s">
        <v>3293</v>
      </c>
      <c r="C155" s="298" t="s">
        <v>3170</v>
      </c>
      <c r="D155" s="299" t="s">
        <v>3294</v>
      </c>
      <c r="E155" s="299" t="s">
        <v>3295</v>
      </c>
      <c r="F155" s="300" t="s">
        <v>3166</v>
      </c>
      <c r="G155" s="300" t="s">
        <v>3167</v>
      </c>
      <c r="H155" s="301" t="s">
        <v>1511</v>
      </c>
      <c r="I155" s="302" t="s">
        <v>1511</v>
      </c>
      <c r="J155" s="340" t="s">
        <v>3168</v>
      </c>
      <c r="K155" s="343" t="s">
        <v>53</v>
      </c>
      <c r="L155" s="256">
        <f>CONTINUA!BV155</f>
        <v>0</v>
      </c>
      <c r="M155" s="256">
        <f>CONTINUA!BW155</f>
        <v>0</v>
      </c>
      <c r="N155" s="564"/>
      <c r="O155" s="565" t="s">
        <v>3361</v>
      </c>
      <c r="P155" s="566">
        <v>0</v>
      </c>
      <c r="Q155" s="319">
        <v>0</v>
      </c>
      <c r="R155" s="320"/>
      <c r="S155" s="319">
        <v>0</v>
      </c>
      <c r="T155" s="320"/>
      <c r="U155" s="321">
        <v>0</v>
      </c>
      <c r="V155" s="322">
        <v>0</v>
      </c>
      <c r="W155" s="319">
        <v>0</v>
      </c>
      <c r="X155" s="320"/>
      <c r="Y155" s="319">
        <v>0</v>
      </c>
      <c r="Z155" s="320"/>
      <c r="AA155" s="321">
        <v>0</v>
      </c>
      <c r="AB155" s="322">
        <v>0</v>
      </c>
      <c r="AC155" s="319">
        <v>0</v>
      </c>
      <c r="AD155" s="320"/>
      <c r="AE155" s="319">
        <v>0</v>
      </c>
      <c r="AF155" s="320"/>
      <c r="AG155" s="321">
        <v>0</v>
      </c>
      <c r="AH155" s="322">
        <v>0</v>
      </c>
      <c r="AI155" s="319">
        <v>0</v>
      </c>
      <c r="AJ155" s="320"/>
      <c r="AK155" s="319">
        <v>0</v>
      </c>
      <c r="AL155" s="320"/>
      <c r="AM155" s="321">
        <v>0</v>
      </c>
      <c r="AN155" s="322">
        <v>0</v>
      </c>
      <c r="AO155" s="319">
        <v>0</v>
      </c>
      <c r="AP155" s="320"/>
      <c r="AQ155" s="319">
        <v>0</v>
      </c>
      <c r="AR155" s="320"/>
      <c r="AS155" s="321">
        <v>0</v>
      </c>
      <c r="AT155" s="322">
        <v>0</v>
      </c>
      <c r="AU155" s="319">
        <v>0</v>
      </c>
      <c r="AV155" s="320"/>
      <c r="AW155" s="319">
        <v>0</v>
      </c>
      <c r="AX155" s="320"/>
      <c r="AY155" s="321">
        <v>0</v>
      </c>
      <c r="AZ155" s="322">
        <v>0</v>
      </c>
      <c r="BA155" s="319">
        <v>0</v>
      </c>
      <c r="BB155" s="320"/>
      <c r="BC155" s="319">
        <v>0</v>
      </c>
      <c r="BD155" s="320"/>
      <c r="BE155" s="321">
        <v>0</v>
      </c>
      <c r="BF155" s="322">
        <v>0</v>
      </c>
      <c r="BG155" s="319">
        <v>0</v>
      </c>
      <c r="BH155" s="320"/>
      <c r="BI155" s="319">
        <v>0</v>
      </c>
      <c r="BJ155" s="320"/>
      <c r="BK155" s="321">
        <v>0</v>
      </c>
      <c r="BL155" s="322">
        <v>0</v>
      </c>
      <c r="BM155" s="319">
        <v>0</v>
      </c>
      <c r="BN155" s="320"/>
      <c r="BO155" s="319">
        <v>0</v>
      </c>
      <c r="BP155" s="320"/>
      <c r="BQ155" s="321">
        <v>0</v>
      </c>
      <c r="BR155" s="322">
        <v>0</v>
      </c>
      <c r="BS155" s="319">
        <v>0</v>
      </c>
      <c r="BT155" s="320"/>
      <c r="BU155" s="319">
        <v>0</v>
      </c>
      <c r="BV155" s="320"/>
      <c r="BW155" s="321">
        <v>0</v>
      </c>
      <c r="BX155" s="322">
        <v>0</v>
      </c>
      <c r="BY155" s="319">
        <v>0</v>
      </c>
      <c r="BZ155" s="320"/>
      <c r="CA155" s="319">
        <v>0</v>
      </c>
      <c r="CB155" s="320"/>
      <c r="CC155" s="321">
        <v>0</v>
      </c>
      <c r="CD155" s="322">
        <v>0</v>
      </c>
      <c r="CE155" s="319">
        <v>0</v>
      </c>
      <c r="CF155" s="320"/>
      <c r="CG155" s="319">
        <v>0</v>
      </c>
      <c r="CH155" s="320"/>
      <c r="CI155" s="321">
        <v>0</v>
      </c>
      <c r="CJ155" s="322">
        <v>0</v>
      </c>
      <c r="CK155" s="319">
        <v>0</v>
      </c>
      <c r="CL155" s="320"/>
      <c r="CM155" s="319">
        <v>0</v>
      </c>
      <c r="CN155" s="320"/>
      <c r="CO155" s="321">
        <v>0</v>
      </c>
      <c r="CP155" s="322">
        <v>0</v>
      </c>
      <c r="CQ155" s="319">
        <v>0</v>
      </c>
      <c r="CR155" s="320"/>
      <c r="CS155" s="319">
        <v>0</v>
      </c>
      <c r="CT155" s="320"/>
      <c r="CU155" s="321">
        <v>0</v>
      </c>
      <c r="CV155" s="322">
        <v>0</v>
      </c>
      <c r="CW155" s="319">
        <v>0</v>
      </c>
      <c r="CX155" s="320"/>
      <c r="CY155" s="319">
        <v>0</v>
      </c>
      <c r="CZ155" s="320"/>
      <c r="DA155" s="321">
        <v>0</v>
      </c>
      <c r="DB155" s="322">
        <v>0</v>
      </c>
      <c r="DC155" s="319">
        <v>0</v>
      </c>
      <c r="DD155" s="320"/>
      <c r="DE155" s="319">
        <v>0</v>
      </c>
      <c r="DF155" s="320"/>
      <c r="DG155" s="321">
        <v>0</v>
      </c>
      <c r="DH155" s="322">
        <v>0</v>
      </c>
      <c r="DI155" s="319">
        <v>0</v>
      </c>
      <c r="DJ155" s="320"/>
      <c r="DK155" s="319">
        <v>0</v>
      </c>
      <c r="DL155" s="320"/>
      <c r="DM155" s="321">
        <v>0</v>
      </c>
      <c r="DN155" s="322">
        <v>0</v>
      </c>
      <c r="DO155" s="319">
        <v>0</v>
      </c>
      <c r="DP155" s="320"/>
      <c r="DQ155" s="319">
        <v>0</v>
      </c>
      <c r="DR155" s="320"/>
      <c r="DS155" s="321">
        <v>0</v>
      </c>
      <c r="DT155" s="322">
        <v>0</v>
      </c>
      <c r="DU155" s="319">
        <v>0</v>
      </c>
      <c r="DV155" s="320"/>
      <c r="DW155" s="319">
        <v>0</v>
      </c>
      <c r="DX155" s="320"/>
      <c r="DY155" s="321">
        <v>0</v>
      </c>
      <c r="DZ155" s="322">
        <v>0</v>
      </c>
      <c r="EA155" s="319">
        <v>0</v>
      </c>
      <c r="EB155" s="320"/>
      <c r="EC155" s="319">
        <v>0</v>
      </c>
      <c r="ED155" s="320"/>
      <c r="EE155" s="321">
        <v>0</v>
      </c>
      <c r="EF155" s="322">
        <v>0</v>
      </c>
      <c r="EG155" s="319">
        <v>0</v>
      </c>
      <c r="EH155" s="320"/>
      <c r="EI155" s="319">
        <v>0</v>
      </c>
      <c r="EJ155" s="320"/>
      <c r="EK155" s="321">
        <v>0</v>
      </c>
      <c r="EL155" s="322">
        <v>0</v>
      </c>
      <c r="EM155" s="319">
        <v>0</v>
      </c>
      <c r="EN155" s="320"/>
      <c r="EO155" s="319">
        <v>0</v>
      </c>
      <c r="EP155" s="320"/>
      <c r="EQ155" s="321">
        <v>0</v>
      </c>
      <c r="ER155" s="322">
        <v>0</v>
      </c>
      <c r="ES155" s="319">
        <v>0</v>
      </c>
      <c r="ET155" s="320"/>
      <c r="EU155" s="319">
        <v>0</v>
      </c>
      <c r="EV155" s="320"/>
      <c r="EW155" s="321">
        <v>0</v>
      </c>
      <c r="EX155" s="322">
        <v>0</v>
      </c>
      <c r="EY155" s="319">
        <v>0</v>
      </c>
      <c r="EZ155" s="320"/>
      <c r="FA155" s="319">
        <v>0</v>
      </c>
      <c r="FB155" s="320"/>
      <c r="FC155" s="321">
        <v>0</v>
      </c>
      <c r="FD155" s="322">
        <v>0</v>
      </c>
      <c r="FE155" s="319">
        <v>0</v>
      </c>
      <c r="FF155" s="320"/>
      <c r="FG155" s="319">
        <v>0</v>
      </c>
      <c r="FH155" s="320"/>
      <c r="FI155" s="321">
        <v>0</v>
      </c>
      <c r="FJ155" s="322">
        <v>0</v>
      </c>
      <c r="FK155" s="319">
        <v>0</v>
      </c>
      <c r="FL155" s="320"/>
      <c r="FM155" s="319">
        <v>0</v>
      </c>
      <c r="FN155" s="320"/>
      <c r="FO155" s="321">
        <v>0</v>
      </c>
      <c r="FP155" s="322">
        <v>0</v>
      </c>
      <c r="FQ155" s="319">
        <v>0</v>
      </c>
      <c r="FR155" s="320"/>
      <c r="FS155" s="319">
        <v>0</v>
      </c>
      <c r="FT155" s="320"/>
      <c r="FU155" s="321">
        <v>0</v>
      </c>
      <c r="FV155" s="322">
        <v>0</v>
      </c>
      <c r="FW155" s="319">
        <v>0</v>
      </c>
      <c r="FX155" s="320"/>
      <c r="FY155" s="319">
        <v>0</v>
      </c>
      <c r="FZ155" s="320"/>
      <c r="GA155" s="321">
        <v>0</v>
      </c>
      <c r="GB155" s="322">
        <v>0</v>
      </c>
      <c r="GC155" s="319">
        <v>0</v>
      </c>
      <c r="GD155" s="320"/>
      <c r="GE155" s="319">
        <v>0</v>
      </c>
      <c r="GF155" s="320"/>
      <c r="GG155" s="321">
        <v>0</v>
      </c>
      <c r="GH155" s="322">
        <v>0</v>
      </c>
      <c r="GI155" s="319">
        <v>0</v>
      </c>
      <c r="GJ155" s="320"/>
      <c r="GK155" s="319">
        <v>0</v>
      </c>
      <c r="GL155" s="320"/>
      <c r="GM155" s="321">
        <v>0</v>
      </c>
      <c r="GN155" s="322">
        <v>0</v>
      </c>
      <c r="GO155" s="319">
        <v>0</v>
      </c>
      <c r="GP155" s="320"/>
      <c r="GQ155" s="319">
        <v>0</v>
      </c>
      <c r="GR155" s="320"/>
      <c r="GS155" s="321">
        <v>0</v>
      </c>
      <c r="GT155" s="322">
        <v>0</v>
      </c>
      <c r="GU155" s="319">
        <v>0</v>
      </c>
      <c r="GV155" s="320"/>
      <c r="GW155" s="319">
        <v>0</v>
      </c>
      <c r="GX155" s="320"/>
      <c r="GY155" s="321">
        <v>0</v>
      </c>
      <c r="GZ155" s="322">
        <v>0</v>
      </c>
    </row>
    <row r="156" spans="1:208" s="89" customFormat="1" ht="22.5" customHeight="1" x14ac:dyDescent="0.2">
      <c r="A156" t="s">
        <v>3296</v>
      </c>
      <c r="B156" s="429" t="s">
        <v>3297</v>
      </c>
      <c r="C156" s="430">
        <v>1</v>
      </c>
      <c r="D156" s="431" t="s">
        <v>3298</v>
      </c>
      <c r="E156" s="431" t="s">
        <v>3299</v>
      </c>
      <c r="F156" s="432" t="s">
        <v>3166</v>
      </c>
      <c r="G156" s="432" t="s">
        <v>3167</v>
      </c>
      <c r="H156" s="270" t="s">
        <v>1512</v>
      </c>
      <c r="I156" s="271" t="s">
        <v>1512</v>
      </c>
      <c r="J156" s="328" t="s">
        <v>3168</v>
      </c>
      <c r="K156" s="329" t="s">
        <v>3169</v>
      </c>
      <c r="L156" s="256">
        <f>CONTINUA!BV156</f>
        <v>0</v>
      </c>
      <c r="M156" s="256">
        <f>CONTINUA!BW156</f>
        <v>0</v>
      </c>
      <c r="N156" s="564"/>
      <c r="O156" s="565" t="s">
        <v>3362</v>
      </c>
      <c r="P156" s="566">
        <v>0</v>
      </c>
      <c r="Q156" s="319">
        <v>0</v>
      </c>
      <c r="R156" s="320"/>
      <c r="S156" s="319">
        <v>0</v>
      </c>
      <c r="T156" s="320"/>
      <c r="U156" s="321">
        <v>0</v>
      </c>
      <c r="V156" s="322">
        <v>0</v>
      </c>
      <c r="W156" s="319">
        <v>0</v>
      </c>
      <c r="X156" s="320"/>
      <c r="Y156" s="319">
        <v>0</v>
      </c>
      <c r="Z156" s="320"/>
      <c r="AA156" s="321">
        <v>0</v>
      </c>
      <c r="AB156" s="322">
        <v>0</v>
      </c>
      <c r="AC156" s="319">
        <v>0</v>
      </c>
      <c r="AD156" s="320"/>
      <c r="AE156" s="319">
        <v>0</v>
      </c>
      <c r="AF156" s="320"/>
      <c r="AG156" s="321">
        <v>0</v>
      </c>
      <c r="AH156" s="322">
        <v>0</v>
      </c>
      <c r="AI156" s="319">
        <v>0</v>
      </c>
      <c r="AJ156" s="320"/>
      <c r="AK156" s="319">
        <v>0</v>
      </c>
      <c r="AL156" s="320"/>
      <c r="AM156" s="321">
        <v>0</v>
      </c>
      <c r="AN156" s="322">
        <v>0</v>
      </c>
      <c r="AO156" s="319">
        <v>0</v>
      </c>
      <c r="AP156" s="320"/>
      <c r="AQ156" s="319">
        <v>0</v>
      </c>
      <c r="AR156" s="320"/>
      <c r="AS156" s="321">
        <v>0</v>
      </c>
      <c r="AT156" s="322">
        <v>0</v>
      </c>
      <c r="AU156" s="319">
        <v>0</v>
      </c>
      <c r="AV156" s="320"/>
      <c r="AW156" s="319">
        <v>0</v>
      </c>
      <c r="AX156" s="320"/>
      <c r="AY156" s="321">
        <v>0</v>
      </c>
      <c r="AZ156" s="322">
        <v>0</v>
      </c>
      <c r="BA156" s="319">
        <v>0</v>
      </c>
      <c r="BB156" s="320"/>
      <c r="BC156" s="319">
        <v>0</v>
      </c>
      <c r="BD156" s="320"/>
      <c r="BE156" s="321">
        <v>0</v>
      </c>
      <c r="BF156" s="322">
        <v>0</v>
      </c>
      <c r="BG156" s="319">
        <v>0</v>
      </c>
      <c r="BH156" s="320"/>
      <c r="BI156" s="319">
        <v>0</v>
      </c>
      <c r="BJ156" s="320"/>
      <c r="BK156" s="321">
        <v>0</v>
      </c>
      <c r="BL156" s="322">
        <v>0</v>
      </c>
      <c r="BM156" s="319">
        <v>0</v>
      </c>
      <c r="BN156" s="320"/>
      <c r="BO156" s="319">
        <v>0</v>
      </c>
      <c r="BP156" s="320"/>
      <c r="BQ156" s="321">
        <v>0</v>
      </c>
      <c r="BR156" s="322">
        <v>0</v>
      </c>
      <c r="BS156" s="319">
        <v>0</v>
      </c>
      <c r="BT156" s="320"/>
      <c r="BU156" s="319">
        <v>0</v>
      </c>
      <c r="BV156" s="320"/>
      <c r="BW156" s="321">
        <v>0</v>
      </c>
      <c r="BX156" s="322">
        <v>0</v>
      </c>
      <c r="BY156" s="319">
        <v>0</v>
      </c>
      <c r="BZ156" s="320"/>
      <c r="CA156" s="319">
        <v>0</v>
      </c>
      <c r="CB156" s="320"/>
      <c r="CC156" s="321">
        <v>0</v>
      </c>
      <c r="CD156" s="322">
        <v>0</v>
      </c>
      <c r="CE156" s="319">
        <v>0</v>
      </c>
      <c r="CF156" s="320"/>
      <c r="CG156" s="319">
        <v>0</v>
      </c>
      <c r="CH156" s="320"/>
      <c r="CI156" s="321">
        <v>0</v>
      </c>
      <c r="CJ156" s="322">
        <v>0</v>
      </c>
      <c r="CK156" s="319">
        <v>0</v>
      </c>
      <c r="CL156" s="320"/>
      <c r="CM156" s="319">
        <v>0</v>
      </c>
      <c r="CN156" s="320"/>
      <c r="CO156" s="321">
        <v>0</v>
      </c>
      <c r="CP156" s="322">
        <v>0</v>
      </c>
      <c r="CQ156" s="319">
        <v>0</v>
      </c>
      <c r="CR156" s="320"/>
      <c r="CS156" s="319">
        <v>0</v>
      </c>
      <c r="CT156" s="320"/>
      <c r="CU156" s="321">
        <v>0</v>
      </c>
      <c r="CV156" s="322">
        <v>0</v>
      </c>
      <c r="CW156" s="319">
        <v>0</v>
      </c>
      <c r="CX156" s="320"/>
      <c r="CY156" s="319">
        <v>0</v>
      </c>
      <c r="CZ156" s="320"/>
      <c r="DA156" s="321">
        <v>0</v>
      </c>
      <c r="DB156" s="322">
        <v>0</v>
      </c>
      <c r="DC156" s="319">
        <v>0</v>
      </c>
      <c r="DD156" s="320"/>
      <c r="DE156" s="319">
        <v>0</v>
      </c>
      <c r="DF156" s="320"/>
      <c r="DG156" s="321">
        <v>0</v>
      </c>
      <c r="DH156" s="322">
        <v>0</v>
      </c>
      <c r="DI156" s="319">
        <v>0</v>
      </c>
      <c r="DJ156" s="320"/>
      <c r="DK156" s="319">
        <v>0</v>
      </c>
      <c r="DL156" s="320"/>
      <c r="DM156" s="321">
        <v>0</v>
      </c>
      <c r="DN156" s="322">
        <v>0</v>
      </c>
      <c r="DO156" s="319">
        <v>0</v>
      </c>
      <c r="DP156" s="320"/>
      <c r="DQ156" s="319">
        <v>0</v>
      </c>
      <c r="DR156" s="320"/>
      <c r="DS156" s="321">
        <v>0</v>
      </c>
      <c r="DT156" s="322">
        <v>0</v>
      </c>
      <c r="DU156" s="319">
        <v>0</v>
      </c>
      <c r="DV156" s="320"/>
      <c r="DW156" s="319">
        <v>0</v>
      </c>
      <c r="DX156" s="320"/>
      <c r="DY156" s="321">
        <v>0</v>
      </c>
      <c r="DZ156" s="322">
        <v>0</v>
      </c>
      <c r="EA156" s="319">
        <v>0</v>
      </c>
      <c r="EB156" s="320"/>
      <c r="EC156" s="319">
        <v>0</v>
      </c>
      <c r="ED156" s="320"/>
      <c r="EE156" s="321">
        <v>0</v>
      </c>
      <c r="EF156" s="322">
        <v>0</v>
      </c>
      <c r="EG156" s="319">
        <v>0</v>
      </c>
      <c r="EH156" s="320"/>
      <c r="EI156" s="319">
        <v>0</v>
      </c>
      <c r="EJ156" s="320"/>
      <c r="EK156" s="321">
        <v>0</v>
      </c>
      <c r="EL156" s="322">
        <v>0</v>
      </c>
      <c r="EM156" s="319">
        <v>0</v>
      </c>
      <c r="EN156" s="320"/>
      <c r="EO156" s="319">
        <v>0</v>
      </c>
      <c r="EP156" s="320"/>
      <c r="EQ156" s="321">
        <v>0</v>
      </c>
      <c r="ER156" s="322">
        <v>0</v>
      </c>
      <c r="ES156" s="319">
        <v>0</v>
      </c>
      <c r="ET156" s="320"/>
      <c r="EU156" s="319">
        <v>0</v>
      </c>
      <c r="EV156" s="320"/>
      <c r="EW156" s="321">
        <v>0</v>
      </c>
      <c r="EX156" s="322">
        <v>0</v>
      </c>
      <c r="EY156" s="319">
        <v>0</v>
      </c>
      <c r="EZ156" s="320"/>
      <c r="FA156" s="319">
        <v>0</v>
      </c>
      <c r="FB156" s="320"/>
      <c r="FC156" s="321">
        <v>0</v>
      </c>
      <c r="FD156" s="322">
        <v>0</v>
      </c>
      <c r="FE156" s="319">
        <v>0</v>
      </c>
      <c r="FF156" s="320"/>
      <c r="FG156" s="319">
        <v>0</v>
      </c>
      <c r="FH156" s="320"/>
      <c r="FI156" s="321">
        <v>0</v>
      </c>
      <c r="FJ156" s="322">
        <v>0</v>
      </c>
      <c r="FK156" s="319">
        <v>0</v>
      </c>
      <c r="FL156" s="320"/>
      <c r="FM156" s="319">
        <v>0</v>
      </c>
      <c r="FN156" s="320"/>
      <c r="FO156" s="321">
        <v>0</v>
      </c>
      <c r="FP156" s="322">
        <v>0</v>
      </c>
      <c r="FQ156" s="319">
        <v>0</v>
      </c>
      <c r="FR156" s="320"/>
      <c r="FS156" s="319">
        <v>0</v>
      </c>
      <c r="FT156" s="320"/>
      <c r="FU156" s="321">
        <v>0</v>
      </c>
      <c r="FV156" s="322">
        <v>0</v>
      </c>
      <c r="FW156" s="319">
        <v>0</v>
      </c>
      <c r="FX156" s="320"/>
      <c r="FY156" s="319">
        <v>0</v>
      </c>
      <c r="FZ156" s="320"/>
      <c r="GA156" s="321">
        <v>0</v>
      </c>
      <c r="GB156" s="322">
        <v>0</v>
      </c>
      <c r="GC156" s="319">
        <v>0</v>
      </c>
      <c r="GD156" s="320"/>
      <c r="GE156" s="319">
        <v>0</v>
      </c>
      <c r="GF156" s="320"/>
      <c r="GG156" s="321">
        <v>0</v>
      </c>
      <c r="GH156" s="322">
        <v>0</v>
      </c>
      <c r="GI156" s="319">
        <v>0</v>
      </c>
      <c r="GJ156" s="320"/>
      <c r="GK156" s="319">
        <v>0</v>
      </c>
      <c r="GL156" s="320"/>
      <c r="GM156" s="321">
        <v>0</v>
      </c>
      <c r="GN156" s="322">
        <v>0</v>
      </c>
      <c r="GO156" s="319">
        <v>0</v>
      </c>
      <c r="GP156" s="320"/>
      <c r="GQ156" s="319">
        <v>0</v>
      </c>
      <c r="GR156" s="320"/>
      <c r="GS156" s="321">
        <v>0</v>
      </c>
      <c r="GT156" s="322">
        <v>0</v>
      </c>
      <c r="GU156" s="319">
        <v>0</v>
      </c>
      <c r="GV156" s="320"/>
      <c r="GW156" s="319">
        <v>0</v>
      </c>
      <c r="GX156" s="320"/>
      <c r="GY156" s="321">
        <v>0</v>
      </c>
      <c r="GZ156" s="322">
        <v>0</v>
      </c>
    </row>
    <row r="157" spans="1:208" s="89" customFormat="1" ht="22.5" customHeight="1" x14ac:dyDescent="0.2">
      <c r="A157" s="287" t="s">
        <v>3296</v>
      </c>
      <c r="B157" s="288" t="s">
        <v>3297</v>
      </c>
      <c r="C157" s="289" t="s">
        <v>3170</v>
      </c>
      <c r="D157" s="290" t="s">
        <v>3298</v>
      </c>
      <c r="E157" s="290" t="s">
        <v>3299</v>
      </c>
      <c r="F157" s="291" t="s">
        <v>3166</v>
      </c>
      <c r="G157" s="291" t="s">
        <v>3167</v>
      </c>
      <c r="H157" s="292" t="s">
        <v>1512</v>
      </c>
      <c r="I157" s="293" t="s">
        <v>1512</v>
      </c>
      <c r="J157" s="340" t="s">
        <v>3168</v>
      </c>
      <c r="K157" s="340" t="s">
        <v>3171</v>
      </c>
      <c r="L157" s="256">
        <f>CONTINUA!BV157</f>
        <v>28</v>
      </c>
      <c r="M157" s="256">
        <f>CONTINUA!BW157</f>
        <v>0</v>
      </c>
      <c r="N157" s="564"/>
      <c r="O157" s="565" t="s">
        <v>3362</v>
      </c>
      <c r="P157" s="566">
        <v>0</v>
      </c>
      <c r="Q157" s="319">
        <v>31</v>
      </c>
      <c r="R157" s="320"/>
      <c r="S157" s="319">
        <v>8</v>
      </c>
      <c r="T157" s="320"/>
      <c r="U157" s="319">
        <v>0</v>
      </c>
      <c r="V157" s="320">
        <v>0</v>
      </c>
      <c r="W157" s="319">
        <v>31</v>
      </c>
      <c r="X157" s="320"/>
      <c r="Y157" s="319">
        <v>8</v>
      </c>
      <c r="Z157" s="320"/>
      <c r="AA157" s="319">
        <v>0</v>
      </c>
      <c r="AB157" s="320">
        <v>0</v>
      </c>
      <c r="AC157" s="319">
        <v>31</v>
      </c>
      <c r="AD157" s="320"/>
      <c r="AE157" s="319">
        <v>8</v>
      </c>
      <c r="AF157" s="320"/>
      <c r="AG157" s="319">
        <v>0</v>
      </c>
      <c r="AH157" s="320">
        <v>0</v>
      </c>
      <c r="AI157" s="319">
        <v>31</v>
      </c>
      <c r="AJ157" s="320"/>
      <c r="AK157" s="319">
        <v>8</v>
      </c>
      <c r="AL157" s="320"/>
      <c r="AM157" s="319">
        <v>0</v>
      </c>
      <c r="AN157" s="320">
        <v>0</v>
      </c>
      <c r="AO157" s="319">
        <v>31</v>
      </c>
      <c r="AP157" s="320"/>
      <c r="AQ157" s="319">
        <v>8</v>
      </c>
      <c r="AR157" s="320"/>
      <c r="AS157" s="319">
        <v>0</v>
      </c>
      <c r="AT157" s="320">
        <v>0</v>
      </c>
      <c r="AU157" s="319">
        <v>31</v>
      </c>
      <c r="AV157" s="320"/>
      <c r="AW157" s="319">
        <v>8</v>
      </c>
      <c r="AX157" s="320"/>
      <c r="AY157" s="319">
        <v>0</v>
      </c>
      <c r="AZ157" s="320">
        <v>0</v>
      </c>
      <c r="BA157" s="319">
        <v>31</v>
      </c>
      <c r="BB157" s="320"/>
      <c r="BC157" s="319">
        <v>8</v>
      </c>
      <c r="BD157" s="320"/>
      <c r="BE157" s="319">
        <v>0</v>
      </c>
      <c r="BF157" s="320">
        <v>0</v>
      </c>
      <c r="BG157" s="319">
        <v>31</v>
      </c>
      <c r="BH157" s="320"/>
      <c r="BI157" s="319">
        <v>8</v>
      </c>
      <c r="BJ157" s="320"/>
      <c r="BK157" s="319">
        <v>0</v>
      </c>
      <c r="BL157" s="320">
        <v>0</v>
      </c>
      <c r="BM157" s="319">
        <v>31</v>
      </c>
      <c r="BN157" s="320"/>
      <c r="BO157" s="319">
        <v>8</v>
      </c>
      <c r="BP157" s="320"/>
      <c r="BQ157" s="319">
        <v>0</v>
      </c>
      <c r="BR157" s="320">
        <v>0</v>
      </c>
      <c r="BS157" s="319">
        <v>31</v>
      </c>
      <c r="BT157" s="320"/>
      <c r="BU157" s="319">
        <v>8</v>
      </c>
      <c r="BV157" s="320"/>
      <c r="BW157" s="319">
        <v>0</v>
      </c>
      <c r="BX157" s="320">
        <v>0</v>
      </c>
      <c r="BY157" s="319">
        <v>31</v>
      </c>
      <c r="BZ157" s="320"/>
      <c r="CA157" s="319">
        <v>8</v>
      </c>
      <c r="CB157" s="320"/>
      <c r="CC157" s="319">
        <v>0</v>
      </c>
      <c r="CD157" s="320">
        <v>0</v>
      </c>
      <c r="CE157" s="319">
        <v>31</v>
      </c>
      <c r="CF157" s="320"/>
      <c r="CG157" s="319">
        <v>8</v>
      </c>
      <c r="CH157" s="320"/>
      <c r="CI157" s="319">
        <v>0</v>
      </c>
      <c r="CJ157" s="320">
        <v>0</v>
      </c>
      <c r="CK157" s="319">
        <v>31</v>
      </c>
      <c r="CL157" s="320"/>
      <c r="CM157" s="319">
        <v>8</v>
      </c>
      <c r="CN157" s="320"/>
      <c r="CO157" s="319">
        <v>0</v>
      </c>
      <c r="CP157" s="320">
        <v>0</v>
      </c>
      <c r="CQ157" s="319">
        <v>31</v>
      </c>
      <c r="CR157" s="320"/>
      <c r="CS157" s="319">
        <v>8</v>
      </c>
      <c r="CT157" s="320"/>
      <c r="CU157" s="319">
        <v>0</v>
      </c>
      <c r="CV157" s="320">
        <v>0</v>
      </c>
      <c r="CW157" s="319">
        <v>31</v>
      </c>
      <c r="CX157" s="320"/>
      <c r="CY157" s="319">
        <v>8</v>
      </c>
      <c r="CZ157" s="320"/>
      <c r="DA157" s="319">
        <v>0</v>
      </c>
      <c r="DB157" s="320">
        <v>0</v>
      </c>
      <c r="DC157" s="319">
        <v>31</v>
      </c>
      <c r="DD157" s="320"/>
      <c r="DE157" s="319">
        <v>8</v>
      </c>
      <c r="DF157" s="320"/>
      <c r="DG157" s="319">
        <v>0</v>
      </c>
      <c r="DH157" s="320">
        <v>0</v>
      </c>
      <c r="DI157" s="319">
        <v>31</v>
      </c>
      <c r="DJ157" s="320"/>
      <c r="DK157" s="319">
        <v>8</v>
      </c>
      <c r="DL157" s="320"/>
      <c r="DM157" s="319">
        <v>0</v>
      </c>
      <c r="DN157" s="320">
        <v>0</v>
      </c>
      <c r="DO157" s="319">
        <v>31</v>
      </c>
      <c r="DP157" s="320"/>
      <c r="DQ157" s="319">
        <v>8</v>
      </c>
      <c r="DR157" s="320"/>
      <c r="DS157" s="319">
        <v>0</v>
      </c>
      <c r="DT157" s="320">
        <v>0</v>
      </c>
      <c r="DU157" s="319">
        <v>31</v>
      </c>
      <c r="DV157" s="320"/>
      <c r="DW157" s="319">
        <v>8</v>
      </c>
      <c r="DX157" s="320"/>
      <c r="DY157" s="319">
        <v>0</v>
      </c>
      <c r="DZ157" s="320">
        <v>0</v>
      </c>
      <c r="EA157" s="319">
        <v>31</v>
      </c>
      <c r="EB157" s="320"/>
      <c r="EC157" s="319">
        <v>8</v>
      </c>
      <c r="ED157" s="320"/>
      <c r="EE157" s="319">
        <v>0</v>
      </c>
      <c r="EF157" s="320">
        <v>0</v>
      </c>
      <c r="EG157" s="319">
        <v>31</v>
      </c>
      <c r="EH157" s="320"/>
      <c r="EI157" s="319">
        <v>8</v>
      </c>
      <c r="EJ157" s="320"/>
      <c r="EK157" s="319">
        <v>0</v>
      </c>
      <c r="EL157" s="320">
        <v>0</v>
      </c>
      <c r="EM157" s="319">
        <v>31</v>
      </c>
      <c r="EN157" s="320"/>
      <c r="EO157" s="319">
        <v>8</v>
      </c>
      <c r="EP157" s="320"/>
      <c r="EQ157" s="319">
        <v>0</v>
      </c>
      <c r="ER157" s="320">
        <v>0</v>
      </c>
      <c r="ES157" s="319">
        <v>31</v>
      </c>
      <c r="ET157" s="320"/>
      <c r="EU157" s="319">
        <v>8</v>
      </c>
      <c r="EV157" s="320"/>
      <c r="EW157" s="319">
        <v>0</v>
      </c>
      <c r="EX157" s="320">
        <v>0</v>
      </c>
      <c r="EY157" s="319">
        <v>31</v>
      </c>
      <c r="EZ157" s="320"/>
      <c r="FA157" s="319">
        <v>8</v>
      </c>
      <c r="FB157" s="320"/>
      <c r="FC157" s="319">
        <v>0</v>
      </c>
      <c r="FD157" s="320">
        <v>0</v>
      </c>
      <c r="FE157" s="319">
        <v>31</v>
      </c>
      <c r="FF157" s="320"/>
      <c r="FG157" s="319">
        <v>8</v>
      </c>
      <c r="FH157" s="320"/>
      <c r="FI157" s="319">
        <v>0</v>
      </c>
      <c r="FJ157" s="320">
        <v>0</v>
      </c>
      <c r="FK157" s="319">
        <v>31</v>
      </c>
      <c r="FL157" s="320"/>
      <c r="FM157" s="319">
        <v>8</v>
      </c>
      <c r="FN157" s="320"/>
      <c r="FO157" s="319">
        <v>0</v>
      </c>
      <c r="FP157" s="320">
        <v>0</v>
      </c>
      <c r="FQ157" s="319">
        <v>31</v>
      </c>
      <c r="FR157" s="320"/>
      <c r="FS157" s="319">
        <v>8</v>
      </c>
      <c r="FT157" s="320"/>
      <c r="FU157" s="319">
        <v>0</v>
      </c>
      <c r="FV157" s="320">
        <v>0</v>
      </c>
      <c r="FW157" s="319">
        <v>31</v>
      </c>
      <c r="FX157" s="320"/>
      <c r="FY157" s="319">
        <v>8</v>
      </c>
      <c r="FZ157" s="320"/>
      <c r="GA157" s="319">
        <v>0</v>
      </c>
      <c r="GB157" s="320">
        <v>0</v>
      </c>
      <c r="GC157" s="319">
        <v>31</v>
      </c>
      <c r="GD157" s="320"/>
      <c r="GE157" s="319">
        <v>8</v>
      </c>
      <c r="GF157" s="320"/>
      <c r="GG157" s="319">
        <v>0</v>
      </c>
      <c r="GH157" s="320">
        <v>0</v>
      </c>
      <c r="GI157" s="319">
        <v>31</v>
      </c>
      <c r="GJ157" s="320"/>
      <c r="GK157" s="319">
        <v>8</v>
      </c>
      <c r="GL157" s="320"/>
      <c r="GM157" s="319">
        <v>0</v>
      </c>
      <c r="GN157" s="320">
        <v>0</v>
      </c>
      <c r="GO157" s="319">
        <v>31</v>
      </c>
      <c r="GP157" s="320"/>
      <c r="GQ157" s="319">
        <v>8</v>
      </c>
      <c r="GR157" s="320"/>
      <c r="GS157" s="319">
        <v>0</v>
      </c>
      <c r="GT157" s="320">
        <v>0</v>
      </c>
      <c r="GU157" s="319">
        <v>31</v>
      </c>
      <c r="GV157" s="320"/>
      <c r="GW157" s="319">
        <v>8</v>
      </c>
      <c r="GX157" s="320"/>
      <c r="GY157" s="319">
        <v>0</v>
      </c>
      <c r="GZ157" s="320">
        <v>0</v>
      </c>
    </row>
    <row r="158" spans="1:208" s="89" customFormat="1" ht="22.5" customHeight="1" x14ac:dyDescent="0.2">
      <c r="A158" s="287" t="s">
        <v>3296</v>
      </c>
      <c r="B158" s="288" t="s">
        <v>3297</v>
      </c>
      <c r="C158" s="294" t="s">
        <v>3170</v>
      </c>
      <c r="D158" s="290" t="s">
        <v>3298</v>
      </c>
      <c r="E158" s="290" t="s">
        <v>3299</v>
      </c>
      <c r="F158" s="295" t="s">
        <v>3166</v>
      </c>
      <c r="G158" s="295" t="s">
        <v>3167</v>
      </c>
      <c r="H158" s="292" t="s">
        <v>1512</v>
      </c>
      <c r="I158" s="293" t="s">
        <v>1512</v>
      </c>
      <c r="J158" s="340" t="s">
        <v>3168</v>
      </c>
      <c r="K158" s="341" t="s">
        <v>3172</v>
      </c>
      <c r="L158" s="256">
        <f>CONTINUA!BV158</f>
        <v>0</v>
      </c>
      <c r="M158" s="256">
        <f>CONTINUA!BW158</f>
        <v>0</v>
      </c>
      <c r="N158" s="564"/>
      <c r="O158" s="565" t="s">
        <v>3362</v>
      </c>
      <c r="P158" s="566">
        <v>0</v>
      </c>
      <c r="Q158" s="319">
        <v>0</v>
      </c>
      <c r="R158" s="320"/>
      <c r="S158" s="319">
        <v>0</v>
      </c>
      <c r="T158" s="320"/>
      <c r="U158" s="319">
        <v>0</v>
      </c>
      <c r="V158" s="320">
        <v>0</v>
      </c>
      <c r="W158" s="319">
        <v>0</v>
      </c>
      <c r="X158" s="320"/>
      <c r="Y158" s="319">
        <v>0</v>
      </c>
      <c r="Z158" s="320"/>
      <c r="AA158" s="319">
        <v>0</v>
      </c>
      <c r="AB158" s="320">
        <v>0</v>
      </c>
      <c r="AC158" s="319">
        <v>0</v>
      </c>
      <c r="AD158" s="320"/>
      <c r="AE158" s="319">
        <v>0</v>
      </c>
      <c r="AF158" s="320"/>
      <c r="AG158" s="319">
        <v>0</v>
      </c>
      <c r="AH158" s="320">
        <v>0</v>
      </c>
      <c r="AI158" s="319">
        <v>0</v>
      </c>
      <c r="AJ158" s="320"/>
      <c r="AK158" s="319">
        <v>0</v>
      </c>
      <c r="AL158" s="320"/>
      <c r="AM158" s="319">
        <v>0</v>
      </c>
      <c r="AN158" s="320">
        <v>0</v>
      </c>
      <c r="AO158" s="319">
        <v>0</v>
      </c>
      <c r="AP158" s="320"/>
      <c r="AQ158" s="319">
        <v>0</v>
      </c>
      <c r="AR158" s="320"/>
      <c r="AS158" s="319">
        <v>0</v>
      </c>
      <c r="AT158" s="320">
        <v>0</v>
      </c>
      <c r="AU158" s="319">
        <v>0</v>
      </c>
      <c r="AV158" s="320"/>
      <c r="AW158" s="319">
        <v>0</v>
      </c>
      <c r="AX158" s="320"/>
      <c r="AY158" s="319">
        <v>0</v>
      </c>
      <c r="AZ158" s="320">
        <v>0</v>
      </c>
      <c r="BA158" s="319">
        <v>0</v>
      </c>
      <c r="BB158" s="320"/>
      <c r="BC158" s="319">
        <v>0</v>
      </c>
      <c r="BD158" s="320"/>
      <c r="BE158" s="319">
        <v>0</v>
      </c>
      <c r="BF158" s="320">
        <v>0</v>
      </c>
      <c r="BG158" s="319">
        <v>0</v>
      </c>
      <c r="BH158" s="320"/>
      <c r="BI158" s="319">
        <v>0</v>
      </c>
      <c r="BJ158" s="320"/>
      <c r="BK158" s="319">
        <v>0</v>
      </c>
      <c r="BL158" s="320">
        <v>0</v>
      </c>
      <c r="BM158" s="319">
        <v>0</v>
      </c>
      <c r="BN158" s="320"/>
      <c r="BO158" s="319">
        <v>0</v>
      </c>
      <c r="BP158" s="320"/>
      <c r="BQ158" s="319">
        <v>0</v>
      </c>
      <c r="BR158" s="320">
        <v>0</v>
      </c>
      <c r="BS158" s="319">
        <v>0</v>
      </c>
      <c r="BT158" s="320"/>
      <c r="BU158" s="319">
        <v>0</v>
      </c>
      <c r="BV158" s="320"/>
      <c r="BW158" s="319">
        <v>0</v>
      </c>
      <c r="BX158" s="320">
        <v>0</v>
      </c>
      <c r="BY158" s="319">
        <v>0</v>
      </c>
      <c r="BZ158" s="320"/>
      <c r="CA158" s="319">
        <v>0</v>
      </c>
      <c r="CB158" s="320"/>
      <c r="CC158" s="319">
        <v>0</v>
      </c>
      <c r="CD158" s="320">
        <v>0</v>
      </c>
      <c r="CE158" s="319">
        <v>0</v>
      </c>
      <c r="CF158" s="320"/>
      <c r="CG158" s="319">
        <v>0</v>
      </c>
      <c r="CH158" s="320"/>
      <c r="CI158" s="319">
        <v>0</v>
      </c>
      <c r="CJ158" s="320">
        <v>0</v>
      </c>
      <c r="CK158" s="319">
        <v>0</v>
      </c>
      <c r="CL158" s="320"/>
      <c r="CM158" s="319">
        <v>0</v>
      </c>
      <c r="CN158" s="320"/>
      <c r="CO158" s="319">
        <v>0</v>
      </c>
      <c r="CP158" s="320">
        <v>0</v>
      </c>
      <c r="CQ158" s="319">
        <v>0</v>
      </c>
      <c r="CR158" s="320"/>
      <c r="CS158" s="319">
        <v>0</v>
      </c>
      <c r="CT158" s="320"/>
      <c r="CU158" s="319">
        <v>0</v>
      </c>
      <c r="CV158" s="320">
        <v>0</v>
      </c>
      <c r="CW158" s="319">
        <v>0</v>
      </c>
      <c r="CX158" s="320"/>
      <c r="CY158" s="319">
        <v>0</v>
      </c>
      <c r="CZ158" s="320"/>
      <c r="DA158" s="319">
        <v>0</v>
      </c>
      <c r="DB158" s="320">
        <v>0</v>
      </c>
      <c r="DC158" s="319">
        <v>0</v>
      </c>
      <c r="DD158" s="320"/>
      <c r="DE158" s="319">
        <v>0</v>
      </c>
      <c r="DF158" s="320"/>
      <c r="DG158" s="319">
        <v>0</v>
      </c>
      <c r="DH158" s="320">
        <v>0</v>
      </c>
      <c r="DI158" s="319">
        <v>0</v>
      </c>
      <c r="DJ158" s="320"/>
      <c r="DK158" s="319">
        <v>0</v>
      </c>
      <c r="DL158" s="320"/>
      <c r="DM158" s="319">
        <v>0</v>
      </c>
      <c r="DN158" s="320">
        <v>0</v>
      </c>
      <c r="DO158" s="319">
        <v>0</v>
      </c>
      <c r="DP158" s="320"/>
      <c r="DQ158" s="319">
        <v>0</v>
      </c>
      <c r="DR158" s="320"/>
      <c r="DS158" s="319">
        <v>0</v>
      </c>
      <c r="DT158" s="320">
        <v>0</v>
      </c>
      <c r="DU158" s="319">
        <v>0</v>
      </c>
      <c r="DV158" s="320"/>
      <c r="DW158" s="319">
        <v>0</v>
      </c>
      <c r="DX158" s="320"/>
      <c r="DY158" s="319">
        <v>0</v>
      </c>
      <c r="DZ158" s="320">
        <v>0</v>
      </c>
      <c r="EA158" s="319">
        <v>0</v>
      </c>
      <c r="EB158" s="320"/>
      <c r="EC158" s="319">
        <v>0</v>
      </c>
      <c r="ED158" s="320"/>
      <c r="EE158" s="319">
        <v>0</v>
      </c>
      <c r="EF158" s="320">
        <v>0</v>
      </c>
      <c r="EG158" s="319">
        <v>0</v>
      </c>
      <c r="EH158" s="320"/>
      <c r="EI158" s="319">
        <v>0</v>
      </c>
      <c r="EJ158" s="320"/>
      <c r="EK158" s="319">
        <v>0</v>
      </c>
      <c r="EL158" s="320">
        <v>0</v>
      </c>
      <c r="EM158" s="319">
        <v>0</v>
      </c>
      <c r="EN158" s="320"/>
      <c r="EO158" s="319">
        <v>0</v>
      </c>
      <c r="EP158" s="320"/>
      <c r="EQ158" s="319">
        <v>0</v>
      </c>
      <c r="ER158" s="320">
        <v>0</v>
      </c>
      <c r="ES158" s="319">
        <v>0</v>
      </c>
      <c r="ET158" s="320"/>
      <c r="EU158" s="319">
        <v>0</v>
      </c>
      <c r="EV158" s="320"/>
      <c r="EW158" s="319">
        <v>0</v>
      </c>
      <c r="EX158" s="320">
        <v>0</v>
      </c>
      <c r="EY158" s="319">
        <v>0</v>
      </c>
      <c r="EZ158" s="320"/>
      <c r="FA158" s="319">
        <v>0</v>
      </c>
      <c r="FB158" s="320"/>
      <c r="FC158" s="319">
        <v>0</v>
      </c>
      <c r="FD158" s="320">
        <v>0</v>
      </c>
      <c r="FE158" s="319">
        <v>0</v>
      </c>
      <c r="FF158" s="320"/>
      <c r="FG158" s="319">
        <v>0</v>
      </c>
      <c r="FH158" s="320"/>
      <c r="FI158" s="319">
        <v>0</v>
      </c>
      <c r="FJ158" s="320">
        <v>0</v>
      </c>
      <c r="FK158" s="319">
        <v>0</v>
      </c>
      <c r="FL158" s="320"/>
      <c r="FM158" s="319">
        <v>0</v>
      </c>
      <c r="FN158" s="320"/>
      <c r="FO158" s="319">
        <v>0</v>
      </c>
      <c r="FP158" s="320">
        <v>0</v>
      </c>
      <c r="FQ158" s="319">
        <v>0</v>
      </c>
      <c r="FR158" s="320"/>
      <c r="FS158" s="319">
        <v>0</v>
      </c>
      <c r="FT158" s="320"/>
      <c r="FU158" s="319">
        <v>0</v>
      </c>
      <c r="FV158" s="320">
        <v>0</v>
      </c>
      <c r="FW158" s="319">
        <v>0</v>
      </c>
      <c r="FX158" s="320"/>
      <c r="FY158" s="319">
        <v>0</v>
      </c>
      <c r="FZ158" s="320"/>
      <c r="GA158" s="319">
        <v>0</v>
      </c>
      <c r="GB158" s="320">
        <v>0</v>
      </c>
      <c r="GC158" s="319">
        <v>0</v>
      </c>
      <c r="GD158" s="320"/>
      <c r="GE158" s="319">
        <v>0</v>
      </c>
      <c r="GF158" s="320"/>
      <c r="GG158" s="319">
        <v>0</v>
      </c>
      <c r="GH158" s="320">
        <v>0</v>
      </c>
      <c r="GI158" s="319">
        <v>0</v>
      </c>
      <c r="GJ158" s="320"/>
      <c r="GK158" s="319">
        <v>0</v>
      </c>
      <c r="GL158" s="320"/>
      <c r="GM158" s="319">
        <v>0</v>
      </c>
      <c r="GN158" s="320">
        <v>0</v>
      </c>
      <c r="GO158" s="319">
        <v>0</v>
      </c>
      <c r="GP158" s="320"/>
      <c r="GQ158" s="319">
        <v>0</v>
      </c>
      <c r="GR158" s="320"/>
      <c r="GS158" s="319">
        <v>0</v>
      </c>
      <c r="GT158" s="320">
        <v>0</v>
      </c>
      <c r="GU158" s="319">
        <v>0</v>
      </c>
      <c r="GV158" s="320"/>
      <c r="GW158" s="319">
        <v>0</v>
      </c>
      <c r="GX158" s="320"/>
      <c r="GY158" s="319">
        <v>0</v>
      </c>
      <c r="GZ158" s="320">
        <v>0</v>
      </c>
    </row>
    <row r="159" spans="1:208" s="89" customFormat="1" ht="22.5" customHeight="1" x14ac:dyDescent="0.2">
      <c r="A159" s="287" t="s">
        <v>3296</v>
      </c>
      <c r="B159" s="288" t="s">
        <v>3297</v>
      </c>
      <c r="C159" s="294" t="s">
        <v>3170</v>
      </c>
      <c r="D159" s="290" t="s">
        <v>3298</v>
      </c>
      <c r="E159" s="290" t="s">
        <v>3299</v>
      </c>
      <c r="F159" s="295" t="s">
        <v>3166</v>
      </c>
      <c r="G159" s="295" t="s">
        <v>3167</v>
      </c>
      <c r="H159" s="292" t="s">
        <v>1512</v>
      </c>
      <c r="I159" s="293" t="s">
        <v>1512</v>
      </c>
      <c r="J159" s="340" t="s">
        <v>3168</v>
      </c>
      <c r="K159" s="342" t="s">
        <v>3173</v>
      </c>
      <c r="L159" s="256">
        <f>CONTINUA!BV159</f>
        <v>0</v>
      </c>
      <c r="M159" s="256">
        <f>CONTINUA!BW159</f>
        <v>0</v>
      </c>
      <c r="N159" s="564"/>
      <c r="O159" s="565" t="s">
        <v>3362</v>
      </c>
      <c r="P159" s="566">
        <v>0</v>
      </c>
      <c r="Q159" s="319">
        <v>0</v>
      </c>
      <c r="R159" s="320"/>
      <c r="S159" s="319">
        <v>0</v>
      </c>
      <c r="T159" s="320"/>
      <c r="U159" s="319">
        <v>0</v>
      </c>
      <c r="V159" s="320">
        <v>0</v>
      </c>
      <c r="W159" s="319">
        <v>0</v>
      </c>
      <c r="X159" s="320"/>
      <c r="Y159" s="319">
        <v>0</v>
      </c>
      <c r="Z159" s="320"/>
      <c r="AA159" s="319">
        <v>0</v>
      </c>
      <c r="AB159" s="320">
        <v>0</v>
      </c>
      <c r="AC159" s="319">
        <v>0</v>
      </c>
      <c r="AD159" s="320"/>
      <c r="AE159" s="319">
        <v>0</v>
      </c>
      <c r="AF159" s="320"/>
      <c r="AG159" s="319">
        <v>0</v>
      </c>
      <c r="AH159" s="320">
        <v>0</v>
      </c>
      <c r="AI159" s="319">
        <v>0</v>
      </c>
      <c r="AJ159" s="320"/>
      <c r="AK159" s="319">
        <v>0</v>
      </c>
      <c r="AL159" s="320"/>
      <c r="AM159" s="319">
        <v>0</v>
      </c>
      <c r="AN159" s="320">
        <v>0</v>
      </c>
      <c r="AO159" s="319">
        <v>0</v>
      </c>
      <c r="AP159" s="320"/>
      <c r="AQ159" s="319">
        <v>0</v>
      </c>
      <c r="AR159" s="320"/>
      <c r="AS159" s="319">
        <v>0</v>
      </c>
      <c r="AT159" s="320">
        <v>0</v>
      </c>
      <c r="AU159" s="319">
        <v>0</v>
      </c>
      <c r="AV159" s="320"/>
      <c r="AW159" s="319">
        <v>0</v>
      </c>
      <c r="AX159" s="320"/>
      <c r="AY159" s="319">
        <v>0</v>
      </c>
      <c r="AZ159" s="320">
        <v>0</v>
      </c>
      <c r="BA159" s="319">
        <v>0</v>
      </c>
      <c r="BB159" s="320"/>
      <c r="BC159" s="319">
        <v>0</v>
      </c>
      <c r="BD159" s="320"/>
      <c r="BE159" s="319">
        <v>0</v>
      </c>
      <c r="BF159" s="320">
        <v>0</v>
      </c>
      <c r="BG159" s="319">
        <v>0</v>
      </c>
      <c r="BH159" s="320"/>
      <c r="BI159" s="319">
        <v>0</v>
      </c>
      <c r="BJ159" s="320"/>
      <c r="BK159" s="319">
        <v>0</v>
      </c>
      <c r="BL159" s="320">
        <v>0</v>
      </c>
      <c r="BM159" s="319">
        <v>0</v>
      </c>
      <c r="BN159" s="320"/>
      <c r="BO159" s="319">
        <v>0</v>
      </c>
      <c r="BP159" s="320"/>
      <c r="BQ159" s="319">
        <v>0</v>
      </c>
      <c r="BR159" s="320">
        <v>0</v>
      </c>
      <c r="BS159" s="319">
        <v>0</v>
      </c>
      <c r="BT159" s="320"/>
      <c r="BU159" s="319">
        <v>0</v>
      </c>
      <c r="BV159" s="320"/>
      <c r="BW159" s="319">
        <v>0</v>
      </c>
      <c r="BX159" s="320">
        <v>0</v>
      </c>
      <c r="BY159" s="319">
        <v>0</v>
      </c>
      <c r="BZ159" s="320"/>
      <c r="CA159" s="319">
        <v>0</v>
      </c>
      <c r="CB159" s="320"/>
      <c r="CC159" s="319">
        <v>0</v>
      </c>
      <c r="CD159" s="320">
        <v>0</v>
      </c>
      <c r="CE159" s="319">
        <v>0</v>
      </c>
      <c r="CF159" s="320"/>
      <c r="CG159" s="319">
        <v>0</v>
      </c>
      <c r="CH159" s="320"/>
      <c r="CI159" s="319">
        <v>0</v>
      </c>
      <c r="CJ159" s="320">
        <v>0</v>
      </c>
      <c r="CK159" s="319">
        <v>0</v>
      </c>
      <c r="CL159" s="320"/>
      <c r="CM159" s="319">
        <v>0</v>
      </c>
      <c r="CN159" s="320"/>
      <c r="CO159" s="319">
        <v>0</v>
      </c>
      <c r="CP159" s="320">
        <v>0</v>
      </c>
      <c r="CQ159" s="319">
        <v>0</v>
      </c>
      <c r="CR159" s="320"/>
      <c r="CS159" s="319">
        <v>0</v>
      </c>
      <c r="CT159" s="320"/>
      <c r="CU159" s="319">
        <v>0</v>
      </c>
      <c r="CV159" s="320">
        <v>0</v>
      </c>
      <c r="CW159" s="319">
        <v>0</v>
      </c>
      <c r="CX159" s="320"/>
      <c r="CY159" s="319">
        <v>0</v>
      </c>
      <c r="CZ159" s="320"/>
      <c r="DA159" s="319">
        <v>0</v>
      </c>
      <c r="DB159" s="320">
        <v>0</v>
      </c>
      <c r="DC159" s="319">
        <v>0</v>
      </c>
      <c r="DD159" s="320"/>
      <c r="DE159" s="319">
        <v>0</v>
      </c>
      <c r="DF159" s="320"/>
      <c r="DG159" s="319">
        <v>0</v>
      </c>
      <c r="DH159" s="320">
        <v>0</v>
      </c>
      <c r="DI159" s="319">
        <v>0</v>
      </c>
      <c r="DJ159" s="320"/>
      <c r="DK159" s="319">
        <v>0</v>
      </c>
      <c r="DL159" s="320"/>
      <c r="DM159" s="319">
        <v>0</v>
      </c>
      <c r="DN159" s="320">
        <v>0</v>
      </c>
      <c r="DO159" s="319">
        <v>0</v>
      </c>
      <c r="DP159" s="320"/>
      <c r="DQ159" s="319">
        <v>0</v>
      </c>
      <c r="DR159" s="320"/>
      <c r="DS159" s="319">
        <v>0</v>
      </c>
      <c r="DT159" s="320">
        <v>0</v>
      </c>
      <c r="DU159" s="319">
        <v>0</v>
      </c>
      <c r="DV159" s="320"/>
      <c r="DW159" s="319">
        <v>0</v>
      </c>
      <c r="DX159" s="320"/>
      <c r="DY159" s="319">
        <v>0</v>
      </c>
      <c r="DZ159" s="320">
        <v>0</v>
      </c>
      <c r="EA159" s="319">
        <v>0</v>
      </c>
      <c r="EB159" s="320"/>
      <c r="EC159" s="319">
        <v>0</v>
      </c>
      <c r="ED159" s="320"/>
      <c r="EE159" s="319">
        <v>0</v>
      </c>
      <c r="EF159" s="320">
        <v>0</v>
      </c>
      <c r="EG159" s="319">
        <v>0</v>
      </c>
      <c r="EH159" s="320"/>
      <c r="EI159" s="319">
        <v>0</v>
      </c>
      <c r="EJ159" s="320"/>
      <c r="EK159" s="319">
        <v>0</v>
      </c>
      <c r="EL159" s="320">
        <v>0</v>
      </c>
      <c r="EM159" s="319">
        <v>0</v>
      </c>
      <c r="EN159" s="320"/>
      <c r="EO159" s="319">
        <v>0</v>
      </c>
      <c r="EP159" s="320"/>
      <c r="EQ159" s="319">
        <v>0</v>
      </c>
      <c r="ER159" s="320">
        <v>0</v>
      </c>
      <c r="ES159" s="319">
        <v>0</v>
      </c>
      <c r="ET159" s="320"/>
      <c r="EU159" s="319">
        <v>0</v>
      </c>
      <c r="EV159" s="320"/>
      <c r="EW159" s="319">
        <v>0</v>
      </c>
      <c r="EX159" s="320">
        <v>0</v>
      </c>
      <c r="EY159" s="319">
        <v>0</v>
      </c>
      <c r="EZ159" s="320"/>
      <c r="FA159" s="319">
        <v>0</v>
      </c>
      <c r="FB159" s="320"/>
      <c r="FC159" s="319">
        <v>0</v>
      </c>
      <c r="FD159" s="320">
        <v>0</v>
      </c>
      <c r="FE159" s="319">
        <v>0</v>
      </c>
      <c r="FF159" s="320"/>
      <c r="FG159" s="319">
        <v>0</v>
      </c>
      <c r="FH159" s="320"/>
      <c r="FI159" s="319">
        <v>0</v>
      </c>
      <c r="FJ159" s="320">
        <v>0</v>
      </c>
      <c r="FK159" s="319">
        <v>0</v>
      </c>
      <c r="FL159" s="320"/>
      <c r="FM159" s="319">
        <v>0</v>
      </c>
      <c r="FN159" s="320"/>
      <c r="FO159" s="319">
        <v>0</v>
      </c>
      <c r="FP159" s="320">
        <v>0</v>
      </c>
      <c r="FQ159" s="319">
        <v>0</v>
      </c>
      <c r="FR159" s="320"/>
      <c r="FS159" s="319">
        <v>0</v>
      </c>
      <c r="FT159" s="320"/>
      <c r="FU159" s="319">
        <v>0</v>
      </c>
      <c r="FV159" s="320">
        <v>0</v>
      </c>
      <c r="FW159" s="319">
        <v>0</v>
      </c>
      <c r="FX159" s="320"/>
      <c r="FY159" s="319">
        <v>0</v>
      </c>
      <c r="FZ159" s="320"/>
      <c r="GA159" s="319">
        <v>0</v>
      </c>
      <c r="GB159" s="320">
        <v>0</v>
      </c>
      <c r="GC159" s="319">
        <v>0</v>
      </c>
      <c r="GD159" s="320"/>
      <c r="GE159" s="319">
        <v>0</v>
      </c>
      <c r="GF159" s="320"/>
      <c r="GG159" s="319">
        <v>0</v>
      </c>
      <c r="GH159" s="320">
        <v>0</v>
      </c>
      <c r="GI159" s="319">
        <v>0</v>
      </c>
      <c r="GJ159" s="320"/>
      <c r="GK159" s="319">
        <v>0</v>
      </c>
      <c r="GL159" s="320"/>
      <c r="GM159" s="319">
        <v>0</v>
      </c>
      <c r="GN159" s="320">
        <v>0</v>
      </c>
      <c r="GO159" s="319">
        <v>0</v>
      </c>
      <c r="GP159" s="320"/>
      <c r="GQ159" s="319">
        <v>0</v>
      </c>
      <c r="GR159" s="320"/>
      <c r="GS159" s="319">
        <v>0</v>
      </c>
      <c r="GT159" s="320">
        <v>0</v>
      </c>
      <c r="GU159" s="319">
        <v>0</v>
      </c>
      <c r="GV159" s="320"/>
      <c r="GW159" s="319">
        <v>0</v>
      </c>
      <c r="GX159" s="320"/>
      <c r="GY159" s="319">
        <v>0</v>
      </c>
      <c r="GZ159" s="320">
        <v>0</v>
      </c>
    </row>
    <row r="160" spans="1:208" s="89" customFormat="1" ht="22.5" customHeight="1" thickBot="1" x14ac:dyDescent="0.25">
      <c r="A160" s="296" t="s">
        <v>3296</v>
      </c>
      <c r="B160" s="297" t="s">
        <v>3297</v>
      </c>
      <c r="C160" s="298" t="s">
        <v>3170</v>
      </c>
      <c r="D160" s="299" t="s">
        <v>3298</v>
      </c>
      <c r="E160" s="299" t="s">
        <v>3299</v>
      </c>
      <c r="F160" s="300" t="s">
        <v>3166</v>
      </c>
      <c r="G160" s="300" t="s">
        <v>3167</v>
      </c>
      <c r="H160" s="301" t="s">
        <v>1512</v>
      </c>
      <c r="I160" s="302" t="s">
        <v>1512</v>
      </c>
      <c r="J160" s="340" t="s">
        <v>3168</v>
      </c>
      <c r="K160" s="343" t="s">
        <v>53</v>
      </c>
      <c r="L160" s="256">
        <f>CONTINUA!BV160</f>
        <v>0</v>
      </c>
      <c r="M160" s="256">
        <f>CONTINUA!BW160</f>
        <v>0</v>
      </c>
      <c r="N160" s="564"/>
      <c r="O160" s="565" t="s">
        <v>3362</v>
      </c>
      <c r="P160" s="566">
        <v>0</v>
      </c>
      <c r="Q160" s="319">
        <v>0</v>
      </c>
      <c r="R160" s="320"/>
      <c r="S160" s="319">
        <v>0</v>
      </c>
      <c r="T160" s="320"/>
      <c r="U160" s="321">
        <v>0</v>
      </c>
      <c r="V160" s="322">
        <v>0</v>
      </c>
      <c r="W160" s="319">
        <v>0</v>
      </c>
      <c r="X160" s="320"/>
      <c r="Y160" s="319">
        <v>0</v>
      </c>
      <c r="Z160" s="320"/>
      <c r="AA160" s="321">
        <v>0</v>
      </c>
      <c r="AB160" s="322">
        <v>0</v>
      </c>
      <c r="AC160" s="319">
        <v>0</v>
      </c>
      <c r="AD160" s="320"/>
      <c r="AE160" s="319">
        <v>0</v>
      </c>
      <c r="AF160" s="320"/>
      <c r="AG160" s="321">
        <v>0</v>
      </c>
      <c r="AH160" s="322">
        <v>0</v>
      </c>
      <c r="AI160" s="319">
        <v>0</v>
      </c>
      <c r="AJ160" s="320"/>
      <c r="AK160" s="319">
        <v>0</v>
      </c>
      <c r="AL160" s="320"/>
      <c r="AM160" s="321">
        <v>0</v>
      </c>
      <c r="AN160" s="322">
        <v>0</v>
      </c>
      <c r="AO160" s="319">
        <v>0</v>
      </c>
      <c r="AP160" s="320"/>
      <c r="AQ160" s="319">
        <v>0</v>
      </c>
      <c r="AR160" s="320"/>
      <c r="AS160" s="321">
        <v>0</v>
      </c>
      <c r="AT160" s="322">
        <v>0</v>
      </c>
      <c r="AU160" s="319">
        <v>0</v>
      </c>
      <c r="AV160" s="320"/>
      <c r="AW160" s="319">
        <v>0</v>
      </c>
      <c r="AX160" s="320"/>
      <c r="AY160" s="321">
        <v>0</v>
      </c>
      <c r="AZ160" s="322">
        <v>0</v>
      </c>
      <c r="BA160" s="319">
        <v>0</v>
      </c>
      <c r="BB160" s="320"/>
      <c r="BC160" s="319">
        <v>0</v>
      </c>
      <c r="BD160" s="320"/>
      <c r="BE160" s="321">
        <v>0</v>
      </c>
      <c r="BF160" s="322">
        <v>0</v>
      </c>
      <c r="BG160" s="319">
        <v>0</v>
      </c>
      <c r="BH160" s="320"/>
      <c r="BI160" s="319">
        <v>0</v>
      </c>
      <c r="BJ160" s="320"/>
      <c r="BK160" s="321">
        <v>0</v>
      </c>
      <c r="BL160" s="322">
        <v>0</v>
      </c>
      <c r="BM160" s="319">
        <v>0</v>
      </c>
      <c r="BN160" s="320"/>
      <c r="BO160" s="319">
        <v>0</v>
      </c>
      <c r="BP160" s="320"/>
      <c r="BQ160" s="321">
        <v>0</v>
      </c>
      <c r="BR160" s="322">
        <v>0</v>
      </c>
      <c r="BS160" s="319">
        <v>0</v>
      </c>
      <c r="BT160" s="320"/>
      <c r="BU160" s="319">
        <v>0</v>
      </c>
      <c r="BV160" s="320"/>
      <c r="BW160" s="321">
        <v>0</v>
      </c>
      <c r="BX160" s="322">
        <v>0</v>
      </c>
      <c r="BY160" s="319">
        <v>0</v>
      </c>
      <c r="BZ160" s="320"/>
      <c r="CA160" s="319">
        <v>0</v>
      </c>
      <c r="CB160" s="320"/>
      <c r="CC160" s="321">
        <v>0</v>
      </c>
      <c r="CD160" s="322">
        <v>0</v>
      </c>
      <c r="CE160" s="319">
        <v>0</v>
      </c>
      <c r="CF160" s="320"/>
      <c r="CG160" s="319">
        <v>0</v>
      </c>
      <c r="CH160" s="320"/>
      <c r="CI160" s="321">
        <v>0</v>
      </c>
      <c r="CJ160" s="322">
        <v>0</v>
      </c>
      <c r="CK160" s="319">
        <v>0</v>
      </c>
      <c r="CL160" s="320"/>
      <c r="CM160" s="319">
        <v>0</v>
      </c>
      <c r="CN160" s="320"/>
      <c r="CO160" s="321">
        <v>0</v>
      </c>
      <c r="CP160" s="322">
        <v>0</v>
      </c>
      <c r="CQ160" s="319">
        <v>0</v>
      </c>
      <c r="CR160" s="320"/>
      <c r="CS160" s="319">
        <v>0</v>
      </c>
      <c r="CT160" s="320"/>
      <c r="CU160" s="321">
        <v>0</v>
      </c>
      <c r="CV160" s="322">
        <v>0</v>
      </c>
      <c r="CW160" s="319">
        <v>0</v>
      </c>
      <c r="CX160" s="320"/>
      <c r="CY160" s="319">
        <v>0</v>
      </c>
      <c r="CZ160" s="320"/>
      <c r="DA160" s="321">
        <v>0</v>
      </c>
      <c r="DB160" s="322">
        <v>0</v>
      </c>
      <c r="DC160" s="319">
        <v>0</v>
      </c>
      <c r="DD160" s="320"/>
      <c r="DE160" s="319">
        <v>0</v>
      </c>
      <c r="DF160" s="320"/>
      <c r="DG160" s="321">
        <v>0</v>
      </c>
      <c r="DH160" s="322">
        <v>0</v>
      </c>
      <c r="DI160" s="319">
        <v>0</v>
      </c>
      <c r="DJ160" s="320"/>
      <c r="DK160" s="319">
        <v>0</v>
      </c>
      <c r="DL160" s="320"/>
      <c r="DM160" s="321">
        <v>0</v>
      </c>
      <c r="DN160" s="322">
        <v>0</v>
      </c>
      <c r="DO160" s="319">
        <v>0</v>
      </c>
      <c r="DP160" s="320"/>
      <c r="DQ160" s="319">
        <v>0</v>
      </c>
      <c r="DR160" s="320"/>
      <c r="DS160" s="321">
        <v>0</v>
      </c>
      <c r="DT160" s="322">
        <v>0</v>
      </c>
      <c r="DU160" s="319">
        <v>0</v>
      </c>
      <c r="DV160" s="320"/>
      <c r="DW160" s="319">
        <v>0</v>
      </c>
      <c r="DX160" s="320"/>
      <c r="DY160" s="321">
        <v>0</v>
      </c>
      <c r="DZ160" s="322">
        <v>0</v>
      </c>
      <c r="EA160" s="319">
        <v>0</v>
      </c>
      <c r="EB160" s="320"/>
      <c r="EC160" s="319">
        <v>0</v>
      </c>
      <c r="ED160" s="320"/>
      <c r="EE160" s="321">
        <v>0</v>
      </c>
      <c r="EF160" s="322">
        <v>0</v>
      </c>
      <c r="EG160" s="319">
        <v>0</v>
      </c>
      <c r="EH160" s="320"/>
      <c r="EI160" s="319">
        <v>0</v>
      </c>
      <c r="EJ160" s="320"/>
      <c r="EK160" s="321">
        <v>0</v>
      </c>
      <c r="EL160" s="322">
        <v>0</v>
      </c>
      <c r="EM160" s="319">
        <v>0</v>
      </c>
      <c r="EN160" s="320"/>
      <c r="EO160" s="319">
        <v>0</v>
      </c>
      <c r="EP160" s="320"/>
      <c r="EQ160" s="321">
        <v>0</v>
      </c>
      <c r="ER160" s="322">
        <v>0</v>
      </c>
      <c r="ES160" s="319">
        <v>0</v>
      </c>
      <c r="ET160" s="320"/>
      <c r="EU160" s="319">
        <v>0</v>
      </c>
      <c r="EV160" s="320"/>
      <c r="EW160" s="321">
        <v>0</v>
      </c>
      <c r="EX160" s="322">
        <v>0</v>
      </c>
      <c r="EY160" s="319">
        <v>0</v>
      </c>
      <c r="EZ160" s="320"/>
      <c r="FA160" s="319">
        <v>0</v>
      </c>
      <c r="FB160" s="320"/>
      <c r="FC160" s="321">
        <v>0</v>
      </c>
      <c r="FD160" s="322">
        <v>0</v>
      </c>
      <c r="FE160" s="319">
        <v>0</v>
      </c>
      <c r="FF160" s="320"/>
      <c r="FG160" s="319">
        <v>0</v>
      </c>
      <c r="FH160" s="320"/>
      <c r="FI160" s="321">
        <v>0</v>
      </c>
      <c r="FJ160" s="322">
        <v>0</v>
      </c>
      <c r="FK160" s="319">
        <v>0</v>
      </c>
      <c r="FL160" s="320"/>
      <c r="FM160" s="319">
        <v>0</v>
      </c>
      <c r="FN160" s="320"/>
      <c r="FO160" s="321">
        <v>0</v>
      </c>
      <c r="FP160" s="322">
        <v>0</v>
      </c>
      <c r="FQ160" s="319">
        <v>0</v>
      </c>
      <c r="FR160" s="320"/>
      <c r="FS160" s="319">
        <v>0</v>
      </c>
      <c r="FT160" s="320"/>
      <c r="FU160" s="321">
        <v>0</v>
      </c>
      <c r="FV160" s="322">
        <v>0</v>
      </c>
      <c r="FW160" s="319">
        <v>0</v>
      </c>
      <c r="FX160" s="320"/>
      <c r="FY160" s="319">
        <v>0</v>
      </c>
      <c r="FZ160" s="320"/>
      <c r="GA160" s="321">
        <v>0</v>
      </c>
      <c r="GB160" s="322">
        <v>0</v>
      </c>
      <c r="GC160" s="319">
        <v>0</v>
      </c>
      <c r="GD160" s="320"/>
      <c r="GE160" s="319">
        <v>0</v>
      </c>
      <c r="GF160" s="320"/>
      <c r="GG160" s="321">
        <v>0</v>
      </c>
      <c r="GH160" s="322">
        <v>0</v>
      </c>
      <c r="GI160" s="319">
        <v>0</v>
      </c>
      <c r="GJ160" s="320"/>
      <c r="GK160" s="319">
        <v>0</v>
      </c>
      <c r="GL160" s="320"/>
      <c r="GM160" s="321">
        <v>0</v>
      </c>
      <c r="GN160" s="322">
        <v>0</v>
      </c>
      <c r="GO160" s="319">
        <v>0</v>
      </c>
      <c r="GP160" s="320"/>
      <c r="GQ160" s="319">
        <v>0</v>
      </c>
      <c r="GR160" s="320"/>
      <c r="GS160" s="321">
        <v>0</v>
      </c>
      <c r="GT160" s="322">
        <v>0</v>
      </c>
      <c r="GU160" s="319">
        <v>0</v>
      </c>
      <c r="GV160" s="320"/>
      <c r="GW160" s="319">
        <v>0</v>
      </c>
      <c r="GX160" s="320"/>
      <c r="GY160" s="321">
        <v>0</v>
      </c>
      <c r="GZ160" s="322">
        <v>0</v>
      </c>
    </row>
    <row r="161" spans="1:208" s="89" customFormat="1" ht="22.5" customHeight="1" x14ac:dyDescent="0.2">
      <c r="A161" t="s">
        <v>3300</v>
      </c>
      <c r="B161" s="429" t="s">
        <v>3301</v>
      </c>
      <c r="C161" s="430">
        <v>1</v>
      </c>
      <c r="D161" s="431" t="s">
        <v>3302</v>
      </c>
      <c r="E161" s="431" t="s">
        <v>3303</v>
      </c>
      <c r="F161" s="432" t="s">
        <v>3166</v>
      </c>
      <c r="G161" s="432" t="s">
        <v>3167</v>
      </c>
      <c r="H161" s="270" t="s">
        <v>1513</v>
      </c>
      <c r="I161" s="271" t="s">
        <v>1513</v>
      </c>
      <c r="J161" s="328" t="s">
        <v>3168</v>
      </c>
      <c r="K161" s="329" t="s">
        <v>3169</v>
      </c>
      <c r="L161" s="256">
        <f>CONTINUA!BV161</f>
        <v>0</v>
      </c>
      <c r="M161" s="256">
        <f>CONTINUA!BW161</f>
        <v>0</v>
      </c>
      <c r="N161" s="564"/>
      <c r="O161" s="565" t="s">
        <v>3363</v>
      </c>
      <c r="P161" s="566">
        <v>0</v>
      </c>
      <c r="Q161" s="319">
        <v>0</v>
      </c>
      <c r="R161" s="320"/>
      <c r="S161" s="319">
        <v>0</v>
      </c>
      <c r="T161" s="320"/>
      <c r="U161" s="321">
        <v>0</v>
      </c>
      <c r="V161" s="322">
        <v>0</v>
      </c>
      <c r="W161" s="319">
        <v>0</v>
      </c>
      <c r="X161" s="320"/>
      <c r="Y161" s="319">
        <v>0</v>
      </c>
      <c r="Z161" s="320"/>
      <c r="AA161" s="321">
        <v>0</v>
      </c>
      <c r="AB161" s="322">
        <v>0</v>
      </c>
      <c r="AC161" s="319">
        <v>0</v>
      </c>
      <c r="AD161" s="320"/>
      <c r="AE161" s="319">
        <v>0</v>
      </c>
      <c r="AF161" s="320"/>
      <c r="AG161" s="321">
        <v>0</v>
      </c>
      <c r="AH161" s="322">
        <v>0</v>
      </c>
      <c r="AI161" s="319">
        <v>0</v>
      </c>
      <c r="AJ161" s="320"/>
      <c r="AK161" s="319">
        <v>0</v>
      </c>
      <c r="AL161" s="320"/>
      <c r="AM161" s="321">
        <v>0</v>
      </c>
      <c r="AN161" s="322">
        <v>0</v>
      </c>
      <c r="AO161" s="319">
        <v>0</v>
      </c>
      <c r="AP161" s="320"/>
      <c r="AQ161" s="319">
        <v>0</v>
      </c>
      <c r="AR161" s="320"/>
      <c r="AS161" s="321">
        <v>0</v>
      </c>
      <c r="AT161" s="322">
        <v>0</v>
      </c>
      <c r="AU161" s="319">
        <v>0</v>
      </c>
      <c r="AV161" s="320"/>
      <c r="AW161" s="319">
        <v>0</v>
      </c>
      <c r="AX161" s="320"/>
      <c r="AY161" s="321">
        <v>0</v>
      </c>
      <c r="AZ161" s="322">
        <v>0</v>
      </c>
      <c r="BA161" s="319">
        <v>0</v>
      </c>
      <c r="BB161" s="320"/>
      <c r="BC161" s="319">
        <v>0</v>
      </c>
      <c r="BD161" s="320"/>
      <c r="BE161" s="321">
        <v>0</v>
      </c>
      <c r="BF161" s="322">
        <v>0</v>
      </c>
      <c r="BG161" s="319">
        <v>0</v>
      </c>
      <c r="BH161" s="320"/>
      <c r="BI161" s="319">
        <v>0</v>
      </c>
      <c r="BJ161" s="320"/>
      <c r="BK161" s="321">
        <v>0</v>
      </c>
      <c r="BL161" s="322">
        <v>0</v>
      </c>
      <c r="BM161" s="319">
        <v>0</v>
      </c>
      <c r="BN161" s="320"/>
      <c r="BO161" s="319">
        <v>0</v>
      </c>
      <c r="BP161" s="320"/>
      <c r="BQ161" s="321">
        <v>0</v>
      </c>
      <c r="BR161" s="322">
        <v>0</v>
      </c>
      <c r="BS161" s="319">
        <v>0</v>
      </c>
      <c r="BT161" s="320"/>
      <c r="BU161" s="319">
        <v>0</v>
      </c>
      <c r="BV161" s="320"/>
      <c r="BW161" s="321">
        <v>0</v>
      </c>
      <c r="BX161" s="322">
        <v>0</v>
      </c>
      <c r="BY161" s="319">
        <v>0</v>
      </c>
      <c r="BZ161" s="320"/>
      <c r="CA161" s="319">
        <v>0</v>
      </c>
      <c r="CB161" s="320"/>
      <c r="CC161" s="321">
        <v>0</v>
      </c>
      <c r="CD161" s="322">
        <v>0</v>
      </c>
      <c r="CE161" s="319">
        <v>0</v>
      </c>
      <c r="CF161" s="320"/>
      <c r="CG161" s="319">
        <v>0</v>
      </c>
      <c r="CH161" s="320"/>
      <c r="CI161" s="321">
        <v>0</v>
      </c>
      <c r="CJ161" s="322">
        <v>0</v>
      </c>
      <c r="CK161" s="319">
        <v>0</v>
      </c>
      <c r="CL161" s="320"/>
      <c r="CM161" s="319">
        <v>0</v>
      </c>
      <c r="CN161" s="320"/>
      <c r="CO161" s="321">
        <v>0</v>
      </c>
      <c r="CP161" s="322">
        <v>0</v>
      </c>
      <c r="CQ161" s="319">
        <v>0</v>
      </c>
      <c r="CR161" s="320"/>
      <c r="CS161" s="319">
        <v>0</v>
      </c>
      <c r="CT161" s="320"/>
      <c r="CU161" s="321">
        <v>0</v>
      </c>
      <c r="CV161" s="322">
        <v>0</v>
      </c>
      <c r="CW161" s="319">
        <v>0</v>
      </c>
      <c r="CX161" s="320"/>
      <c r="CY161" s="319">
        <v>0</v>
      </c>
      <c r="CZ161" s="320"/>
      <c r="DA161" s="321">
        <v>0</v>
      </c>
      <c r="DB161" s="322">
        <v>0</v>
      </c>
      <c r="DC161" s="319">
        <v>0</v>
      </c>
      <c r="DD161" s="320"/>
      <c r="DE161" s="319">
        <v>0</v>
      </c>
      <c r="DF161" s="320"/>
      <c r="DG161" s="321">
        <v>0</v>
      </c>
      <c r="DH161" s="322">
        <v>0</v>
      </c>
      <c r="DI161" s="319">
        <v>0</v>
      </c>
      <c r="DJ161" s="320"/>
      <c r="DK161" s="319">
        <v>0</v>
      </c>
      <c r="DL161" s="320"/>
      <c r="DM161" s="321">
        <v>0</v>
      </c>
      <c r="DN161" s="322">
        <v>0</v>
      </c>
      <c r="DO161" s="319">
        <v>0</v>
      </c>
      <c r="DP161" s="320"/>
      <c r="DQ161" s="319">
        <v>0</v>
      </c>
      <c r="DR161" s="320"/>
      <c r="DS161" s="321">
        <v>0</v>
      </c>
      <c r="DT161" s="322">
        <v>0</v>
      </c>
      <c r="DU161" s="319">
        <v>0</v>
      </c>
      <c r="DV161" s="320"/>
      <c r="DW161" s="319">
        <v>0</v>
      </c>
      <c r="DX161" s="320"/>
      <c r="DY161" s="321">
        <v>0</v>
      </c>
      <c r="DZ161" s="322">
        <v>0</v>
      </c>
      <c r="EA161" s="319">
        <v>0</v>
      </c>
      <c r="EB161" s="320"/>
      <c r="EC161" s="319">
        <v>0</v>
      </c>
      <c r="ED161" s="320"/>
      <c r="EE161" s="321">
        <v>0</v>
      </c>
      <c r="EF161" s="322">
        <v>0</v>
      </c>
      <c r="EG161" s="319">
        <v>0</v>
      </c>
      <c r="EH161" s="320"/>
      <c r="EI161" s="319">
        <v>0</v>
      </c>
      <c r="EJ161" s="320"/>
      <c r="EK161" s="321">
        <v>0</v>
      </c>
      <c r="EL161" s="322">
        <v>0</v>
      </c>
      <c r="EM161" s="319">
        <v>0</v>
      </c>
      <c r="EN161" s="320"/>
      <c r="EO161" s="319">
        <v>0</v>
      </c>
      <c r="EP161" s="320"/>
      <c r="EQ161" s="321">
        <v>0</v>
      </c>
      <c r="ER161" s="322">
        <v>0</v>
      </c>
      <c r="ES161" s="319">
        <v>0</v>
      </c>
      <c r="ET161" s="320"/>
      <c r="EU161" s="319">
        <v>0</v>
      </c>
      <c r="EV161" s="320"/>
      <c r="EW161" s="321">
        <v>0</v>
      </c>
      <c r="EX161" s="322">
        <v>0</v>
      </c>
      <c r="EY161" s="319">
        <v>0</v>
      </c>
      <c r="EZ161" s="320"/>
      <c r="FA161" s="319">
        <v>0</v>
      </c>
      <c r="FB161" s="320"/>
      <c r="FC161" s="321">
        <v>0</v>
      </c>
      <c r="FD161" s="322">
        <v>0</v>
      </c>
      <c r="FE161" s="319">
        <v>0</v>
      </c>
      <c r="FF161" s="320"/>
      <c r="FG161" s="319">
        <v>0</v>
      </c>
      <c r="FH161" s="320"/>
      <c r="FI161" s="321">
        <v>0</v>
      </c>
      <c r="FJ161" s="322">
        <v>0</v>
      </c>
      <c r="FK161" s="319">
        <v>0</v>
      </c>
      <c r="FL161" s="320"/>
      <c r="FM161" s="319">
        <v>0</v>
      </c>
      <c r="FN161" s="320"/>
      <c r="FO161" s="321">
        <v>0</v>
      </c>
      <c r="FP161" s="322">
        <v>0</v>
      </c>
      <c r="FQ161" s="319">
        <v>0</v>
      </c>
      <c r="FR161" s="320"/>
      <c r="FS161" s="319">
        <v>0</v>
      </c>
      <c r="FT161" s="320"/>
      <c r="FU161" s="321">
        <v>0</v>
      </c>
      <c r="FV161" s="322">
        <v>0</v>
      </c>
      <c r="FW161" s="319">
        <v>0</v>
      </c>
      <c r="FX161" s="320"/>
      <c r="FY161" s="319">
        <v>0</v>
      </c>
      <c r="FZ161" s="320"/>
      <c r="GA161" s="321">
        <v>0</v>
      </c>
      <c r="GB161" s="322">
        <v>0</v>
      </c>
      <c r="GC161" s="319">
        <v>0</v>
      </c>
      <c r="GD161" s="320"/>
      <c r="GE161" s="319">
        <v>0</v>
      </c>
      <c r="GF161" s="320"/>
      <c r="GG161" s="321">
        <v>0</v>
      </c>
      <c r="GH161" s="322">
        <v>0</v>
      </c>
      <c r="GI161" s="319">
        <v>0</v>
      </c>
      <c r="GJ161" s="320"/>
      <c r="GK161" s="319">
        <v>0</v>
      </c>
      <c r="GL161" s="320"/>
      <c r="GM161" s="321">
        <v>0</v>
      </c>
      <c r="GN161" s="322">
        <v>0</v>
      </c>
      <c r="GO161" s="319">
        <v>0</v>
      </c>
      <c r="GP161" s="320"/>
      <c r="GQ161" s="319">
        <v>0</v>
      </c>
      <c r="GR161" s="320"/>
      <c r="GS161" s="321">
        <v>0</v>
      </c>
      <c r="GT161" s="322">
        <v>0</v>
      </c>
      <c r="GU161" s="319">
        <v>0</v>
      </c>
      <c r="GV161" s="320"/>
      <c r="GW161" s="319">
        <v>0</v>
      </c>
      <c r="GX161" s="320"/>
      <c r="GY161" s="321">
        <v>0</v>
      </c>
      <c r="GZ161" s="322">
        <v>0</v>
      </c>
    </row>
    <row r="162" spans="1:208" s="89" customFormat="1" ht="22.5" customHeight="1" x14ac:dyDescent="0.2">
      <c r="A162" s="287" t="s">
        <v>3300</v>
      </c>
      <c r="B162" s="288" t="s">
        <v>3301</v>
      </c>
      <c r="C162" s="289" t="s">
        <v>3170</v>
      </c>
      <c r="D162" s="290" t="s">
        <v>3302</v>
      </c>
      <c r="E162" s="290" t="s">
        <v>3303</v>
      </c>
      <c r="F162" s="291" t="s">
        <v>3166</v>
      </c>
      <c r="G162" s="291" t="s">
        <v>3167</v>
      </c>
      <c r="H162" s="292" t="s">
        <v>1513</v>
      </c>
      <c r="I162" s="293" t="s">
        <v>1513</v>
      </c>
      <c r="J162" s="340" t="s">
        <v>3168</v>
      </c>
      <c r="K162" s="340" t="s">
        <v>3171</v>
      </c>
      <c r="L162" s="256">
        <f>CONTINUA!BV162</f>
        <v>12</v>
      </c>
      <c r="M162" s="256">
        <f>CONTINUA!BW162</f>
        <v>0</v>
      </c>
      <c r="N162" s="564"/>
      <c r="O162" s="565" t="s">
        <v>3363</v>
      </c>
      <c r="P162" s="566">
        <v>0</v>
      </c>
      <c r="Q162" s="319">
        <v>45</v>
      </c>
      <c r="R162" s="320"/>
      <c r="S162" s="319">
        <v>0</v>
      </c>
      <c r="T162" s="320"/>
      <c r="U162" s="319">
        <v>0</v>
      </c>
      <c r="V162" s="320">
        <v>0</v>
      </c>
      <c r="W162" s="319">
        <v>45</v>
      </c>
      <c r="X162" s="320"/>
      <c r="Y162" s="319">
        <v>0</v>
      </c>
      <c r="Z162" s="320"/>
      <c r="AA162" s="319">
        <v>0</v>
      </c>
      <c r="AB162" s="320">
        <v>0</v>
      </c>
      <c r="AC162" s="319">
        <v>45</v>
      </c>
      <c r="AD162" s="320"/>
      <c r="AE162" s="319">
        <v>0</v>
      </c>
      <c r="AF162" s="320"/>
      <c r="AG162" s="319">
        <v>0</v>
      </c>
      <c r="AH162" s="320">
        <v>0</v>
      </c>
      <c r="AI162" s="319">
        <v>45</v>
      </c>
      <c r="AJ162" s="320"/>
      <c r="AK162" s="319">
        <v>0</v>
      </c>
      <c r="AL162" s="320"/>
      <c r="AM162" s="319">
        <v>0</v>
      </c>
      <c r="AN162" s="320">
        <v>0</v>
      </c>
      <c r="AO162" s="319">
        <v>45</v>
      </c>
      <c r="AP162" s="320"/>
      <c r="AQ162" s="319">
        <v>0</v>
      </c>
      <c r="AR162" s="320"/>
      <c r="AS162" s="319">
        <v>0</v>
      </c>
      <c r="AT162" s="320">
        <v>0</v>
      </c>
      <c r="AU162" s="319">
        <v>45</v>
      </c>
      <c r="AV162" s="320"/>
      <c r="AW162" s="319">
        <v>0</v>
      </c>
      <c r="AX162" s="320"/>
      <c r="AY162" s="319">
        <v>0</v>
      </c>
      <c r="AZ162" s="320">
        <v>0</v>
      </c>
      <c r="BA162" s="319">
        <v>45</v>
      </c>
      <c r="BB162" s="320"/>
      <c r="BC162" s="319">
        <v>0</v>
      </c>
      <c r="BD162" s="320"/>
      <c r="BE162" s="319">
        <v>0</v>
      </c>
      <c r="BF162" s="320">
        <v>0</v>
      </c>
      <c r="BG162" s="319">
        <v>45</v>
      </c>
      <c r="BH162" s="320"/>
      <c r="BI162" s="319">
        <v>0</v>
      </c>
      <c r="BJ162" s="320"/>
      <c r="BK162" s="319">
        <v>0</v>
      </c>
      <c r="BL162" s="320">
        <v>0</v>
      </c>
      <c r="BM162" s="319">
        <v>45</v>
      </c>
      <c r="BN162" s="320"/>
      <c r="BO162" s="319">
        <v>0</v>
      </c>
      <c r="BP162" s="320"/>
      <c r="BQ162" s="319">
        <v>0</v>
      </c>
      <c r="BR162" s="320">
        <v>0</v>
      </c>
      <c r="BS162" s="319">
        <v>45</v>
      </c>
      <c r="BT162" s="320"/>
      <c r="BU162" s="319">
        <v>0</v>
      </c>
      <c r="BV162" s="320"/>
      <c r="BW162" s="319">
        <v>0</v>
      </c>
      <c r="BX162" s="320">
        <v>0</v>
      </c>
      <c r="BY162" s="319">
        <v>45</v>
      </c>
      <c r="BZ162" s="320"/>
      <c r="CA162" s="319">
        <v>0</v>
      </c>
      <c r="CB162" s="320"/>
      <c r="CC162" s="319">
        <v>0</v>
      </c>
      <c r="CD162" s="320">
        <v>0</v>
      </c>
      <c r="CE162" s="319">
        <v>45</v>
      </c>
      <c r="CF162" s="320"/>
      <c r="CG162" s="319">
        <v>0</v>
      </c>
      <c r="CH162" s="320"/>
      <c r="CI162" s="319">
        <v>0</v>
      </c>
      <c r="CJ162" s="320">
        <v>0</v>
      </c>
      <c r="CK162" s="319">
        <v>45</v>
      </c>
      <c r="CL162" s="320"/>
      <c r="CM162" s="319">
        <v>0</v>
      </c>
      <c r="CN162" s="320"/>
      <c r="CO162" s="319">
        <v>0</v>
      </c>
      <c r="CP162" s="320">
        <v>0</v>
      </c>
      <c r="CQ162" s="319">
        <v>45</v>
      </c>
      <c r="CR162" s="320"/>
      <c r="CS162" s="319">
        <v>0</v>
      </c>
      <c r="CT162" s="320"/>
      <c r="CU162" s="319">
        <v>0</v>
      </c>
      <c r="CV162" s="320">
        <v>0</v>
      </c>
      <c r="CW162" s="319">
        <v>45</v>
      </c>
      <c r="CX162" s="320"/>
      <c r="CY162" s="319">
        <v>0</v>
      </c>
      <c r="CZ162" s="320"/>
      <c r="DA162" s="319">
        <v>0</v>
      </c>
      <c r="DB162" s="320">
        <v>0</v>
      </c>
      <c r="DC162" s="319">
        <v>45</v>
      </c>
      <c r="DD162" s="320"/>
      <c r="DE162" s="319">
        <v>0</v>
      </c>
      <c r="DF162" s="320"/>
      <c r="DG162" s="319">
        <v>0</v>
      </c>
      <c r="DH162" s="320">
        <v>0</v>
      </c>
      <c r="DI162" s="319">
        <v>45</v>
      </c>
      <c r="DJ162" s="320"/>
      <c r="DK162" s="319">
        <v>0</v>
      </c>
      <c r="DL162" s="320"/>
      <c r="DM162" s="319">
        <v>0</v>
      </c>
      <c r="DN162" s="320">
        <v>0</v>
      </c>
      <c r="DO162" s="319">
        <v>45</v>
      </c>
      <c r="DP162" s="320"/>
      <c r="DQ162" s="319">
        <v>0</v>
      </c>
      <c r="DR162" s="320"/>
      <c r="DS162" s="319">
        <v>0</v>
      </c>
      <c r="DT162" s="320">
        <v>0</v>
      </c>
      <c r="DU162" s="319">
        <v>45</v>
      </c>
      <c r="DV162" s="320"/>
      <c r="DW162" s="319">
        <v>0</v>
      </c>
      <c r="DX162" s="320"/>
      <c r="DY162" s="319">
        <v>0</v>
      </c>
      <c r="DZ162" s="320">
        <v>0</v>
      </c>
      <c r="EA162" s="319">
        <v>45</v>
      </c>
      <c r="EB162" s="320"/>
      <c r="EC162" s="319">
        <v>0</v>
      </c>
      <c r="ED162" s="320"/>
      <c r="EE162" s="319">
        <v>0</v>
      </c>
      <c r="EF162" s="320">
        <v>0</v>
      </c>
      <c r="EG162" s="319">
        <v>45</v>
      </c>
      <c r="EH162" s="320"/>
      <c r="EI162" s="319">
        <v>0</v>
      </c>
      <c r="EJ162" s="320"/>
      <c r="EK162" s="319">
        <v>0</v>
      </c>
      <c r="EL162" s="320">
        <v>0</v>
      </c>
      <c r="EM162" s="319">
        <v>45</v>
      </c>
      <c r="EN162" s="320"/>
      <c r="EO162" s="319">
        <v>0</v>
      </c>
      <c r="EP162" s="320"/>
      <c r="EQ162" s="319">
        <v>0</v>
      </c>
      <c r="ER162" s="320">
        <v>0</v>
      </c>
      <c r="ES162" s="319">
        <v>45</v>
      </c>
      <c r="ET162" s="320"/>
      <c r="EU162" s="319">
        <v>0</v>
      </c>
      <c r="EV162" s="320"/>
      <c r="EW162" s="319">
        <v>0</v>
      </c>
      <c r="EX162" s="320">
        <v>0</v>
      </c>
      <c r="EY162" s="319">
        <v>45</v>
      </c>
      <c r="EZ162" s="320"/>
      <c r="FA162" s="319">
        <v>0</v>
      </c>
      <c r="FB162" s="320"/>
      <c r="FC162" s="319">
        <v>0</v>
      </c>
      <c r="FD162" s="320">
        <v>0</v>
      </c>
      <c r="FE162" s="319">
        <v>45</v>
      </c>
      <c r="FF162" s="320"/>
      <c r="FG162" s="319">
        <v>0</v>
      </c>
      <c r="FH162" s="320"/>
      <c r="FI162" s="319">
        <v>0</v>
      </c>
      <c r="FJ162" s="320">
        <v>0</v>
      </c>
      <c r="FK162" s="319">
        <v>45</v>
      </c>
      <c r="FL162" s="320"/>
      <c r="FM162" s="319">
        <v>0</v>
      </c>
      <c r="FN162" s="320"/>
      <c r="FO162" s="319">
        <v>0</v>
      </c>
      <c r="FP162" s="320">
        <v>0</v>
      </c>
      <c r="FQ162" s="319">
        <v>45</v>
      </c>
      <c r="FR162" s="320"/>
      <c r="FS162" s="319">
        <v>0</v>
      </c>
      <c r="FT162" s="320"/>
      <c r="FU162" s="319">
        <v>0</v>
      </c>
      <c r="FV162" s="320">
        <v>0</v>
      </c>
      <c r="FW162" s="319">
        <v>45</v>
      </c>
      <c r="FX162" s="320"/>
      <c r="FY162" s="319">
        <v>0</v>
      </c>
      <c r="FZ162" s="320"/>
      <c r="GA162" s="319">
        <v>0</v>
      </c>
      <c r="GB162" s="320">
        <v>0</v>
      </c>
      <c r="GC162" s="319">
        <v>45</v>
      </c>
      <c r="GD162" s="320"/>
      <c r="GE162" s="319">
        <v>0</v>
      </c>
      <c r="GF162" s="320"/>
      <c r="GG162" s="319">
        <v>0</v>
      </c>
      <c r="GH162" s="320">
        <v>0</v>
      </c>
      <c r="GI162" s="319">
        <v>45</v>
      </c>
      <c r="GJ162" s="320"/>
      <c r="GK162" s="319">
        <v>0</v>
      </c>
      <c r="GL162" s="320"/>
      <c r="GM162" s="319">
        <v>0</v>
      </c>
      <c r="GN162" s="320">
        <v>0</v>
      </c>
      <c r="GO162" s="319">
        <v>45</v>
      </c>
      <c r="GP162" s="320"/>
      <c r="GQ162" s="319">
        <v>0</v>
      </c>
      <c r="GR162" s="320"/>
      <c r="GS162" s="319">
        <v>0</v>
      </c>
      <c r="GT162" s="320">
        <v>0</v>
      </c>
      <c r="GU162" s="319">
        <v>45</v>
      </c>
      <c r="GV162" s="320"/>
      <c r="GW162" s="319">
        <v>0</v>
      </c>
      <c r="GX162" s="320"/>
      <c r="GY162" s="319">
        <v>0</v>
      </c>
      <c r="GZ162" s="320">
        <v>0</v>
      </c>
    </row>
    <row r="163" spans="1:208" s="89" customFormat="1" ht="22.5" customHeight="1" x14ac:dyDescent="0.2">
      <c r="A163" s="287" t="s">
        <v>3300</v>
      </c>
      <c r="B163" s="288" t="s">
        <v>3301</v>
      </c>
      <c r="C163" s="294" t="s">
        <v>3170</v>
      </c>
      <c r="D163" s="290" t="s">
        <v>3302</v>
      </c>
      <c r="E163" s="290" t="s">
        <v>3303</v>
      </c>
      <c r="F163" s="295" t="s">
        <v>3166</v>
      </c>
      <c r="G163" s="295" t="s">
        <v>3167</v>
      </c>
      <c r="H163" s="292" t="s">
        <v>1513</v>
      </c>
      <c r="I163" s="293" t="s">
        <v>1513</v>
      </c>
      <c r="J163" s="340" t="s">
        <v>3168</v>
      </c>
      <c r="K163" s="341" t="s">
        <v>3172</v>
      </c>
      <c r="L163" s="256">
        <f>CONTINUA!BV163</f>
        <v>0</v>
      </c>
      <c r="M163" s="256">
        <f>CONTINUA!BW163</f>
        <v>0</v>
      </c>
      <c r="N163" s="564"/>
      <c r="O163" s="565" t="s">
        <v>3363</v>
      </c>
      <c r="P163" s="566">
        <v>0</v>
      </c>
      <c r="Q163" s="319">
        <v>0</v>
      </c>
      <c r="R163" s="320"/>
      <c r="S163" s="319">
        <v>0</v>
      </c>
      <c r="T163" s="320"/>
      <c r="U163" s="319">
        <v>0</v>
      </c>
      <c r="V163" s="320">
        <v>0</v>
      </c>
      <c r="W163" s="319">
        <v>0</v>
      </c>
      <c r="X163" s="320"/>
      <c r="Y163" s="319">
        <v>0</v>
      </c>
      <c r="Z163" s="320"/>
      <c r="AA163" s="319">
        <v>0</v>
      </c>
      <c r="AB163" s="320">
        <v>0</v>
      </c>
      <c r="AC163" s="319">
        <v>0</v>
      </c>
      <c r="AD163" s="320"/>
      <c r="AE163" s="319">
        <v>0</v>
      </c>
      <c r="AF163" s="320"/>
      <c r="AG163" s="319">
        <v>0</v>
      </c>
      <c r="AH163" s="320">
        <v>0</v>
      </c>
      <c r="AI163" s="319">
        <v>0</v>
      </c>
      <c r="AJ163" s="320"/>
      <c r="AK163" s="319">
        <v>0</v>
      </c>
      <c r="AL163" s="320"/>
      <c r="AM163" s="319">
        <v>0</v>
      </c>
      <c r="AN163" s="320">
        <v>0</v>
      </c>
      <c r="AO163" s="319">
        <v>0</v>
      </c>
      <c r="AP163" s="320"/>
      <c r="AQ163" s="319">
        <v>0</v>
      </c>
      <c r="AR163" s="320"/>
      <c r="AS163" s="319">
        <v>0</v>
      </c>
      <c r="AT163" s="320">
        <v>0</v>
      </c>
      <c r="AU163" s="319">
        <v>0</v>
      </c>
      <c r="AV163" s="320"/>
      <c r="AW163" s="319">
        <v>0</v>
      </c>
      <c r="AX163" s="320"/>
      <c r="AY163" s="319">
        <v>0</v>
      </c>
      <c r="AZ163" s="320">
        <v>0</v>
      </c>
      <c r="BA163" s="319">
        <v>0</v>
      </c>
      <c r="BB163" s="320"/>
      <c r="BC163" s="319">
        <v>0</v>
      </c>
      <c r="BD163" s="320"/>
      <c r="BE163" s="319">
        <v>0</v>
      </c>
      <c r="BF163" s="320">
        <v>0</v>
      </c>
      <c r="BG163" s="319">
        <v>0</v>
      </c>
      <c r="BH163" s="320"/>
      <c r="BI163" s="319">
        <v>0</v>
      </c>
      <c r="BJ163" s="320"/>
      <c r="BK163" s="319">
        <v>0</v>
      </c>
      <c r="BL163" s="320">
        <v>0</v>
      </c>
      <c r="BM163" s="319">
        <v>0</v>
      </c>
      <c r="BN163" s="320"/>
      <c r="BO163" s="319">
        <v>0</v>
      </c>
      <c r="BP163" s="320"/>
      <c r="BQ163" s="319">
        <v>0</v>
      </c>
      <c r="BR163" s="320">
        <v>0</v>
      </c>
      <c r="BS163" s="319">
        <v>0</v>
      </c>
      <c r="BT163" s="320"/>
      <c r="BU163" s="319">
        <v>0</v>
      </c>
      <c r="BV163" s="320"/>
      <c r="BW163" s="319">
        <v>0</v>
      </c>
      <c r="BX163" s="320">
        <v>0</v>
      </c>
      <c r="BY163" s="319">
        <v>0</v>
      </c>
      <c r="BZ163" s="320"/>
      <c r="CA163" s="319">
        <v>0</v>
      </c>
      <c r="CB163" s="320"/>
      <c r="CC163" s="319">
        <v>0</v>
      </c>
      <c r="CD163" s="320">
        <v>0</v>
      </c>
      <c r="CE163" s="319">
        <v>0</v>
      </c>
      <c r="CF163" s="320"/>
      <c r="CG163" s="319">
        <v>0</v>
      </c>
      <c r="CH163" s="320"/>
      <c r="CI163" s="319">
        <v>0</v>
      </c>
      <c r="CJ163" s="320">
        <v>0</v>
      </c>
      <c r="CK163" s="319">
        <v>0</v>
      </c>
      <c r="CL163" s="320"/>
      <c r="CM163" s="319">
        <v>0</v>
      </c>
      <c r="CN163" s="320"/>
      <c r="CO163" s="319">
        <v>0</v>
      </c>
      <c r="CP163" s="320">
        <v>0</v>
      </c>
      <c r="CQ163" s="319">
        <v>0</v>
      </c>
      <c r="CR163" s="320"/>
      <c r="CS163" s="319">
        <v>0</v>
      </c>
      <c r="CT163" s="320"/>
      <c r="CU163" s="319">
        <v>0</v>
      </c>
      <c r="CV163" s="320">
        <v>0</v>
      </c>
      <c r="CW163" s="319">
        <v>0</v>
      </c>
      <c r="CX163" s="320"/>
      <c r="CY163" s="319">
        <v>0</v>
      </c>
      <c r="CZ163" s="320"/>
      <c r="DA163" s="319">
        <v>0</v>
      </c>
      <c r="DB163" s="320">
        <v>0</v>
      </c>
      <c r="DC163" s="319">
        <v>0</v>
      </c>
      <c r="DD163" s="320"/>
      <c r="DE163" s="319">
        <v>0</v>
      </c>
      <c r="DF163" s="320"/>
      <c r="DG163" s="319">
        <v>0</v>
      </c>
      <c r="DH163" s="320">
        <v>0</v>
      </c>
      <c r="DI163" s="319">
        <v>0</v>
      </c>
      <c r="DJ163" s="320"/>
      <c r="DK163" s="319">
        <v>0</v>
      </c>
      <c r="DL163" s="320"/>
      <c r="DM163" s="319">
        <v>0</v>
      </c>
      <c r="DN163" s="320">
        <v>0</v>
      </c>
      <c r="DO163" s="319">
        <v>0</v>
      </c>
      <c r="DP163" s="320"/>
      <c r="DQ163" s="319">
        <v>0</v>
      </c>
      <c r="DR163" s="320"/>
      <c r="DS163" s="319">
        <v>0</v>
      </c>
      <c r="DT163" s="320">
        <v>0</v>
      </c>
      <c r="DU163" s="319">
        <v>0</v>
      </c>
      <c r="DV163" s="320"/>
      <c r="DW163" s="319">
        <v>0</v>
      </c>
      <c r="DX163" s="320"/>
      <c r="DY163" s="319">
        <v>0</v>
      </c>
      <c r="DZ163" s="320">
        <v>0</v>
      </c>
      <c r="EA163" s="319">
        <v>0</v>
      </c>
      <c r="EB163" s="320"/>
      <c r="EC163" s="319">
        <v>0</v>
      </c>
      <c r="ED163" s="320"/>
      <c r="EE163" s="319">
        <v>0</v>
      </c>
      <c r="EF163" s="320">
        <v>0</v>
      </c>
      <c r="EG163" s="319">
        <v>0</v>
      </c>
      <c r="EH163" s="320"/>
      <c r="EI163" s="319">
        <v>0</v>
      </c>
      <c r="EJ163" s="320"/>
      <c r="EK163" s="319">
        <v>0</v>
      </c>
      <c r="EL163" s="320">
        <v>0</v>
      </c>
      <c r="EM163" s="319">
        <v>0</v>
      </c>
      <c r="EN163" s="320"/>
      <c r="EO163" s="319">
        <v>0</v>
      </c>
      <c r="EP163" s="320"/>
      <c r="EQ163" s="319">
        <v>0</v>
      </c>
      <c r="ER163" s="320">
        <v>0</v>
      </c>
      <c r="ES163" s="319">
        <v>0</v>
      </c>
      <c r="ET163" s="320"/>
      <c r="EU163" s="319">
        <v>0</v>
      </c>
      <c r="EV163" s="320"/>
      <c r="EW163" s="319">
        <v>0</v>
      </c>
      <c r="EX163" s="320">
        <v>0</v>
      </c>
      <c r="EY163" s="319">
        <v>0</v>
      </c>
      <c r="EZ163" s="320"/>
      <c r="FA163" s="319">
        <v>0</v>
      </c>
      <c r="FB163" s="320"/>
      <c r="FC163" s="319">
        <v>0</v>
      </c>
      <c r="FD163" s="320">
        <v>0</v>
      </c>
      <c r="FE163" s="319">
        <v>0</v>
      </c>
      <c r="FF163" s="320"/>
      <c r="FG163" s="319">
        <v>0</v>
      </c>
      <c r="FH163" s="320"/>
      <c r="FI163" s="319">
        <v>0</v>
      </c>
      <c r="FJ163" s="320">
        <v>0</v>
      </c>
      <c r="FK163" s="319">
        <v>0</v>
      </c>
      <c r="FL163" s="320"/>
      <c r="FM163" s="319">
        <v>0</v>
      </c>
      <c r="FN163" s="320"/>
      <c r="FO163" s="319">
        <v>0</v>
      </c>
      <c r="FP163" s="320">
        <v>0</v>
      </c>
      <c r="FQ163" s="319">
        <v>0</v>
      </c>
      <c r="FR163" s="320"/>
      <c r="FS163" s="319">
        <v>0</v>
      </c>
      <c r="FT163" s="320"/>
      <c r="FU163" s="319">
        <v>0</v>
      </c>
      <c r="FV163" s="320">
        <v>0</v>
      </c>
      <c r="FW163" s="319">
        <v>0</v>
      </c>
      <c r="FX163" s="320"/>
      <c r="FY163" s="319">
        <v>0</v>
      </c>
      <c r="FZ163" s="320"/>
      <c r="GA163" s="319">
        <v>0</v>
      </c>
      <c r="GB163" s="320">
        <v>0</v>
      </c>
      <c r="GC163" s="319">
        <v>0</v>
      </c>
      <c r="GD163" s="320"/>
      <c r="GE163" s="319">
        <v>0</v>
      </c>
      <c r="GF163" s="320"/>
      <c r="GG163" s="319">
        <v>0</v>
      </c>
      <c r="GH163" s="320">
        <v>0</v>
      </c>
      <c r="GI163" s="319">
        <v>0</v>
      </c>
      <c r="GJ163" s="320"/>
      <c r="GK163" s="319">
        <v>0</v>
      </c>
      <c r="GL163" s="320"/>
      <c r="GM163" s="319">
        <v>0</v>
      </c>
      <c r="GN163" s="320">
        <v>0</v>
      </c>
      <c r="GO163" s="319">
        <v>0</v>
      </c>
      <c r="GP163" s="320"/>
      <c r="GQ163" s="319">
        <v>0</v>
      </c>
      <c r="GR163" s="320"/>
      <c r="GS163" s="319">
        <v>0</v>
      </c>
      <c r="GT163" s="320">
        <v>0</v>
      </c>
      <c r="GU163" s="319">
        <v>0</v>
      </c>
      <c r="GV163" s="320"/>
      <c r="GW163" s="319">
        <v>0</v>
      </c>
      <c r="GX163" s="320"/>
      <c r="GY163" s="319">
        <v>0</v>
      </c>
      <c r="GZ163" s="320">
        <v>0</v>
      </c>
    </row>
    <row r="164" spans="1:208" s="89" customFormat="1" ht="22.5" customHeight="1" x14ac:dyDescent="0.2">
      <c r="A164" s="287" t="s">
        <v>3300</v>
      </c>
      <c r="B164" s="288" t="s">
        <v>3301</v>
      </c>
      <c r="C164" s="294" t="s">
        <v>3170</v>
      </c>
      <c r="D164" s="290" t="s">
        <v>3302</v>
      </c>
      <c r="E164" s="290" t="s">
        <v>3303</v>
      </c>
      <c r="F164" s="295" t="s">
        <v>3166</v>
      </c>
      <c r="G164" s="295" t="s">
        <v>3167</v>
      </c>
      <c r="H164" s="292" t="s">
        <v>1513</v>
      </c>
      <c r="I164" s="293" t="s">
        <v>1513</v>
      </c>
      <c r="J164" s="340" t="s">
        <v>3168</v>
      </c>
      <c r="K164" s="342" t="s">
        <v>3173</v>
      </c>
      <c r="L164" s="256">
        <f>CONTINUA!BV164</f>
        <v>0</v>
      </c>
      <c r="M164" s="256">
        <f>CONTINUA!BW164</f>
        <v>0</v>
      </c>
      <c r="N164" s="564"/>
      <c r="O164" s="565" t="s">
        <v>3363</v>
      </c>
      <c r="P164" s="566">
        <v>0</v>
      </c>
      <c r="Q164" s="319">
        <v>0</v>
      </c>
      <c r="R164" s="320"/>
      <c r="S164" s="319">
        <v>0</v>
      </c>
      <c r="T164" s="320"/>
      <c r="U164" s="319">
        <v>0</v>
      </c>
      <c r="V164" s="320">
        <v>0</v>
      </c>
      <c r="W164" s="319">
        <v>0</v>
      </c>
      <c r="X164" s="320"/>
      <c r="Y164" s="319">
        <v>0</v>
      </c>
      <c r="Z164" s="320"/>
      <c r="AA164" s="319">
        <v>0</v>
      </c>
      <c r="AB164" s="320">
        <v>0</v>
      </c>
      <c r="AC164" s="319">
        <v>0</v>
      </c>
      <c r="AD164" s="320"/>
      <c r="AE164" s="319">
        <v>0</v>
      </c>
      <c r="AF164" s="320"/>
      <c r="AG164" s="319">
        <v>0</v>
      </c>
      <c r="AH164" s="320">
        <v>0</v>
      </c>
      <c r="AI164" s="319">
        <v>0</v>
      </c>
      <c r="AJ164" s="320"/>
      <c r="AK164" s="319">
        <v>0</v>
      </c>
      <c r="AL164" s="320"/>
      <c r="AM164" s="319">
        <v>0</v>
      </c>
      <c r="AN164" s="320">
        <v>0</v>
      </c>
      <c r="AO164" s="319">
        <v>0</v>
      </c>
      <c r="AP164" s="320"/>
      <c r="AQ164" s="319">
        <v>0</v>
      </c>
      <c r="AR164" s="320"/>
      <c r="AS164" s="319">
        <v>0</v>
      </c>
      <c r="AT164" s="320">
        <v>0</v>
      </c>
      <c r="AU164" s="319">
        <v>0</v>
      </c>
      <c r="AV164" s="320"/>
      <c r="AW164" s="319">
        <v>0</v>
      </c>
      <c r="AX164" s="320"/>
      <c r="AY164" s="319">
        <v>0</v>
      </c>
      <c r="AZ164" s="320">
        <v>0</v>
      </c>
      <c r="BA164" s="319">
        <v>0</v>
      </c>
      <c r="BB164" s="320"/>
      <c r="BC164" s="319">
        <v>0</v>
      </c>
      <c r="BD164" s="320"/>
      <c r="BE164" s="319">
        <v>0</v>
      </c>
      <c r="BF164" s="320">
        <v>0</v>
      </c>
      <c r="BG164" s="319">
        <v>0</v>
      </c>
      <c r="BH164" s="320"/>
      <c r="BI164" s="319">
        <v>0</v>
      </c>
      <c r="BJ164" s="320"/>
      <c r="BK164" s="319">
        <v>0</v>
      </c>
      <c r="BL164" s="320">
        <v>0</v>
      </c>
      <c r="BM164" s="319">
        <v>0</v>
      </c>
      <c r="BN164" s="320"/>
      <c r="BO164" s="319">
        <v>0</v>
      </c>
      <c r="BP164" s="320"/>
      <c r="BQ164" s="319">
        <v>0</v>
      </c>
      <c r="BR164" s="320">
        <v>0</v>
      </c>
      <c r="BS164" s="319">
        <v>0</v>
      </c>
      <c r="BT164" s="320"/>
      <c r="BU164" s="319">
        <v>0</v>
      </c>
      <c r="BV164" s="320"/>
      <c r="BW164" s="319">
        <v>0</v>
      </c>
      <c r="BX164" s="320">
        <v>0</v>
      </c>
      <c r="BY164" s="319">
        <v>0</v>
      </c>
      <c r="BZ164" s="320"/>
      <c r="CA164" s="319">
        <v>0</v>
      </c>
      <c r="CB164" s="320"/>
      <c r="CC164" s="319">
        <v>0</v>
      </c>
      <c r="CD164" s="320">
        <v>0</v>
      </c>
      <c r="CE164" s="319">
        <v>0</v>
      </c>
      <c r="CF164" s="320"/>
      <c r="CG164" s="319">
        <v>0</v>
      </c>
      <c r="CH164" s="320"/>
      <c r="CI164" s="319">
        <v>0</v>
      </c>
      <c r="CJ164" s="320">
        <v>0</v>
      </c>
      <c r="CK164" s="319">
        <v>0</v>
      </c>
      <c r="CL164" s="320"/>
      <c r="CM164" s="319">
        <v>0</v>
      </c>
      <c r="CN164" s="320"/>
      <c r="CO164" s="319">
        <v>0</v>
      </c>
      <c r="CP164" s="320">
        <v>0</v>
      </c>
      <c r="CQ164" s="319">
        <v>0</v>
      </c>
      <c r="CR164" s="320"/>
      <c r="CS164" s="319">
        <v>0</v>
      </c>
      <c r="CT164" s="320"/>
      <c r="CU164" s="319">
        <v>0</v>
      </c>
      <c r="CV164" s="320">
        <v>0</v>
      </c>
      <c r="CW164" s="319">
        <v>0</v>
      </c>
      <c r="CX164" s="320"/>
      <c r="CY164" s="319">
        <v>0</v>
      </c>
      <c r="CZ164" s="320"/>
      <c r="DA164" s="319">
        <v>0</v>
      </c>
      <c r="DB164" s="320">
        <v>0</v>
      </c>
      <c r="DC164" s="319">
        <v>0</v>
      </c>
      <c r="DD164" s="320"/>
      <c r="DE164" s="319">
        <v>0</v>
      </c>
      <c r="DF164" s="320"/>
      <c r="DG164" s="319">
        <v>0</v>
      </c>
      <c r="DH164" s="320">
        <v>0</v>
      </c>
      <c r="DI164" s="319">
        <v>0</v>
      </c>
      <c r="DJ164" s="320"/>
      <c r="DK164" s="319">
        <v>0</v>
      </c>
      <c r="DL164" s="320"/>
      <c r="DM164" s="319">
        <v>0</v>
      </c>
      <c r="DN164" s="320">
        <v>0</v>
      </c>
      <c r="DO164" s="319">
        <v>0</v>
      </c>
      <c r="DP164" s="320"/>
      <c r="DQ164" s="319">
        <v>0</v>
      </c>
      <c r="DR164" s="320"/>
      <c r="DS164" s="319">
        <v>0</v>
      </c>
      <c r="DT164" s="320">
        <v>0</v>
      </c>
      <c r="DU164" s="319">
        <v>0</v>
      </c>
      <c r="DV164" s="320"/>
      <c r="DW164" s="319">
        <v>0</v>
      </c>
      <c r="DX164" s="320"/>
      <c r="DY164" s="319">
        <v>0</v>
      </c>
      <c r="DZ164" s="320">
        <v>0</v>
      </c>
      <c r="EA164" s="319">
        <v>0</v>
      </c>
      <c r="EB164" s="320"/>
      <c r="EC164" s="319">
        <v>0</v>
      </c>
      <c r="ED164" s="320"/>
      <c r="EE164" s="319">
        <v>0</v>
      </c>
      <c r="EF164" s="320">
        <v>0</v>
      </c>
      <c r="EG164" s="319">
        <v>0</v>
      </c>
      <c r="EH164" s="320"/>
      <c r="EI164" s="319">
        <v>0</v>
      </c>
      <c r="EJ164" s="320"/>
      <c r="EK164" s="319">
        <v>0</v>
      </c>
      <c r="EL164" s="320">
        <v>0</v>
      </c>
      <c r="EM164" s="319">
        <v>0</v>
      </c>
      <c r="EN164" s="320"/>
      <c r="EO164" s="319">
        <v>0</v>
      </c>
      <c r="EP164" s="320"/>
      <c r="EQ164" s="319">
        <v>0</v>
      </c>
      <c r="ER164" s="320">
        <v>0</v>
      </c>
      <c r="ES164" s="319">
        <v>0</v>
      </c>
      <c r="ET164" s="320"/>
      <c r="EU164" s="319">
        <v>0</v>
      </c>
      <c r="EV164" s="320"/>
      <c r="EW164" s="319">
        <v>0</v>
      </c>
      <c r="EX164" s="320">
        <v>0</v>
      </c>
      <c r="EY164" s="319">
        <v>0</v>
      </c>
      <c r="EZ164" s="320"/>
      <c r="FA164" s="319">
        <v>0</v>
      </c>
      <c r="FB164" s="320"/>
      <c r="FC164" s="319">
        <v>0</v>
      </c>
      <c r="FD164" s="320">
        <v>0</v>
      </c>
      <c r="FE164" s="319">
        <v>0</v>
      </c>
      <c r="FF164" s="320"/>
      <c r="FG164" s="319">
        <v>0</v>
      </c>
      <c r="FH164" s="320"/>
      <c r="FI164" s="319">
        <v>0</v>
      </c>
      <c r="FJ164" s="320">
        <v>0</v>
      </c>
      <c r="FK164" s="319">
        <v>0</v>
      </c>
      <c r="FL164" s="320"/>
      <c r="FM164" s="319">
        <v>0</v>
      </c>
      <c r="FN164" s="320"/>
      <c r="FO164" s="319">
        <v>0</v>
      </c>
      <c r="FP164" s="320">
        <v>0</v>
      </c>
      <c r="FQ164" s="319">
        <v>0</v>
      </c>
      <c r="FR164" s="320"/>
      <c r="FS164" s="319">
        <v>0</v>
      </c>
      <c r="FT164" s="320"/>
      <c r="FU164" s="319">
        <v>0</v>
      </c>
      <c r="FV164" s="320">
        <v>0</v>
      </c>
      <c r="FW164" s="319">
        <v>0</v>
      </c>
      <c r="FX164" s="320"/>
      <c r="FY164" s="319">
        <v>0</v>
      </c>
      <c r="FZ164" s="320"/>
      <c r="GA164" s="319">
        <v>0</v>
      </c>
      <c r="GB164" s="320">
        <v>0</v>
      </c>
      <c r="GC164" s="319">
        <v>0</v>
      </c>
      <c r="GD164" s="320"/>
      <c r="GE164" s="319">
        <v>0</v>
      </c>
      <c r="GF164" s="320"/>
      <c r="GG164" s="319">
        <v>0</v>
      </c>
      <c r="GH164" s="320">
        <v>0</v>
      </c>
      <c r="GI164" s="319">
        <v>0</v>
      </c>
      <c r="GJ164" s="320"/>
      <c r="GK164" s="319">
        <v>0</v>
      </c>
      <c r="GL164" s="320"/>
      <c r="GM164" s="319">
        <v>0</v>
      </c>
      <c r="GN164" s="320">
        <v>0</v>
      </c>
      <c r="GO164" s="319">
        <v>0</v>
      </c>
      <c r="GP164" s="320"/>
      <c r="GQ164" s="319">
        <v>0</v>
      </c>
      <c r="GR164" s="320"/>
      <c r="GS164" s="319">
        <v>0</v>
      </c>
      <c r="GT164" s="320">
        <v>0</v>
      </c>
      <c r="GU164" s="319">
        <v>0</v>
      </c>
      <c r="GV164" s="320"/>
      <c r="GW164" s="319">
        <v>0</v>
      </c>
      <c r="GX164" s="320"/>
      <c r="GY164" s="319">
        <v>0</v>
      </c>
      <c r="GZ164" s="320">
        <v>0</v>
      </c>
    </row>
    <row r="165" spans="1:208" s="89" customFormat="1" ht="22.5" customHeight="1" thickBot="1" x14ac:dyDescent="0.25">
      <c r="A165" s="296" t="s">
        <v>3300</v>
      </c>
      <c r="B165" s="297" t="s">
        <v>3301</v>
      </c>
      <c r="C165" s="298" t="s">
        <v>3170</v>
      </c>
      <c r="D165" s="299" t="s">
        <v>3302</v>
      </c>
      <c r="E165" s="299" t="s">
        <v>3303</v>
      </c>
      <c r="F165" s="300" t="s">
        <v>3166</v>
      </c>
      <c r="G165" s="300" t="s">
        <v>3167</v>
      </c>
      <c r="H165" s="301" t="s">
        <v>1513</v>
      </c>
      <c r="I165" s="302" t="s">
        <v>1513</v>
      </c>
      <c r="J165" s="340" t="s">
        <v>3168</v>
      </c>
      <c r="K165" s="343" t="s">
        <v>53</v>
      </c>
      <c r="L165" s="256">
        <f>CONTINUA!BV165</f>
        <v>0</v>
      </c>
      <c r="M165" s="256">
        <f>CONTINUA!BW165</f>
        <v>0</v>
      </c>
      <c r="N165" s="564"/>
      <c r="O165" s="565" t="s">
        <v>3363</v>
      </c>
      <c r="P165" s="566">
        <v>0</v>
      </c>
      <c r="Q165" s="319">
        <v>0</v>
      </c>
      <c r="R165" s="320"/>
      <c r="S165" s="319">
        <v>0</v>
      </c>
      <c r="T165" s="320"/>
      <c r="U165" s="321">
        <v>0</v>
      </c>
      <c r="V165" s="322">
        <v>0</v>
      </c>
      <c r="W165" s="319">
        <v>0</v>
      </c>
      <c r="X165" s="320"/>
      <c r="Y165" s="319">
        <v>0</v>
      </c>
      <c r="Z165" s="320"/>
      <c r="AA165" s="321">
        <v>0</v>
      </c>
      <c r="AB165" s="322">
        <v>0</v>
      </c>
      <c r="AC165" s="319">
        <v>0</v>
      </c>
      <c r="AD165" s="320"/>
      <c r="AE165" s="319">
        <v>0</v>
      </c>
      <c r="AF165" s="320"/>
      <c r="AG165" s="321">
        <v>0</v>
      </c>
      <c r="AH165" s="322">
        <v>0</v>
      </c>
      <c r="AI165" s="319">
        <v>0</v>
      </c>
      <c r="AJ165" s="320"/>
      <c r="AK165" s="319">
        <v>0</v>
      </c>
      <c r="AL165" s="320"/>
      <c r="AM165" s="321">
        <v>0</v>
      </c>
      <c r="AN165" s="322">
        <v>0</v>
      </c>
      <c r="AO165" s="319">
        <v>0</v>
      </c>
      <c r="AP165" s="320"/>
      <c r="AQ165" s="319">
        <v>0</v>
      </c>
      <c r="AR165" s="320"/>
      <c r="AS165" s="321">
        <v>0</v>
      </c>
      <c r="AT165" s="322">
        <v>0</v>
      </c>
      <c r="AU165" s="319">
        <v>0</v>
      </c>
      <c r="AV165" s="320"/>
      <c r="AW165" s="319">
        <v>0</v>
      </c>
      <c r="AX165" s="320"/>
      <c r="AY165" s="321">
        <v>0</v>
      </c>
      <c r="AZ165" s="322">
        <v>0</v>
      </c>
      <c r="BA165" s="319">
        <v>0</v>
      </c>
      <c r="BB165" s="320"/>
      <c r="BC165" s="319">
        <v>0</v>
      </c>
      <c r="BD165" s="320"/>
      <c r="BE165" s="321">
        <v>0</v>
      </c>
      <c r="BF165" s="322">
        <v>0</v>
      </c>
      <c r="BG165" s="319">
        <v>0</v>
      </c>
      <c r="BH165" s="320"/>
      <c r="BI165" s="319">
        <v>0</v>
      </c>
      <c r="BJ165" s="320"/>
      <c r="BK165" s="321">
        <v>0</v>
      </c>
      <c r="BL165" s="322">
        <v>0</v>
      </c>
      <c r="BM165" s="319">
        <v>0</v>
      </c>
      <c r="BN165" s="320"/>
      <c r="BO165" s="319">
        <v>0</v>
      </c>
      <c r="BP165" s="320"/>
      <c r="BQ165" s="321">
        <v>0</v>
      </c>
      <c r="BR165" s="322">
        <v>0</v>
      </c>
      <c r="BS165" s="319">
        <v>0</v>
      </c>
      <c r="BT165" s="320"/>
      <c r="BU165" s="319">
        <v>0</v>
      </c>
      <c r="BV165" s="320"/>
      <c r="BW165" s="321">
        <v>0</v>
      </c>
      <c r="BX165" s="322">
        <v>0</v>
      </c>
      <c r="BY165" s="319">
        <v>0</v>
      </c>
      <c r="BZ165" s="320"/>
      <c r="CA165" s="319">
        <v>0</v>
      </c>
      <c r="CB165" s="320"/>
      <c r="CC165" s="321">
        <v>0</v>
      </c>
      <c r="CD165" s="322">
        <v>0</v>
      </c>
      <c r="CE165" s="319">
        <v>0</v>
      </c>
      <c r="CF165" s="320"/>
      <c r="CG165" s="319">
        <v>0</v>
      </c>
      <c r="CH165" s="320"/>
      <c r="CI165" s="321">
        <v>0</v>
      </c>
      <c r="CJ165" s="322">
        <v>0</v>
      </c>
      <c r="CK165" s="319">
        <v>0</v>
      </c>
      <c r="CL165" s="320"/>
      <c r="CM165" s="319">
        <v>0</v>
      </c>
      <c r="CN165" s="320"/>
      <c r="CO165" s="321">
        <v>0</v>
      </c>
      <c r="CP165" s="322">
        <v>0</v>
      </c>
      <c r="CQ165" s="319">
        <v>0</v>
      </c>
      <c r="CR165" s="320"/>
      <c r="CS165" s="319">
        <v>0</v>
      </c>
      <c r="CT165" s="320"/>
      <c r="CU165" s="321">
        <v>0</v>
      </c>
      <c r="CV165" s="322">
        <v>0</v>
      </c>
      <c r="CW165" s="319">
        <v>0</v>
      </c>
      <c r="CX165" s="320"/>
      <c r="CY165" s="319">
        <v>0</v>
      </c>
      <c r="CZ165" s="320"/>
      <c r="DA165" s="321">
        <v>0</v>
      </c>
      <c r="DB165" s="322">
        <v>0</v>
      </c>
      <c r="DC165" s="319">
        <v>0</v>
      </c>
      <c r="DD165" s="320"/>
      <c r="DE165" s="319">
        <v>0</v>
      </c>
      <c r="DF165" s="320"/>
      <c r="DG165" s="321">
        <v>0</v>
      </c>
      <c r="DH165" s="322">
        <v>0</v>
      </c>
      <c r="DI165" s="319">
        <v>0</v>
      </c>
      <c r="DJ165" s="320"/>
      <c r="DK165" s="319">
        <v>0</v>
      </c>
      <c r="DL165" s="320"/>
      <c r="DM165" s="321">
        <v>0</v>
      </c>
      <c r="DN165" s="322">
        <v>0</v>
      </c>
      <c r="DO165" s="319">
        <v>0</v>
      </c>
      <c r="DP165" s="320"/>
      <c r="DQ165" s="319">
        <v>0</v>
      </c>
      <c r="DR165" s="320"/>
      <c r="DS165" s="321">
        <v>0</v>
      </c>
      <c r="DT165" s="322">
        <v>0</v>
      </c>
      <c r="DU165" s="319">
        <v>0</v>
      </c>
      <c r="DV165" s="320"/>
      <c r="DW165" s="319">
        <v>0</v>
      </c>
      <c r="DX165" s="320"/>
      <c r="DY165" s="321">
        <v>0</v>
      </c>
      <c r="DZ165" s="322">
        <v>0</v>
      </c>
      <c r="EA165" s="319">
        <v>0</v>
      </c>
      <c r="EB165" s="320"/>
      <c r="EC165" s="319">
        <v>0</v>
      </c>
      <c r="ED165" s="320"/>
      <c r="EE165" s="321">
        <v>0</v>
      </c>
      <c r="EF165" s="322">
        <v>0</v>
      </c>
      <c r="EG165" s="319">
        <v>0</v>
      </c>
      <c r="EH165" s="320"/>
      <c r="EI165" s="319">
        <v>0</v>
      </c>
      <c r="EJ165" s="320"/>
      <c r="EK165" s="321">
        <v>0</v>
      </c>
      <c r="EL165" s="322">
        <v>0</v>
      </c>
      <c r="EM165" s="319">
        <v>0</v>
      </c>
      <c r="EN165" s="320"/>
      <c r="EO165" s="319">
        <v>0</v>
      </c>
      <c r="EP165" s="320"/>
      <c r="EQ165" s="321">
        <v>0</v>
      </c>
      <c r="ER165" s="322">
        <v>0</v>
      </c>
      <c r="ES165" s="319">
        <v>0</v>
      </c>
      <c r="ET165" s="320"/>
      <c r="EU165" s="319">
        <v>0</v>
      </c>
      <c r="EV165" s="320"/>
      <c r="EW165" s="321">
        <v>0</v>
      </c>
      <c r="EX165" s="322">
        <v>0</v>
      </c>
      <c r="EY165" s="319">
        <v>0</v>
      </c>
      <c r="EZ165" s="320"/>
      <c r="FA165" s="319">
        <v>0</v>
      </c>
      <c r="FB165" s="320"/>
      <c r="FC165" s="321">
        <v>0</v>
      </c>
      <c r="FD165" s="322">
        <v>0</v>
      </c>
      <c r="FE165" s="319">
        <v>0</v>
      </c>
      <c r="FF165" s="320"/>
      <c r="FG165" s="319">
        <v>0</v>
      </c>
      <c r="FH165" s="320"/>
      <c r="FI165" s="321">
        <v>0</v>
      </c>
      <c r="FJ165" s="322">
        <v>0</v>
      </c>
      <c r="FK165" s="319">
        <v>0</v>
      </c>
      <c r="FL165" s="320"/>
      <c r="FM165" s="319">
        <v>0</v>
      </c>
      <c r="FN165" s="320"/>
      <c r="FO165" s="321">
        <v>0</v>
      </c>
      <c r="FP165" s="322">
        <v>0</v>
      </c>
      <c r="FQ165" s="319">
        <v>0</v>
      </c>
      <c r="FR165" s="320"/>
      <c r="FS165" s="319">
        <v>0</v>
      </c>
      <c r="FT165" s="320"/>
      <c r="FU165" s="321">
        <v>0</v>
      </c>
      <c r="FV165" s="322">
        <v>0</v>
      </c>
      <c r="FW165" s="319">
        <v>0</v>
      </c>
      <c r="FX165" s="320"/>
      <c r="FY165" s="319">
        <v>0</v>
      </c>
      <c r="FZ165" s="320"/>
      <c r="GA165" s="321">
        <v>0</v>
      </c>
      <c r="GB165" s="322">
        <v>0</v>
      </c>
      <c r="GC165" s="319">
        <v>0</v>
      </c>
      <c r="GD165" s="320"/>
      <c r="GE165" s="319">
        <v>0</v>
      </c>
      <c r="GF165" s="320"/>
      <c r="GG165" s="321">
        <v>0</v>
      </c>
      <c r="GH165" s="322">
        <v>0</v>
      </c>
      <c r="GI165" s="319">
        <v>0</v>
      </c>
      <c r="GJ165" s="320"/>
      <c r="GK165" s="319">
        <v>0</v>
      </c>
      <c r="GL165" s="320"/>
      <c r="GM165" s="321">
        <v>0</v>
      </c>
      <c r="GN165" s="322">
        <v>0</v>
      </c>
      <c r="GO165" s="319">
        <v>0</v>
      </c>
      <c r="GP165" s="320"/>
      <c r="GQ165" s="319">
        <v>0</v>
      </c>
      <c r="GR165" s="320"/>
      <c r="GS165" s="321">
        <v>0</v>
      </c>
      <c r="GT165" s="322">
        <v>0</v>
      </c>
      <c r="GU165" s="319">
        <v>0</v>
      </c>
      <c r="GV165" s="320"/>
      <c r="GW165" s="319">
        <v>0</v>
      </c>
      <c r="GX165" s="320"/>
      <c r="GY165" s="321">
        <v>0</v>
      </c>
      <c r="GZ165" s="322">
        <v>0</v>
      </c>
    </row>
    <row r="166" spans="1:208" s="89" customFormat="1" ht="22.5" customHeight="1" x14ac:dyDescent="0.2">
      <c r="A166" t="s">
        <v>3304</v>
      </c>
      <c r="B166" s="429" t="s">
        <v>3305</v>
      </c>
      <c r="C166" s="430">
        <v>1</v>
      </c>
      <c r="D166" s="431" t="s">
        <v>3306</v>
      </c>
      <c r="E166" s="431" t="s">
        <v>3307</v>
      </c>
      <c r="F166" s="432" t="s">
        <v>3166</v>
      </c>
      <c r="G166" s="432" t="s">
        <v>3167</v>
      </c>
      <c r="H166" s="270" t="s">
        <v>1515</v>
      </c>
      <c r="I166" s="271" t="s">
        <v>1515</v>
      </c>
      <c r="J166" s="328" t="s">
        <v>3168</v>
      </c>
      <c r="K166" s="329" t="s">
        <v>3169</v>
      </c>
      <c r="L166" s="256">
        <f>CONTINUA!BV166</f>
        <v>0</v>
      </c>
      <c r="M166" s="256">
        <f>CONTINUA!BW166</f>
        <v>0</v>
      </c>
      <c r="N166" s="564"/>
      <c r="O166" s="565" t="s">
        <v>3364</v>
      </c>
      <c r="P166" s="566">
        <v>0</v>
      </c>
      <c r="Q166" s="319">
        <v>0</v>
      </c>
      <c r="R166" s="320"/>
      <c r="S166" s="319">
        <v>0</v>
      </c>
      <c r="T166" s="320"/>
      <c r="U166" s="321">
        <v>0</v>
      </c>
      <c r="V166" s="322">
        <v>0</v>
      </c>
      <c r="W166" s="319">
        <v>0</v>
      </c>
      <c r="X166" s="320"/>
      <c r="Y166" s="319">
        <v>0</v>
      </c>
      <c r="Z166" s="320"/>
      <c r="AA166" s="321">
        <v>0</v>
      </c>
      <c r="AB166" s="322">
        <v>0</v>
      </c>
      <c r="AC166" s="319">
        <v>0</v>
      </c>
      <c r="AD166" s="320"/>
      <c r="AE166" s="319">
        <v>0</v>
      </c>
      <c r="AF166" s="320"/>
      <c r="AG166" s="321">
        <v>0</v>
      </c>
      <c r="AH166" s="322">
        <v>0</v>
      </c>
      <c r="AI166" s="319">
        <v>0</v>
      </c>
      <c r="AJ166" s="320"/>
      <c r="AK166" s="319">
        <v>0</v>
      </c>
      <c r="AL166" s="320"/>
      <c r="AM166" s="321">
        <v>0</v>
      </c>
      <c r="AN166" s="322">
        <v>0</v>
      </c>
      <c r="AO166" s="319">
        <v>0</v>
      </c>
      <c r="AP166" s="320"/>
      <c r="AQ166" s="319">
        <v>0</v>
      </c>
      <c r="AR166" s="320"/>
      <c r="AS166" s="321">
        <v>0</v>
      </c>
      <c r="AT166" s="322">
        <v>0</v>
      </c>
      <c r="AU166" s="319">
        <v>0</v>
      </c>
      <c r="AV166" s="320"/>
      <c r="AW166" s="319">
        <v>0</v>
      </c>
      <c r="AX166" s="320"/>
      <c r="AY166" s="321">
        <v>0</v>
      </c>
      <c r="AZ166" s="322">
        <v>0</v>
      </c>
      <c r="BA166" s="319">
        <v>0</v>
      </c>
      <c r="BB166" s="320"/>
      <c r="BC166" s="319">
        <v>0</v>
      </c>
      <c r="BD166" s="320"/>
      <c r="BE166" s="321">
        <v>0</v>
      </c>
      <c r="BF166" s="322">
        <v>0</v>
      </c>
      <c r="BG166" s="319">
        <v>0</v>
      </c>
      <c r="BH166" s="320"/>
      <c r="BI166" s="319">
        <v>0</v>
      </c>
      <c r="BJ166" s="320"/>
      <c r="BK166" s="321">
        <v>0</v>
      </c>
      <c r="BL166" s="322">
        <v>0</v>
      </c>
      <c r="BM166" s="319">
        <v>0</v>
      </c>
      <c r="BN166" s="320"/>
      <c r="BO166" s="319">
        <v>0</v>
      </c>
      <c r="BP166" s="320"/>
      <c r="BQ166" s="321">
        <v>0</v>
      </c>
      <c r="BR166" s="322">
        <v>0</v>
      </c>
      <c r="BS166" s="319">
        <v>0</v>
      </c>
      <c r="BT166" s="320"/>
      <c r="BU166" s="319">
        <v>0</v>
      </c>
      <c r="BV166" s="320"/>
      <c r="BW166" s="321">
        <v>0</v>
      </c>
      <c r="BX166" s="322">
        <v>0</v>
      </c>
      <c r="BY166" s="319">
        <v>0</v>
      </c>
      <c r="BZ166" s="320"/>
      <c r="CA166" s="319">
        <v>0</v>
      </c>
      <c r="CB166" s="320"/>
      <c r="CC166" s="321">
        <v>0</v>
      </c>
      <c r="CD166" s="322">
        <v>0</v>
      </c>
      <c r="CE166" s="319">
        <v>0</v>
      </c>
      <c r="CF166" s="320"/>
      <c r="CG166" s="319">
        <v>0</v>
      </c>
      <c r="CH166" s="320"/>
      <c r="CI166" s="321">
        <v>0</v>
      </c>
      <c r="CJ166" s="322">
        <v>0</v>
      </c>
      <c r="CK166" s="319">
        <v>0</v>
      </c>
      <c r="CL166" s="320"/>
      <c r="CM166" s="319">
        <v>0</v>
      </c>
      <c r="CN166" s="320"/>
      <c r="CO166" s="321">
        <v>0</v>
      </c>
      <c r="CP166" s="322">
        <v>0</v>
      </c>
      <c r="CQ166" s="319">
        <v>0</v>
      </c>
      <c r="CR166" s="320"/>
      <c r="CS166" s="319">
        <v>0</v>
      </c>
      <c r="CT166" s="320"/>
      <c r="CU166" s="321">
        <v>0</v>
      </c>
      <c r="CV166" s="322">
        <v>0</v>
      </c>
      <c r="CW166" s="319">
        <v>0</v>
      </c>
      <c r="CX166" s="320"/>
      <c r="CY166" s="319">
        <v>0</v>
      </c>
      <c r="CZ166" s="320"/>
      <c r="DA166" s="321">
        <v>0</v>
      </c>
      <c r="DB166" s="322">
        <v>0</v>
      </c>
      <c r="DC166" s="319">
        <v>0</v>
      </c>
      <c r="DD166" s="320"/>
      <c r="DE166" s="319">
        <v>0</v>
      </c>
      <c r="DF166" s="320"/>
      <c r="DG166" s="321">
        <v>0</v>
      </c>
      <c r="DH166" s="322">
        <v>0</v>
      </c>
      <c r="DI166" s="319">
        <v>0</v>
      </c>
      <c r="DJ166" s="320"/>
      <c r="DK166" s="319">
        <v>0</v>
      </c>
      <c r="DL166" s="320"/>
      <c r="DM166" s="321">
        <v>0</v>
      </c>
      <c r="DN166" s="322">
        <v>0</v>
      </c>
      <c r="DO166" s="319">
        <v>0</v>
      </c>
      <c r="DP166" s="320"/>
      <c r="DQ166" s="319">
        <v>0</v>
      </c>
      <c r="DR166" s="320"/>
      <c r="DS166" s="321">
        <v>0</v>
      </c>
      <c r="DT166" s="322">
        <v>0</v>
      </c>
      <c r="DU166" s="319">
        <v>0</v>
      </c>
      <c r="DV166" s="320"/>
      <c r="DW166" s="319">
        <v>0</v>
      </c>
      <c r="DX166" s="320"/>
      <c r="DY166" s="321">
        <v>0</v>
      </c>
      <c r="DZ166" s="322">
        <v>0</v>
      </c>
      <c r="EA166" s="319">
        <v>0</v>
      </c>
      <c r="EB166" s="320"/>
      <c r="EC166" s="319">
        <v>0</v>
      </c>
      <c r="ED166" s="320"/>
      <c r="EE166" s="321">
        <v>0</v>
      </c>
      <c r="EF166" s="322">
        <v>0</v>
      </c>
      <c r="EG166" s="319">
        <v>0</v>
      </c>
      <c r="EH166" s="320"/>
      <c r="EI166" s="319">
        <v>0</v>
      </c>
      <c r="EJ166" s="320"/>
      <c r="EK166" s="321">
        <v>0</v>
      </c>
      <c r="EL166" s="322">
        <v>0</v>
      </c>
      <c r="EM166" s="319">
        <v>0</v>
      </c>
      <c r="EN166" s="320"/>
      <c r="EO166" s="319">
        <v>0</v>
      </c>
      <c r="EP166" s="320"/>
      <c r="EQ166" s="321">
        <v>0</v>
      </c>
      <c r="ER166" s="322">
        <v>0</v>
      </c>
      <c r="ES166" s="319">
        <v>0</v>
      </c>
      <c r="ET166" s="320"/>
      <c r="EU166" s="319">
        <v>0</v>
      </c>
      <c r="EV166" s="320"/>
      <c r="EW166" s="321">
        <v>0</v>
      </c>
      <c r="EX166" s="322">
        <v>0</v>
      </c>
      <c r="EY166" s="319">
        <v>0</v>
      </c>
      <c r="EZ166" s="320"/>
      <c r="FA166" s="319">
        <v>0</v>
      </c>
      <c r="FB166" s="320"/>
      <c r="FC166" s="321">
        <v>0</v>
      </c>
      <c r="FD166" s="322">
        <v>0</v>
      </c>
      <c r="FE166" s="319">
        <v>0</v>
      </c>
      <c r="FF166" s="320"/>
      <c r="FG166" s="319">
        <v>0</v>
      </c>
      <c r="FH166" s="320"/>
      <c r="FI166" s="321">
        <v>0</v>
      </c>
      <c r="FJ166" s="322">
        <v>0</v>
      </c>
      <c r="FK166" s="319">
        <v>0</v>
      </c>
      <c r="FL166" s="320"/>
      <c r="FM166" s="319">
        <v>0</v>
      </c>
      <c r="FN166" s="320"/>
      <c r="FO166" s="321">
        <v>0</v>
      </c>
      <c r="FP166" s="322">
        <v>0</v>
      </c>
      <c r="FQ166" s="319">
        <v>0</v>
      </c>
      <c r="FR166" s="320"/>
      <c r="FS166" s="319">
        <v>0</v>
      </c>
      <c r="FT166" s="320"/>
      <c r="FU166" s="321">
        <v>0</v>
      </c>
      <c r="FV166" s="322">
        <v>0</v>
      </c>
      <c r="FW166" s="319">
        <v>0</v>
      </c>
      <c r="FX166" s="320"/>
      <c r="FY166" s="319">
        <v>0</v>
      </c>
      <c r="FZ166" s="320"/>
      <c r="GA166" s="321">
        <v>0</v>
      </c>
      <c r="GB166" s="322">
        <v>0</v>
      </c>
      <c r="GC166" s="319">
        <v>0</v>
      </c>
      <c r="GD166" s="320"/>
      <c r="GE166" s="319">
        <v>0</v>
      </c>
      <c r="GF166" s="320"/>
      <c r="GG166" s="321">
        <v>0</v>
      </c>
      <c r="GH166" s="322">
        <v>0</v>
      </c>
      <c r="GI166" s="319">
        <v>0</v>
      </c>
      <c r="GJ166" s="320"/>
      <c r="GK166" s="319">
        <v>0</v>
      </c>
      <c r="GL166" s="320"/>
      <c r="GM166" s="321">
        <v>0</v>
      </c>
      <c r="GN166" s="322">
        <v>0</v>
      </c>
      <c r="GO166" s="319">
        <v>0</v>
      </c>
      <c r="GP166" s="320"/>
      <c r="GQ166" s="319">
        <v>0</v>
      </c>
      <c r="GR166" s="320"/>
      <c r="GS166" s="321">
        <v>0</v>
      </c>
      <c r="GT166" s="322">
        <v>0</v>
      </c>
      <c r="GU166" s="319">
        <v>0</v>
      </c>
      <c r="GV166" s="320"/>
      <c r="GW166" s="319">
        <v>0</v>
      </c>
      <c r="GX166" s="320"/>
      <c r="GY166" s="321">
        <v>0</v>
      </c>
      <c r="GZ166" s="322">
        <v>0</v>
      </c>
    </row>
    <row r="167" spans="1:208" s="89" customFormat="1" ht="22.5" customHeight="1" x14ac:dyDescent="0.2">
      <c r="A167" s="287" t="s">
        <v>3304</v>
      </c>
      <c r="B167" s="288" t="s">
        <v>3305</v>
      </c>
      <c r="C167" s="289" t="s">
        <v>3170</v>
      </c>
      <c r="D167" s="290" t="s">
        <v>3306</v>
      </c>
      <c r="E167" s="290" t="s">
        <v>3307</v>
      </c>
      <c r="F167" s="291" t="s">
        <v>3166</v>
      </c>
      <c r="G167" s="291" t="s">
        <v>3167</v>
      </c>
      <c r="H167" s="292" t="s">
        <v>1515</v>
      </c>
      <c r="I167" s="293" t="s">
        <v>1515</v>
      </c>
      <c r="J167" s="340" t="s">
        <v>3168</v>
      </c>
      <c r="K167" s="340" t="s">
        <v>3171</v>
      </c>
      <c r="L167" s="256">
        <f>CONTINUA!BV167</f>
        <v>0</v>
      </c>
      <c r="M167" s="256">
        <f>CONTINUA!BW167</f>
        <v>0</v>
      </c>
      <c r="N167" s="564"/>
      <c r="O167" s="565" t="s">
        <v>3364</v>
      </c>
      <c r="P167" s="566">
        <v>0</v>
      </c>
      <c r="Q167" s="319">
        <v>33</v>
      </c>
      <c r="R167" s="320"/>
      <c r="S167" s="319">
        <v>0</v>
      </c>
      <c r="T167" s="320"/>
      <c r="U167" s="319">
        <v>0</v>
      </c>
      <c r="V167" s="320">
        <v>0</v>
      </c>
      <c r="W167" s="319">
        <v>33</v>
      </c>
      <c r="X167" s="320"/>
      <c r="Y167" s="319">
        <v>0</v>
      </c>
      <c r="Z167" s="320"/>
      <c r="AA167" s="319">
        <v>0</v>
      </c>
      <c r="AB167" s="320">
        <v>0</v>
      </c>
      <c r="AC167" s="319">
        <v>33</v>
      </c>
      <c r="AD167" s="320"/>
      <c r="AE167" s="319">
        <v>0</v>
      </c>
      <c r="AF167" s="320"/>
      <c r="AG167" s="319">
        <v>0</v>
      </c>
      <c r="AH167" s="320">
        <v>0</v>
      </c>
      <c r="AI167" s="319">
        <v>33</v>
      </c>
      <c r="AJ167" s="320"/>
      <c r="AK167" s="319">
        <v>0</v>
      </c>
      <c r="AL167" s="320"/>
      <c r="AM167" s="319">
        <v>0</v>
      </c>
      <c r="AN167" s="320">
        <v>0</v>
      </c>
      <c r="AO167" s="319">
        <v>33</v>
      </c>
      <c r="AP167" s="320"/>
      <c r="AQ167" s="319">
        <v>0</v>
      </c>
      <c r="AR167" s="320"/>
      <c r="AS167" s="319">
        <v>0</v>
      </c>
      <c r="AT167" s="320">
        <v>0</v>
      </c>
      <c r="AU167" s="319">
        <v>33</v>
      </c>
      <c r="AV167" s="320"/>
      <c r="AW167" s="319">
        <v>0</v>
      </c>
      <c r="AX167" s="320"/>
      <c r="AY167" s="319">
        <v>0</v>
      </c>
      <c r="AZ167" s="320">
        <v>0</v>
      </c>
      <c r="BA167" s="319">
        <v>33</v>
      </c>
      <c r="BB167" s="320"/>
      <c r="BC167" s="319">
        <v>0</v>
      </c>
      <c r="BD167" s="320"/>
      <c r="BE167" s="319">
        <v>0</v>
      </c>
      <c r="BF167" s="320">
        <v>0</v>
      </c>
      <c r="BG167" s="319">
        <v>33</v>
      </c>
      <c r="BH167" s="320"/>
      <c r="BI167" s="319">
        <v>0</v>
      </c>
      <c r="BJ167" s="320"/>
      <c r="BK167" s="319">
        <v>0</v>
      </c>
      <c r="BL167" s="320">
        <v>0</v>
      </c>
      <c r="BM167" s="319">
        <v>33</v>
      </c>
      <c r="BN167" s="320"/>
      <c r="BO167" s="319">
        <v>0</v>
      </c>
      <c r="BP167" s="320"/>
      <c r="BQ167" s="319">
        <v>0</v>
      </c>
      <c r="BR167" s="320">
        <v>0</v>
      </c>
      <c r="BS167" s="319">
        <v>33</v>
      </c>
      <c r="BT167" s="320"/>
      <c r="BU167" s="319">
        <v>0</v>
      </c>
      <c r="BV167" s="320"/>
      <c r="BW167" s="319">
        <v>0</v>
      </c>
      <c r="BX167" s="320">
        <v>0</v>
      </c>
      <c r="BY167" s="319">
        <v>33</v>
      </c>
      <c r="BZ167" s="320"/>
      <c r="CA167" s="319">
        <v>0</v>
      </c>
      <c r="CB167" s="320"/>
      <c r="CC167" s="319">
        <v>0</v>
      </c>
      <c r="CD167" s="320">
        <v>0</v>
      </c>
      <c r="CE167" s="319">
        <v>33</v>
      </c>
      <c r="CF167" s="320"/>
      <c r="CG167" s="319">
        <v>0</v>
      </c>
      <c r="CH167" s="320"/>
      <c r="CI167" s="319">
        <v>0</v>
      </c>
      <c r="CJ167" s="320">
        <v>0</v>
      </c>
      <c r="CK167" s="319">
        <v>33</v>
      </c>
      <c r="CL167" s="320"/>
      <c r="CM167" s="319">
        <v>0</v>
      </c>
      <c r="CN167" s="320"/>
      <c r="CO167" s="319">
        <v>0</v>
      </c>
      <c r="CP167" s="320">
        <v>0</v>
      </c>
      <c r="CQ167" s="319">
        <v>33</v>
      </c>
      <c r="CR167" s="320"/>
      <c r="CS167" s="319">
        <v>0</v>
      </c>
      <c r="CT167" s="320"/>
      <c r="CU167" s="319">
        <v>0</v>
      </c>
      <c r="CV167" s="320">
        <v>0</v>
      </c>
      <c r="CW167" s="319">
        <v>33</v>
      </c>
      <c r="CX167" s="320"/>
      <c r="CY167" s="319">
        <v>0</v>
      </c>
      <c r="CZ167" s="320"/>
      <c r="DA167" s="319">
        <v>0</v>
      </c>
      <c r="DB167" s="320">
        <v>0</v>
      </c>
      <c r="DC167" s="319">
        <v>33</v>
      </c>
      <c r="DD167" s="320"/>
      <c r="DE167" s="319">
        <v>0</v>
      </c>
      <c r="DF167" s="320"/>
      <c r="DG167" s="319">
        <v>0</v>
      </c>
      <c r="DH167" s="320">
        <v>0</v>
      </c>
      <c r="DI167" s="319">
        <v>33</v>
      </c>
      <c r="DJ167" s="320"/>
      <c r="DK167" s="319">
        <v>0</v>
      </c>
      <c r="DL167" s="320"/>
      <c r="DM167" s="319">
        <v>0</v>
      </c>
      <c r="DN167" s="320">
        <v>0</v>
      </c>
      <c r="DO167" s="319">
        <v>33</v>
      </c>
      <c r="DP167" s="320"/>
      <c r="DQ167" s="319">
        <v>0</v>
      </c>
      <c r="DR167" s="320"/>
      <c r="DS167" s="319">
        <v>0</v>
      </c>
      <c r="DT167" s="320">
        <v>0</v>
      </c>
      <c r="DU167" s="319">
        <v>33</v>
      </c>
      <c r="DV167" s="320"/>
      <c r="DW167" s="319">
        <v>0</v>
      </c>
      <c r="DX167" s="320"/>
      <c r="DY167" s="319">
        <v>0</v>
      </c>
      <c r="DZ167" s="320">
        <v>0</v>
      </c>
      <c r="EA167" s="319">
        <v>33</v>
      </c>
      <c r="EB167" s="320"/>
      <c r="EC167" s="319">
        <v>0</v>
      </c>
      <c r="ED167" s="320"/>
      <c r="EE167" s="319">
        <v>0</v>
      </c>
      <c r="EF167" s="320">
        <v>0</v>
      </c>
      <c r="EG167" s="319">
        <v>33</v>
      </c>
      <c r="EH167" s="320"/>
      <c r="EI167" s="319">
        <v>0</v>
      </c>
      <c r="EJ167" s="320"/>
      <c r="EK167" s="319">
        <v>0</v>
      </c>
      <c r="EL167" s="320">
        <v>0</v>
      </c>
      <c r="EM167" s="319">
        <v>33</v>
      </c>
      <c r="EN167" s="320"/>
      <c r="EO167" s="319">
        <v>0</v>
      </c>
      <c r="EP167" s="320"/>
      <c r="EQ167" s="319">
        <v>0</v>
      </c>
      <c r="ER167" s="320">
        <v>0</v>
      </c>
      <c r="ES167" s="319">
        <v>33</v>
      </c>
      <c r="ET167" s="320"/>
      <c r="EU167" s="319">
        <v>0</v>
      </c>
      <c r="EV167" s="320"/>
      <c r="EW167" s="319">
        <v>0</v>
      </c>
      <c r="EX167" s="320">
        <v>0</v>
      </c>
      <c r="EY167" s="319">
        <v>33</v>
      </c>
      <c r="EZ167" s="320"/>
      <c r="FA167" s="319">
        <v>0</v>
      </c>
      <c r="FB167" s="320"/>
      <c r="FC167" s="319">
        <v>0</v>
      </c>
      <c r="FD167" s="320">
        <v>0</v>
      </c>
      <c r="FE167" s="319">
        <v>33</v>
      </c>
      <c r="FF167" s="320"/>
      <c r="FG167" s="319">
        <v>0</v>
      </c>
      <c r="FH167" s="320"/>
      <c r="FI167" s="319">
        <v>0</v>
      </c>
      <c r="FJ167" s="320">
        <v>0</v>
      </c>
      <c r="FK167" s="319">
        <v>33</v>
      </c>
      <c r="FL167" s="320"/>
      <c r="FM167" s="319">
        <v>0</v>
      </c>
      <c r="FN167" s="320"/>
      <c r="FO167" s="319">
        <v>0</v>
      </c>
      <c r="FP167" s="320">
        <v>0</v>
      </c>
      <c r="FQ167" s="319">
        <v>33</v>
      </c>
      <c r="FR167" s="320"/>
      <c r="FS167" s="319">
        <v>0</v>
      </c>
      <c r="FT167" s="320"/>
      <c r="FU167" s="319">
        <v>0</v>
      </c>
      <c r="FV167" s="320">
        <v>0</v>
      </c>
      <c r="FW167" s="319">
        <v>33</v>
      </c>
      <c r="FX167" s="320"/>
      <c r="FY167" s="319">
        <v>0</v>
      </c>
      <c r="FZ167" s="320"/>
      <c r="GA167" s="319">
        <v>0</v>
      </c>
      <c r="GB167" s="320">
        <v>0</v>
      </c>
      <c r="GC167" s="319">
        <v>33</v>
      </c>
      <c r="GD167" s="320"/>
      <c r="GE167" s="319">
        <v>0</v>
      </c>
      <c r="GF167" s="320"/>
      <c r="GG167" s="319">
        <v>0</v>
      </c>
      <c r="GH167" s="320">
        <v>0</v>
      </c>
      <c r="GI167" s="319">
        <v>33</v>
      </c>
      <c r="GJ167" s="320"/>
      <c r="GK167" s="319">
        <v>0</v>
      </c>
      <c r="GL167" s="320"/>
      <c r="GM167" s="319">
        <v>0</v>
      </c>
      <c r="GN167" s="320">
        <v>0</v>
      </c>
      <c r="GO167" s="319">
        <v>33</v>
      </c>
      <c r="GP167" s="320"/>
      <c r="GQ167" s="319">
        <v>0</v>
      </c>
      <c r="GR167" s="320"/>
      <c r="GS167" s="319">
        <v>0</v>
      </c>
      <c r="GT167" s="320">
        <v>0</v>
      </c>
      <c r="GU167" s="319">
        <v>33</v>
      </c>
      <c r="GV167" s="320"/>
      <c r="GW167" s="319">
        <v>0</v>
      </c>
      <c r="GX167" s="320"/>
      <c r="GY167" s="319">
        <v>0</v>
      </c>
      <c r="GZ167" s="320">
        <v>0</v>
      </c>
    </row>
    <row r="168" spans="1:208" s="89" customFormat="1" ht="22.5" customHeight="1" x14ac:dyDescent="0.2">
      <c r="A168" s="287" t="s">
        <v>3304</v>
      </c>
      <c r="B168" s="288" t="s">
        <v>3305</v>
      </c>
      <c r="C168" s="294" t="s">
        <v>3170</v>
      </c>
      <c r="D168" s="290" t="s">
        <v>3306</v>
      </c>
      <c r="E168" s="290" t="s">
        <v>3307</v>
      </c>
      <c r="F168" s="295" t="s">
        <v>3166</v>
      </c>
      <c r="G168" s="295" t="s">
        <v>3167</v>
      </c>
      <c r="H168" s="292" t="s">
        <v>1515</v>
      </c>
      <c r="I168" s="293" t="s">
        <v>1515</v>
      </c>
      <c r="J168" s="340" t="s">
        <v>3168</v>
      </c>
      <c r="K168" s="341" t="s">
        <v>3172</v>
      </c>
      <c r="L168" s="256">
        <f>CONTINUA!BV168</f>
        <v>0</v>
      </c>
      <c r="M168" s="256">
        <f>CONTINUA!BW168</f>
        <v>0</v>
      </c>
      <c r="N168" s="564"/>
      <c r="O168" s="565" t="s">
        <v>3364</v>
      </c>
      <c r="P168" s="566">
        <v>0</v>
      </c>
      <c r="Q168" s="319">
        <v>0</v>
      </c>
      <c r="R168" s="320"/>
      <c r="S168" s="319">
        <v>0</v>
      </c>
      <c r="T168" s="320"/>
      <c r="U168" s="319">
        <v>0</v>
      </c>
      <c r="V168" s="320">
        <v>0</v>
      </c>
      <c r="W168" s="319">
        <v>0</v>
      </c>
      <c r="X168" s="320"/>
      <c r="Y168" s="319">
        <v>0</v>
      </c>
      <c r="Z168" s="320"/>
      <c r="AA168" s="319">
        <v>0</v>
      </c>
      <c r="AB168" s="320">
        <v>0</v>
      </c>
      <c r="AC168" s="319">
        <v>0</v>
      </c>
      <c r="AD168" s="320"/>
      <c r="AE168" s="319">
        <v>0</v>
      </c>
      <c r="AF168" s="320"/>
      <c r="AG168" s="319">
        <v>0</v>
      </c>
      <c r="AH168" s="320">
        <v>0</v>
      </c>
      <c r="AI168" s="319">
        <v>0</v>
      </c>
      <c r="AJ168" s="320"/>
      <c r="AK168" s="319">
        <v>0</v>
      </c>
      <c r="AL168" s="320"/>
      <c r="AM168" s="319">
        <v>0</v>
      </c>
      <c r="AN168" s="320">
        <v>0</v>
      </c>
      <c r="AO168" s="319">
        <v>0</v>
      </c>
      <c r="AP168" s="320"/>
      <c r="AQ168" s="319">
        <v>0</v>
      </c>
      <c r="AR168" s="320"/>
      <c r="AS168" s="319">
        <v>0</v>
      </c>
      <c r="AT168" s="320">
        <v>0</v>
      </c>
      <c r="AU168" s="319">
        <v>0</v>
      </c>
      <c r="AV168" s="320"/>
      <c r="AW168" s="319">
        <v>0</v>
      </c>
      <c r="AX168" s="320"/>
      <c r="AY168" s="319">
        <v>0</v>
      </c>
      <c r="AZ168" s="320">
        <v>0</v>
      </c>
      <c r="BA168" s="319">
        <v>0</v>
      </c>
      <c r="BB168" s="320"/>
      <c r="BC168" s="319">
        <v>0</v>
      </c>
      <c r="BD168" s="320"/>
      <c r="BE168" s="319">
        <v>0</v>
      </c>
      <c r="BF168" s="320">
        <v>0</v>
      </c>
      <c r="BG168" s="319">
        <v>0</v>
      </c>
      <c r="BH168" s="320"/>
      <c r="BI168" s="319">
        <v>0</v>
      </c>
      <c r="BJ168" s="320"/>
      <c r="BK168" s="319">
        <v>0</v>
      </c>
      <c r="BL168" s="320">
        <v>0</v>
      </c>
      <c r="BM168" s="319">
        <v>0</v>
      </c>
      <c r="BN168" s="320"/>
      <c r="BO168" s="319">
        <v>0</v>
      </c>
      <c r="BP168" s="320"/>
      <c r="BQ168" s="319">
        <v>0</v>
      </c>
      <c r="BR168" s="320">
        <v>0</v>
      </c>
      <c r="BS168" s="319">
        <v>0</v>
      </c>
      <c r="BT168" s="320"/>
      <c r="BU168" s="319">
        <v>0</v>
      </c>
      <c r="BV168" s="320"/>
      <c r="BW168" s="319">
        <v>0</v>
      </c>
      <c r="BX168" s="320">
        <v>0</v>
      </c>
      <c r="BY168" s="319">
        <v>0</v>
      </c>
      <c r="BZ168" s="320"/>
      <c r="CA168" s="319">
        <v>0</v>
      </c>
      <c r="CB168" s="320"/>
      <c r="CC168" s="319">
        <v>0</v>
      </c>
      <c r="CD168" s="320">
        <v>0</v>
      </c>
      <c r="CE168" s="319">
        <v>0</v>
      </c>
      <c r="CF168" s="320"/>
      <c r="CG168" s="319">
        <v>0</v>
      </c>
      <c r="CH168" s="320"/>
      <c r="CI168" s="319">
        <v>0</v>
      </c>
      <c r="CJ168" s="320">
        <v>0</v>
      </c>
      <c r="CK168" s="319">
        <v>0</v>
      </c>
      <c r="CL168" s="320"/>
      <c r="CM168" s="319">
        <v>0</v>
      </c>
      <c r="CN168" s="320"/>
      <c r="CO168" s="319">
        <v>0</v>
      </c>
      <c r="CP168" s="320">
        <v>0</v>
      </c>
      <c r="CQ168" s="319">
        <v>0</v>
      </c>
      <c r="CR168" s="320"/>
      <c r="CS168" s="319">
        <v>0</v>
      </c>
      <c r="CT168" s="320"/>
      <c r="CU168" s="319">
        <v>0</v>
      </c>
      <c r="CV168" s="320">
        <v>0</v>
      </c>
      <c r="CW168" s="319">
        <v>0</v>
      </c>
      <c r="CX168" s="320"/>
      <c r="CY168" s="319">
        <v>0</v>
      </c>
      <c r="CZ168" s="320"/>
      <c r="DA168" s="319">
        <v>0</v>
      </c>
      <c r="DB168" s="320">
        <v>0</v>
      </c>
      <c r="DC168" s="319">
        <v>0</v>
      </c>
      <c r="DD168" s="320"/>
      <c r="DE168" s="319">
        <v>0</v>
      </c>
      <c r="DF168" s="320"/>
      <c r="DG168" s="319">
        <v>0</v>
      </c>
      <c r="DH168" s="320">
        <v>0</v>
      </c>
      <c r="DI168" s="319">
        <v>0</v>
      </c>
      <c r="DJ168" s="320"/>
      <c r="DK168" s="319">
        <v>0</v>
      </c>
      <c r="DL168" s="320"/>
      <c r="DM168" s="319">
        <v>0</v>
      </c>
      <c r="DN168" s="320">
        <v>0</v>
      </c>
      <c r="DO168" s="319">
        <v>0</v>
      </c>
      <c r="DP168" s="320"/>
      <c r="DQ168" s="319">
        <v>0</v>
      </c>
      <c r="DR168" s="320"/>
      <c r="DS168" s="319">
        <v>0</v>
      </c>
      <c r="DT168" s="320">
        <v>0</v>
      </c>
      <c r="DU168" s="319">
        <v>0</v>
      </c>
      <c r="DV168" s="320"/>
      <c r="DW168" s="319">
        <v>0</v>
      </c>
      <c r="DX168" s="320"/>
      <c r="DY168" s="319">
        <v>0</v>
      </c>
      <c r="DZ168" s="320">
        <v>0</v>
      </c>
      <c r="EA168" s="319">
        <v>0</v>
      </c>
      <c r="EB168" s="320"/>
      <c r="EC168" s="319">
        <v>0</v>
      </c>
      <c r="ED168" s="320"/>
      <c r="EE168" s="319">
        <v>0</v>
      </c>
      <c r="EF168" s="320">
        <v>0</v>
      </c>
      <c r="EG168" s="319">
        <v>0</v>
      </c>
      <c r="EH168" s="320"/>
      <c r="EI168" s="319">
        <v>0</v>
      </c>
      <c r="EJ168" s="320"/>
      <c r="EK168" s="319">
        <v>0</v>
      </c>
      <c r="EL168" s="320">
        <v>0</v>
      </c>
      <c r="EM168" s="319">
        <v>0</v>
      </c>
      <c r="EN168" s="320"/>
      <c r="EO168" s="319">
        <v>0</v>
      </c>
      <c r="EP168" s="320"/>
      <c r="EQ168" s="319">
        <v>0</v>
      </c>
      <c r="ER168" s="320">
        <v>0</v>
      </c>
      <c r="ES168" s="319">
        <v>0</v>
      </c>
      <c r="ET168" s="320"/>
      <c r="EU168" s="319">
        <v>0</v>
      </c>
      <c r="EV168" s="320"/>
      <c r="EW168" s="319">
        <v>0</v>
      </c>
      <c r="EX168" s="320">
        <v>0</v>
      </c>
      <c r="EY168" s="319">
        <v>0</v>
      </c>
      <c r="EZ168" s="320"/>
      <c r="FA168" s="319">
        <v>0</v>
      </c>
      <c r="FB168" s="320"/>
      <c r="FC168" s="319">
        <v>0</v>
      </c>
      <c r="FD168" s="320">
        <v>0</v>
      </c>
      <c r="FE168" s="319">
        <v>0</v>
      </c>
      <c r="FF168" s="320"/>
      <c r="FG168" s="319">
        <v>0</v>
      </c>
      <c r="FH168" s="320"/>
      <c r="FI168" s="319">
        <v>0</v>
      </c>
      <c r="FJ168" s="320">
        <v>0</v>
      </c>
      <c r="FK168" s="319">
        <v>0</v>
      </c>
      <c r="FL168" s="320"/>
      <c r="FM168" s="319">
        <v>0</v>
      </c>
      <c r="FN168" s="320"/>
      <c r="FO168" s="319">
        <v>0</v>
      </c>
      <c r="FP168" s="320">
        <v>0</v>
      </c>
      <c r="FQ168" s="319">
        <v>0</v>
      </c>
      <c r="FR168" s="320"/>
      <c r="FS168" s="319">
        <v>0</v>
      </c>
      <c r="FT168" s="320"/>
      <c r="FU168" s="319">
        <v>0</v>
      </c>
      <c r="FV168" s="320">
        <v>0</v>
      </c>
      <c r="FW168" s="319">
        <v>0</v>
      </c>
      <c r="FX168" s="320"/>
      <c r="FY168" s="319">
        <v>0</v>
      </c>
      <c r="FZ168" s="320"/>
      <c r="GA168" s="319">
        <v>0</v>
      </c>
      <c r="GB168" s="320">
        <v>0</v>
      </c>
      <c r="GC168" s="319">
        <v>0</v>
      </c>
      <c r="GD168" s="320"/>
      <c r="GE168" s="319">
        <v>0</v>
      </c>
      <c r="GF168" s="320"/>
      <c r="GG168" s="319">
        <v>0</v>
      </c>
      <c r="GH168" s="320">
        <v>0</v>
      </c>
      <c r="GI168" s="319">
        <v>0</v>
      </c>
      <c r="GJ168" s="320"/>
      <c r="GK168" s="319">
        <v>0</v>
      </c>
      <c r="GL168" s="320"/>
      <c r="GM168" s="319">
        <v>0</v>
      </c>
      <c r="GN168" s="320">
        <v>0</v>
      </c>
      <c r="GO168" s="319">
        <v>0</v>
      </c>
      <c r="GP168" s="320"/>
      <c r="GQ168" s="319">
        <v>0</v>
      </c>
      <c r="GR168" s="320"/>
      <c r="GS168" s="319">
        <v>0</v>
      </c>
      <c r="GT168" s="320">
        <v>0</v>
      </c>
      <c r="GU168" s="319">
        <v>0</v>
      </c>
      <c r="GV168" s="320"/>
      <c r="GW168" s="319">
        <v>0</v>
      </c>
      <c r="GX168" s="320"/>
      <c r="GY168" s="319">
        <v>0</v>
      </c>
      <c r="GZ168" s="320">
        <v>0</v>
      </c>
    </row>
    <row r="169" spans="1:208" s="89" customFormat="1" ht="22.5" customHeight="1" x14ac:dyDescent="0.2">
      <c r="A169" s="287" t="s">
        <v>3304</v>
      </c>
      <c r="B169" s="288" t="s">
        <v>3305</v>
      </c>
      <c r="C169" s="294" t="s">
        <v>3170</v>
      </c>
      <c r="D169" s="290" t="s">
        <v>3306</v>
      </c>
      <c r="E169" s="290" t="s">
        <v>3307</v>
      </c>
      <c r="F169" s="295" t="s">
        <v>3166</v>
      </c>
      <c r="G169" s="295" t="s">
        <v>3167</v>
      </c>
      <c r="H169" s="292" t="s">
        <v>1515</v>
      </c>
      <c r="I169" s="293" t="s">
        <v>1515</v>
      </c>
      <c r="J169" s="340" t="s">
        <v>3168</v>
      </c>
      <c r="K169" s="342" t="s">
        <v>3173</v>
      </c>
      <c r="L169" s="256">
        <f>CONTINUA!BV169</f>
        <v>0</v>
      </c>
      <c r="M169" s="256">
        <f>CONTINUA!BW169</f>
        <v>0</v>
      </c>
      <c r="N169" s="564"/>
      <c r="O169" s="565" t="s">
        <v>3364</v>
      </c>
      <c r="P169" s="566">
        <v>0</v>
      </c>
      <c r="Q169" s="319">
        <v>0</v>
      </c>
      <c r="R169" s="320"/>
      <c r="S169" s="319">
        <v>0</v>
      </c>
      <c r="T169" s="320"/>
      <c r="U169" s="319">
        <v>0</v>
      </c>
      <c r="V169" s="320">
        <v>0</v>
      </c>
      <c r="W169" s="319">
        <v>0</v>
      </c>
      <c r="X169" s="320"/>
      <c r="Y169" s="319">
        <v>0</v>
      </c>
      <c r="Z169" s="320"/>
      <c r="AA169" s="319">
        <v>0</v>
      </c>
      <c r="AB169" s="320">
        <v>0</v>
      </c>
      <c r="AC169" s="319">
        <v>0</v>
      </c>
      <c r="AD169" s="320"/>
      <c r="AE169" s="319">
        <v>0</v>
      </c>
      <c r="AF169" s="320"/>
      <c r="AG169" s="319">
        <v>0</v>
      </c>
      <c r="AH169" s="320">
        <v>0</v>
      </c>
      <c r="AI169" s="319">
        <v>0</v>
      </c>
      <c r="AJ169" s="320"/>
      <c r="AK169" s="319">
        <v>0</v>
      </c>
      <c r="AL169" s="320"/>
      <c r="AM169" s="319">
        <v>0</v>
      </c>
      <c r="AN169" s="320">
        <v>0</v>
      </c>
      <c r="AO169" s="319">
        <v>0</v>
      </c>
      <c r="AP169" s="320"/>
      <c r="AQ169" s="319">
        <v>0</v>
      </c>
      <c r="AR169" s="320"/>
      <c r="AS169" s="319">
        <v>0</v>
      </c>
      <c r="AT169" s="320">
        <v>0</v>
      </c>
      <c r="AU169" s="319">
        <v>0</v>
      </c>
      <c r="AV169" s="320"/>
      <c r="AW169" s="319">
        <v>0</v>
      </c>
      <c r="AX169" s="320"/>
      <c r="AY169" s="319">
        <v>0</v>
      </c>
      <c r="AZ169" s="320">
        <v>0</v>
      </c>
      <c r="BA169" s="319">
        <v>0</v>
      </c>
      <c r="BB169" s="320"/>
      <c r="BC169" s="319">
        <v>0</v>
      </c>
      <c r="BD169" s="320"/>
      <c r="BE169" s="319">
        <v>0</v>
      </c>
      <c r="BF169" s="320">
        <v>0</v>
      </c>
      <c r="BG169" s="319">
        <v>0</v>
      </c>
      <c r="BH169" s="320"/>
      <c r="BI169" s="319">
        <v>0</v>
      </c>
      <c r="BJ169" s="320"/>
      <c r="BK169" s="319">
        <v>0</v>
      </c>
      <c r="BL169" s="320">
        <v>0</v>
      </c>
      <c r="BM169" s="319">
        <v>0</v>
      </c>
      <c r="BN169" s="320"/>
      <c r="BO169" s="319">
        <v>0</v>
      </c>
      <c r="BP169" s="320"/>
      <c r="BQ169" s="319">
        <v>0</v>
      </c>
      <c r="BR169" s="320">
        <v>0</v>
      </c>
      <c r="BS169" s="319">
        <v>0</v>
      </c>
      <c r="BT169" s="320"/>
      <c r="BU169" s="319">
        <v>0</v>
      </c>
      <c r="BV169" s="320"/>
      <c r="BW169" s="319">
        <v>0</v>
      </c>
      <c r="BX169" s="320">
        <v>0</v>
      </c>
      <c r="BY169" s="319">
        <v>0</v>
      </c>
      <c r="BZ169" s="320"/>
      <c r="CA169" s="319">
        <v>0</v>
      </c>
      <c r="CB169" s="320"/>
      <c r="CC169" s="319">
        <v>0</v>
      </c>
      <c r="CD169" s="320">
        <v>0</v>
      </c>
      <c r="CE169" s="319">
        <v>0</v>
      </c>
      <c r="CF169" s="320"/>
      <c r="CG169" s="319">
        <v>0</v>
      </c>
      <c r="CH169" s="320"/>
      <c r="CI169" s="319">
        <v>0</v>
      </c>
      <c r="CJ169" s="320">
        <v>0</v>
      </c>
      <c r="CK169" s="319">
        <v>0</v>
      </c>
      <c r="CL169" s="320"/>
      <c r="CM169" s="319">
        <v>0</v>
      </c>
      <c r="CN169" s="320"/>
      <c r="CO169" s="319">
        <v>0</v>
      </c>
      <c r="CP169" s="320">
        <v>0</v>
      </c>
      <c r="CQ169" s="319">
        <v>0</v>
      </c>
      <c r="CR169" s="320"/>
      <c r="CS169" s="319">
        <v>0</v>
      </c>
      <c r="CT169" s="320"/>
      <c r="CU169" s="319">
        <v>0</v>
      </c>
      <c r="CV169" s="320">
        <v>0</v>
      </c>
      <c r="CW169" s="319">
        <v>0</v>
      </c>
      <c r="CX169" s="320"/>
      <c r="CY169" s="319">
        <v>0</v>
      </c>
      <c r="CZ169" s="320"/>
      <c r="DA169" s="319">
        <v>0</v>
      </c>
      <c r="DB169" s="320">
        <v>0</v>
      </c>
      <c r="DC169" s="319">
        <v>0</v>
      </c>
      <c r="DD169" s="320"/>
      <c r="DE169" s="319">
        <v>0</v>
      </c>
      <c r="DF169" s="320"/>
      <c r="DG169" s="319">
        <v>0</v>
      </c>
      <c r="DH169" s="320">
        <v>0</v>
      </c>
      <c r="DI169" s="319">
        <v>0</v>
      </c>
      <c r="DJ169" s="320"/>
      <c r="DK169" s="319">
        <v>0</v>
      </c>
      <c r="DL169" s="320"/>
      <c r="DM169" s="319">
        <v>0</v>
      </c>
      <c r="DN169" s="320">
        <v>0</v>
      </c>
      <c r="DO169" s="319">
        <v>0</v>
      </c>
      <c r="DP169" s="320"/>
      <c r="DQ169" s="319">
        <v>0</v>
      </c>
      <c r="DR169" s="320"/>
      <c r="DS169" s="319">
        <v>0</v>
      </c>
      <c r="DT169" s="320">
        <v>0</v>
      </c>
      <c r="DU169" s="319">
        <v>0</v>
      </c>
      <c r="DV169" s="320"/>
      <c r="DW169" s="319">
        <v>0</v>
      </c>
      <c r="DX169" s="320"/>
      <c r="DY169" s="319">
        <v>0</v>
      </c>
      <c r="DZ169" s="320">
        <v>0</v>
      </c>
      <c r="EA169" s="319">
        <v>0</v>
      </c>
      <c r="EB169" s="320"/>
      <c r="EC169" s="319">
        <v>0</v>
      </c>
      <c r="ED169" s="320"/>
      <c r="EE169" s="319">
        <v>0</v>
      </c>
      <c r="EF169" s="320">
        <v>0</v>
      </c>
      <c r="EG169" s="319">
        <v>0</v>
      </c>
      <c r="EH169" s="320"/>
      <c r="EI169" s="319">
        <v>0</v>
      </c>
      <c r="EJ169" s="320"/>
      <c r="EK169" s="319">
        <v>0</v>
      </c>
      <c r="EL169" s="320">
        <v>0</v>
      </c>
      <c r="EM169" s="319">
        <v>0</v>
      </c>
      <c r="EN169" s="320"/>
      <c r="EO169" s="319">
        <v>0</v>
      </c>
      <c r="EP169" s="320"/>
      <c r="EQ169" s="319">
        <v>0</v>
      </c>
      <c r="ER169" s="320">
        <v>0</v>
      </c>
      <c r="ES169" s="319">
        <v>0</v>
      </c>
      <c r="ET169" s="320"/>
      <c r="EU169" s="319">
        <v>0</v>
      </c>
      <c r="EV169" s="320"/>
      <c r="EW169" s="319">
        <v>0</v>
      </c>
      <c r="EX169" s="320">
        <v>0</v>
      </c>
      <c r="EY169" s="319">
        <v>0</v>
      </c>
      <c r="EZ169" s="320"/>
      <c r="FA169" s="319">
        <v>0</v>
      </c>
      <c r="FB169" s="320"/>
      <c r="FC169" s="319">
        <v>0</v>
      </c>
      <c r="FD169" s="320">
        <v>0</v>
      </c>
      <c r="FE169" s="319">
        <v>0</v>
      </c>
      <c r="FF169" s="320"/>
      <c r="FG169" s="319">
        <v>0</v>
      </c>
      <c r="FH169" s="320"/>
      <c r="FI169" s="319">
        <v>0</v>
      </c>
      <c r="FJ169" s="320">
        <v>0</v>
      </c>
      <c r="FK169" s="319">
        <v>0</v>
      </c>
      <c r="FL169" s="320"/>
      <c r="FM169" s="319">
        <v>0</v>
      </c>
      <c r="FN169" s="320"/>
      <c r="FO169" s="319">
        <v>0</v>
      </c>
      <c r="FP169" s="320">
        <v>0</v>
      </c>
      <c r="FQ169" s="319">
        <v>0</v>
      </c>
      <c r="FR169" s="320"/>
      <c r="FS169" s="319">
        <v>0</v>
      </c>
      <c r="FT169" s="320"/>
      <c r="FU169" s="319">
        <v>0</v>
      </c>
      <c r="FV169" s="320">
        <v>0</v>
      </c>
      <c r="FW169" s="319">
        <v>0</v>
      </c>
      <c r="FX169" s="320"/>
      <c r="FY169" s="319">
        <v>0</v>
      </c>
      <c r="FZ169" s="320"/>
      <c r="GA169" s="319">
        <v>0</v>
      </c>
      <c r="GB169" s="320">
        <v>0</v>
      </c>
      <c r="GC169" s="319">
        <v>0</v>
      </c>
      <c r="GD169" s="320"/>
      <c r="GE169" s="319">
        <v>0</v>
      </c>
      <c r="GF169" s="320"/>
      <c r="GG169" s="319">
        <v>0</v>
      </c>
      <c r="GH169" s="320">
        <v>0</v>
      </c>
      <c r="GI169" s="319">
        <v>0</v>
      </c>
      <c r="GJ169" s="320"/>
      <c r="GK169" s="319">
        <v>0</v>
      </c>
      <c r="GL169" s="320"/>
      <c r="GM169" s="319">
        <v>0</v>
      </c>
      <c r="GN169" s="320">
        <v>0</v>
      </c>
      <c r="GO169" s="319">
        <v>0</v>
      </c>
      <c r="GP169" s="320"/>
      <c r="GQ169" s="319">
        <v>0</v>
      </c>
      <c r="GR169" s="320"/>
      <c r="GS169" s="319">
        <v>0</v>
      </c>
      <c r="GT169" s="320">
        <v>0</v>
      </c>
      <c r="GU169" s="319">
        <v>0</v>
      </c>
      <c r="GV169" s="320"/>
      <c r="GW169" s="319">
        <v>0</v>
      </c>
      <c r="GX169" s="320"/>
      <c r="GY169" s="319">
        <v>0</v>
      </c>
      <c r="GZ169" s="320">
        <v>0</v>
      </c>
    </row>
    <row r="170" spans="1:208" s="89" customFormat="1" ht="22.5" customHeight="1" thickBot="1" x14ac:dyDescent="0.25">
      <c r="A170" s="296" t="s">
        <v>3304</v>
      </c>
      <c r="B170" s="297" t="s">
        <v>3305</v>
      </c>
      <c r="C170" s="298" t="s">
        <v>3170</v>
      </c>
      <c r="D170" s="299" t="s">
        <v>3306</v>
      </c>
      <c r="E170" s="299" t="s">
        <v>3307</v>
      </c>
      <c r="F170" s="300" t="s">
        <v>3166</v>
      </c>
      <c r="G170" s="300" t="s">
        <v>3167</v>
      </c>
      <c r="H170" s="301" t="s">
        <v>1515</v>
      </c>
      <c r="I170" s="302" t="s">
        <v>1515</v>
      </c>
      <c r="J170" s="340" t="s">
        <v>3168</v>
      </c>
      <c r="K170" s="343" t="s">
        <v>53</v>
      </c>
      <c r="L170" s="256">
        <f>CONTINUA!BV170</f>
        <v>0</v>
      </c>
      <c r="M170" s="256">
        <f>CONTINUA!BW170</f>
        <v>0</v>
      </c>
      <c r="N170" s="564"/>
      <c r="O170" s="565" t="s">
        <v>3364</v>
      </c>
      <c r="P170" s="566">
        <v>0</v>
      </c>
      <c r="Q170" s="319">
        <v>0</v>
      </c>
      <c r="R170" s="320"/>
      <c r="S170" s="319">
        <v>0</v>
      </c>
      <c r="T170" s="320"/>
      <c r="U170" s="321">
        <v>0</v>
      </c>
      <c r="V170" s="322">
        <v>0</v>
      </c>
      <c r="W170" s="319">
        <v>0</v>
      </c>
      <c r="X170" s="320"/>
      <c r="Y170" s="319">
        <v>0</v>
      </c>
      <c r="Z170" s="320"/>
      <c r="AA170" s="321">
        <v>0</v>
      </c>
      <c r="AB170" s="322">
        <v>0</v>
      </c>
      <c r="AC170" s="319">
        <v>0</v>
      </c>
      <c r="AD170" s="320"/>
      <c r="AE170" s="319">
        <v>0</v>
      </c>
      <c r="AF170" s="320"/>
      <c r="AG170" s="321">
        <v>0</v>
      </c>
      <c r="AH170" s="322">
        <v>0</v>
      </c>
      <c r="AI170" s="319">
        <v>0</v>
      </c>
      <c r="AJ170" s="320"/>
      <c r="AK170" s="319">
        <v>0</v>
      </c>
      <c r="AL170" s="320"/>
      <c r="AM170" s="321">
        <v>0</v>
      </c>
      <c r="AN170" s="322">
        <v>0</v>
      </c>
      <c r="AO170" s="319">
        <v>0</v>
      </c>
      <c r="AP170" s="320"/>
      <c r="AQ170" s="319">
        <v>0</v>
      </c>
      <c r="AR170" s="320"/>
      <c r="AS170" s="321">
        <v>0</v>
      </c>
      <c r="AT170" s="322">
        <v>0</v>
      </c>
      <c r="AU170" s="319">
        <v>0</v>
      </c>
      <c r="AV170" s="320"/>
      <c r="AW170" s="319">
        <v>0</v>
      </c>
      <c r="AX170" s="320"/>
      <c r="AY170" s="321">
        <v>0</v>
      </c>
      <c r="AZ170" s="322">
        <v>0</v>
      </c>
      <c r="BA170" s="319">
        <v>0</v>
      </c>
      <c r="BB170" s="320"/>
      <c r="BC170" s="319">
        <v>0</v>
      </c>
      <c r="BD170" s="320"/>
      <c r="BE170" s="321">
        <v>0</v>
      </c>
      <c r="BF170" s="322">
        <v>0</v>
      </c>
      <c r="BG170" s="319">
        <v>0</v>
      </c>
      <c r="BH170" s="320"/>
      <c r="BI170" s="319">
        <v>0</v>
      </c>
      <c r="BJ170" s="320"/>
      <c r="BK170" s="321">
        <v>0</v>
      </c>
      <c r="BL170" s="322">
        <v>0</v>
      </c>
      <c r="BM170" s="319">
        <v>0</v>
      </c>
      <c r="BN170" s="320"/>
      <c r="BO170" s="319">
        <v>0</v>
      </c>
      <c r="BP170" s="320"/>
      <c r="BQ170" s="321">
        <v>0</v>
      </c>
      <c r="BR170" s="322">
        <v>0</v>
      </c>
      <c r="BS170" s="319">
        <v>0</v>
      </c>
      <c r="BT170" s="320"/>
      <c r="BU170" s="319">
        <v>0</v>
      </c>
      <c r="BV170" s="320"/>
      <c r="BW170" s="321">
        <v>0</v>
      </c>
      <c r="BX170" s="322">
        <v>0</v>
      </c>
      <c r="BY170" s="319">
        <v>0</v>
      </c>
      <c r="BZ170" s="320"/>
      <c r="CA170" s="319">
        <v>0</v>
      </c>
      <c r="CB170" s="320"/>
      <c r="CC170" s="321">
        <v>0</v>
      </c>
      <c r="CD170" s="322">
        <v>0</v>
      </c>
      <c r="CE170" s="319">
        <v>0</v>
      </c>
      <c r="CF170" s="320"/>
      <c r="CG170" s="319">
        <v>0</v>
      </c>
      <c r="CH170" s="320"/>
      <c r="CI170" s="321">
        <v>0</v>
      </c>
      <c r="CJ170" s="322">
        <v>0</v>
      </c>
      <c r="CK170" s="319">
        <v>0</v>
      </c>
      <c r="CL170" s="320"/>
      <c r="CM170" s="319">
        <v>0</v>
      </c>
      <c r="CN170" s="320"/>
      <c r="CO170" s="321">
        <v>0</v>
      </c>
      <c r="CP170" s="322">
        <v>0</v>
      </c>
      <c r="CQ170" s="319">
        <v>0</v>
      </c>
      <c r="CR170" s="320"/>
      <c r="CS170" s="319">
        <v>0</v>
      </c>
      <c r="CT170" s="320"/>
      <c r="CU170" s="321">
        <v>0</v>
      </c>
      <c r="CV170" s="322">
        <v>0</v>
      </c>
      <c r="CW170" s="319">
        <v>0</v>
      </c>
      <c r="CX170" s="320"/>
      <c r="CY170" s="319">
        <v>0</v>
      </c>
      <c r="CZ170" s="320"/>
      <c r="DA170" s="321">
        <v>0</v>
      </c>
      <c r="DB170" s="322">
        <v>0</v>
      </c>
      <c r="DC170" s="319">
        <v>0</v>
      </c>
      <c r="DD170" s="320"/>
      <c r="DE170" s="319">
        <v>0</v>
      </c>
      <c r="DF170" s="320"/>
      <c r="DG170" s="321">
        <v>0</v>
      </c>
      <c r="DH170" s="322">
        <v>0</v>
      </c>
      <c r="DI170" s="319">
        <v>0</v>
      </c>
      <c r="DJ170" s="320"/>
      <c r="DK170" s="319">
        <v>0</v>
      </c>
      <c r="DL170" s="320"/>
      <c r="DM170" s="321">
        <v>0</v>
      </c>
      <c r="DN170" s="322">
        <v>0</v>
      </c>
      <c r="DO170" s="319">
        <v>0</v>
      </c>
      <c r="DP170" s="320"/>
      <c r="DQ170" s="319">
        <v>0</v>
      </c>
      <c r="DR170" s="320"/>
      <c r="DS170" s="321">
        <v>0</v>
      </c>
      <c r="DT170" s="322">
        <v>0</v>
      </c>
      <c r="DU170" s="319">
        <v>0</v>
      </c>
      <c r="DV170" s="320"/>
      <c r="DW170" s="319">
        <v>0</v>
      </c>
      <c r="DX170" s="320"/>
      <c r="DY170" s="321">
        <v>0</v>
      </c>
      <c r="DZ170" s="322">
        <v>0</v>
      </c>
      <c r="EA170" s="319">
        <v>0</v>
      </c>
      <c r="EB170" s="320"/>
      <c r="EC170" s="319">
        <v>0</v>
      </c>
      <c r="ED170" s="320"/>
      <c r="EE170" s="321">
        <v>0</v>
      </c>
      <c r="EF170" s="322">
        <v>0</v>
      </c>
      <c r="EG170" s="319">
        <v>0</v>
      </c>
      <c r="EH170" s="320"/>
      <c r="EI170" s="319">
        <v>0</v>
      </c>
      <c r="EJ170" s="320"/>
      <c r="EK170" s="321">
        <v>0</v>
      </c>
      <c r="EL170" s="322">
        <v>0</v>
      </c>
      <c r="EM170" s="319">
        <v>0</v>
      </c>
      <c r="EN170" s="320"/>
      <c r="EO170" s="319">
        <v>0</v>
      </c>
      <c r="EP170" s="320"/>
      <c r="EQ170" s="321">
        <v>0</v>
      </c>
      <c r="ER170" s="322">
        <v>0</v>
      </c>
      <c r="ES170" s="319">
        <v>0</v>
      </c>
      <c r="ET170" s="320"/>
      <c r="EU170" s="319">
        <v>0</v>
      </c>
      <c r="EV170" s="320"/>
      <c r="EW170" s="321">
        <v>0</v>
      </c>
      <c r="EX170" s="322">
        <v>0</v>
      </c>
      <c r="EY170" s="319">
        <v>0</v>
      </c>
      <c r="EZ170" s="320"/>
      <c r="FA170" s="319">
        <v>0</v>
      </c>
      <c r="FB170" s="320"/>
      <c r="FC170" s="321">
        <v>0</v>
      </c>
      <c r="FD170" s="322">
        <v>0</v>
      </c>
      <c r="FE170" s="319">
        <v>0</v>
      </c>
      <c r="FF170" s="320"/>
      <c r="FG170" s="319">
        <v>0</v>
      </c>
      <c r="FH170" s="320"/>
      <c r="FI170" s="321">
        <v>0</v>
      </c>
      <c r="FJ170" s="322">
        <v>0</v>
      </c>
      <c r="FK170" s="319">
        <v>0</v>
      </c>
      <c r="FL170" s="320"/>
      <c r="FM170" s="319">
        <v>0</v>
      </c>
      <c r="FN170" s="320"/>
      <c r="FO170" s="321">
        <v>0</v>
      </c>
      <c r="FP170" s="322">
        <v>0</v>
      </c>
      <c r="FQ170" s="319">
        <v>0</v>
      </c>
      <c r="FR170" s="320"/>
      <c r="FS170" s="319">
        <v>0</v>
      </c>
      <c r="FT170" s="320"/>
      <c r="FU170" s="321">
        <v>0</v>
      </c>
      <c r="FV170" s="322">
        <v>0</v>
      </c>
      <c r="FW170" s="319">
        <v>0</v>
      </c>
      <c r="FX170" s="320"/>
      <c r="FY170" s="319">
        <v>0</v>
      </c>
      <c r="FZ170" s="320"/>
      <c r="GA170" s="321">
        <v>0</v>
      </c>
      <c r="GB170" s="322">
        <v>0</v>
      </c>
      <c r="GC170" s="319">
        <v>0</v>
      </c>
      <c r="GD170" s="320"/>
      <c r="GE170" s="319">
        <v>0</v>
      </c>
      <c r="GF170" s="320"/>
      <c r="GG170" s="321">
        <v>0</v>
      </c>
      <c r="GH170" s="322">
        <v>0</v>
      </c>
      <c r="GI170" s="319">
        <v>0</v>
      </c>
      <c r="GJ170" s="320"/>
      <c r="GK170" s="319">
        <v>0</v>
      </c>
      <c r="GL170" s="320"/>
      <c r="GM170" s="321">
        <v>0</v>
      </c>
      <c r="GN170" s="322">
        <v>0</v>
      </c>
      <c r="GO170" s="319">
        <v>0</v>
      </c>
      <c r="GP170" s="320"/>
      <c r="GQ170" s="319">
        <v>0</v>
      </c>
      <c r="GR170" s="320"/>
      <c r="GS170" s="321">
        <v>0</v>
      </c>
      <c r="GT170" s="322">
        <v>0</v>
      </c>
      <c r="GU170" s="319">
        <v>0</v>
      </c>
      <c r="GV170" s="320"/>
      <c r="GW170" s="319">
        <v>0</v>
      </c>
      <c r="GX170" s="320"/>
      <c r="GY170" s="321">
        <v>0</v>
      </c>
      <c r="GZ170" s="322">
        <v>0</v>
      </c>
    </row>
    <row r="171" spans="1:208" s="89" customFormat="1" ht="22.5" customHeight="1" x14ac:dyDescent="0.2">
      <c r="A171" t="s">
        <v>3308</v>
      </c>
      <c r="B171" s="429" t="s">
        <v>3309</v>
      </c>
      <c r="C171" s="430">
        <v>1</v>
      </c>
      <c r="D171" s="431" t="s">
        <v>3310</v>
      </c>
      <c r="E171" s="431" t="s">
        <v>3311</v>
      </c>
      <c r="F171" s="432" t="s">
        <v>3166</v>
      </c>
      <c r="G171" s="432" t="s">
        <v>3167</v>
      </c>
      <c r="H171" s="270" t="s">
        <v>1516</v>
      </c>
      <c r="I171" s="271" t="s">
        <v>1516</v>
      </c>
      <c r="J171" s="328" t="s">
        <v>3168</v>
      </c>
      <c r="K171" s="329" t="s">
        <v>3169</v>
      </c>
      <c r="L171" s="256">
        <f>CONTINUA!BV171</f>
        <v>0</v>
      </c>
      <c r="M171" s="256">
        <f>CONTINUA!BW171</f>
        <v>0</v>
      </c>
      <c r="N171" s="564"/>
      <c r="O171" s="565" t="s">
        <v>3365</v>
      </c>
      <c r="P171" s="566">
        <v>0</v>
      </c>
      <c r="Q171" s="319">
        <v>33</v>
      </c>
      <c r="R171" s="320"/>
      <c r="S171" s="319">
        <v>0</v>
      </c>
      <c r="T171" s="320"/>
      <c r="U171" s="321">
        <v>0</v>
      </c>
      <c r="V171" s="322">
        <v>0</v>
      </c>
      <c r="W171" s="319">
        <v>33</v>
      </c>
      <c r="X171" s="320"/>
      <c r="Y171" s="319">
        <v>0</v>
      </c>
      <c r="Z171" s="320"/>
      <c r="AA171" s="321">
        <v>0</v>
      </c>
      <c r="AB171" s="322">
        <v>0</v>
      </c>
      <c r="AC171" s="319">
        <v>33</v>
      </c>
      <c r="AD171" s="320"/>
      <c r="AE171" s="319">
        <v>0</v>
      </c>
      <c r="AF171" s="320"/>
      <c r="AG171" s="321">
        <v>0</v>
      </c>
      <c r="AH171" s="322">
        <v>0</v>
      </c>
      <c r="AI171" s="319">
        <v>33</v>
      </c>
      <c r="AJ171" s="320"/>
      <c r="AK171" s="319">
        <v>0</v>
      </c>
      <c r="AL171" s="320"/>
      <c r="AM171" s="321">
        <v>0</v>
      </c>
      <c r="AN171" s="322">
        <v>0</v>
      </c>
      <c r="AO171" s="319">
        <v>33</v>
      </c>
      <c r="AP171" s="320"/>
      <c r="AQ171" s="319">
        <v>0</v>
      </c>
      <c r="AR171" s="320"/>
      <c r="AS171" s="321">
        <v>0</v>
      </c>
      <c r="AT171" s="322">
        <v>0</v>
      </c>
      <c r="AU171" s="319">
        <v>33</v>
      </c>
      <c r="AV171" s="320"/>
      <c r="AW171" s="319">
        <v>0</v>
      </c>
      <c r="AX171" s="320"/>
      <c r="AY171" s="321">
        <v>0</v>
      </c>
      <c r="AZ171" s="322">
        <v>0</v>
      </c>
      <c r="BA171" s="319">
        <v>33</v>
      </c>
      <c r="BB171" s="320"/>
      <c r="BC171" s="319">
        <v>0</v>
      </c>
      <c r="BD171" s="320"/>
      <c r="BE171" s="321">
        <v>0</v>
      </c>
      <c r="BF171" s="322">
        <v>0</v>
      </c>
      <c r="BG171" s="319">
        <v>33</v>
      </c>
      <c r="BH171" s="320"/>
      <c r="BI171" s="319">
        <v>0</v>
      </c>
      <c r="BJ171" s="320"/>
      <c r="BK171" s="321">
        <v>0</v>
      </c>
      <c r="BL171" s="322">
        <v>0</v>
      </c>
      <c r="BM171" s="319">
        <v>33</v>
      </c>
      <c r="BN171" s="320"/>
      <c r="BO171" s="319">
        <v>0</v>
      </c>
      <c r="BP171" s="320"/>
      <c r="BQ171" s="321">
        <v>0</v>
      </c>
      <c r="BR171" s="322">
        <v>0</v>
      </c>
      <c r="BS171" s="319">
        <v>33</v>
      </c>
      <c r="BT171" s="320"/>
      <c r="BU171" s="319">
        <v>0</v>
      </c>
      <c r="BV171" s="320"/>
      <c r="BW171" s="321">
        <v>0</v>
      </c>
      <c r="BX171" s="322">
        <v>0</v>
      </c>
      <c r="BY171" s="319">
        <v>33</v>
      </c>
      <c r="BZ171" s="320"/>
      <c r="CA171" s="319">
        <v>0</v>
      </c>
      <c r="CB171" s="320"/>
      <c r="CC171" s="321">
        <v>0</v>
      </c>
      <c r="CD171" s="322">
        <v>0</v>
      </c>
      <c r="CE171" s="319">
        <v>33</v>
      </c>
      <c r="CF171" s="320"/>
      <c r="CG171" s="319">
        <v>0</v>
      </c>
      <c r="CH171" s="320"/>
      <c r="CI171" s="321">
        <v>0</v>
      </c>
      <c r="CJ171" s="322">
        <v>0</v>
      </c>
      <c r="CK171" s="319">
        <v>33</v>
      </c>
      <c r="CL171" s="320"/>
      <c r="CM171" s="319">
        <v>0</v>
      </c>
      <c r="CN171" s="320"/>
      <c r="CO171" s="321">
        <v>0</v>
      </c>
      <c r="CP171" s="322">
        <v>0</v>
      </c>
      <c r="CQ171" s="319">
        <v>33</v>
      </c>
      <c r="CR171" s="320"/>
      <c r="CS171" s="319">
        <v>0</v>
      </c>
      <c r="CT171" s="320"/>
      <c r="CU171" s="321">
        <v>0</v>
      </c>
      <c r="CV171" s="322">
        <v>0</v>
      </c>
      <c r="CW171" s="319">
        <v>33</v>
      </c>
      <c r="CX171" s="320"/>
      <c r="CY171" s="319">
        <v>0</v>
      </c>
      <c r="CZ171" s="320"/>
      <c r="DA171" s="321">
        <v>0</v>
      </c>
      <c r="DB171" s="322">
        <v>0</v>
      </c>
      <c r="DC171" s="319">
        <v>33</v>
      </c>
      <c r="DD171" s="320"/>
      <c r="DE171" s="319">
        <v>0</v>
      </c>
      <c r="DF171" s="320"/>
      <c r="DG171" s="321">
        <v>0</v>
      </c>
      <c r="DH171" s="322">
        <v>0</v>
      </c>
      <c r="DI171" s="319">
        <v>33</v>
      </c>
      <c r="DJ171" s="320"/>
      <c r="DK171" s="319">
        <v>0</v>
      </c>
      <c r="DL171" s="320"/>
      <c r="DM171" s="321">
        <v>0</v>
      </c>
      <c r="DN171" s="322">
        <v>0</v>
      </c>
      <c r="DO171" s="319">
        <v>33</v>
      </c>
      <c r="DP171" s="320"/>
      <c r="DQ171" s="319">
        <v>0</v>
      </c>
      <c r="DR171" s="320"/>
      <c r="DS171" s="321">
        <v>0</v>
      </c>
      <c r="DT171" s="322">
        <v>0</v>
      </c>
      <c r="DU171" s="319">
        <v>33</v>
      </c>
      <c r="DV171" s="320"/>
      <c r="DW171" s="319">
        <v>0</v>
      </c>
      <c r="DX171" s="320"/>
      <c r="DY171" s="321">
        <v>0</v>
      </c>
      <c r="DZ171" s="322">
        <v>0</v>
      </c>
      <c r="EA171" s="319">
        <v>33</v>
      </c>
      <c r="EB171" s="320"/>
      <c r="EC171" s="319">
        <v>0</v>
      </c>
      <c r="ED171" s="320"/>
      <c r="EE171" s="321">
        <v>0</v>
      </c>
      <c r="EF171" s="322">
        <v>0</v>
      </c>
      <c r="EG171" s="319">
        <v>33</v>
      </c>
      <c r="EH171" s="320"/>
      <c r="EI171" s="319">
        <v>0</v>
      </c>
      <c r="EJ171" s="320"/>
      <c r="EK171" s="321">
        <v>0</v>
      </c>
      <c r="EL171" s="322">
        <v>0</v>
      </c>
      <c r="EM171" s="319">
        <v>33</v>
      </c>
      <c r="EN171" s="320"/>
      <c r="EO171" s="319">
        <v>0</v>
      </c>
      <c r="EP171" s="320"/>
      <c r="EQ171" s="321">
        <v>0</v>
      </c>
      <c r="ER171" s="322">
        <v>0</v>
      </c>
      <c r="ES171" s="319">
        <v>33</v>
      </c>
      <c r="ET171" s="320"/>
      <c r="EU171" s="319">
        <v>0</v>
      </c>
      <c r="EV171" s="320"/>
      <c r="EW171" s="321">
        <v>0</v>
      </c>
      <c r="EX171" s="322">
        <v>0</v>
      </c>
      <c r="EY171" s="319">
        <v>33</v>
      </c>
      <c r="EZ171" s="320"/>
      <c r="FA171" s="319">
        <v>0</v>
      </c>
      <c r="FB171" s="320"/>
      <c r="FC171" s="321">
        <v>0</v>
      </c>
      <c r="FD171" s="322">
        <v>0</v>
      </c>
      <c r="FE171" s="319">
        <v>33</v>
      </c>
      <c r="FF171" s="320"/>
      <c r="FG171" s="319">
        <v>0</v>
      </c>
      <c r="FH171" s="320"/>
      <c r="FI171" s="321">
        <v>0</v>
      </c>
      <c r="FJ171" s="322">
        <v>0</v>
      </c>
      <c r="FK171" s="319">
        <v>33</v>
      </c>
      <c r="FL171" s="320"/>
      <c r="FM171" s="319">
        <v>0</v>
      </c>
      <c r="FN171" s="320"/>
      <c r="FO171" s="321">
        <v>0</v>
      </c>
      <c r="FP171" s="322">
        <v>0</v>
      </c>
      <c r="FQ171" s="319">
        <v>33</v>
      </c>
      <c r="FR171" s="320"/>
      <c r="FS171" s="319">
        <v>0</v>
      </c>
      <c r="FT171" s="320"/>
      <c r="FU171" s="321">
        <v>0</v>
      </c>
      <c r="FV171" s="322">
        <v>0</v>
      </c>
      <c r="FW171" s="319">
        <v>33</v>
      </c>
      <c r="FX171" s="320"/>
      <c r="FY171" s="319">
        <v>0</v>
      </c>
      <c r="FZ171" s="320"/>
      <c r="GA171" s="321">
        <v>0</v>
      </c>
      <c r="GB171" s="322">
        <v>0</v>
      </c>
      <c r="GC171" s="319">
        <v>33</v>
      </c>
      <c r="GD171" s="320"/>
      <c r="GE171" s="319">
        <v>0</v>
      </c>
      <c r="GF171" s="320"/>
      <c r="GG171" s="321">
        <v>0</v>
      </c>
      <c r="GH171" s="322">
        <v>0</v>
      </c>
      <c r="GI171" s="319">
        <v>33</v>
      </c>
      <c r="GJ171" s="320"/>
      <c r="GK171" s="319">
        <v>0</v>
      </c>
      <c r="GL171" s="320"/>
      <c r="GM171" s="321">
        <v>0</v>
      </c>
      <c r="GN171" s="322">
        <v>0</v>
      </c>
      <c r="GO171" s="319">
        <v>33</v>
      </c>
      <c r="GP171" s="320"/>
      <c r="GQ171" s="319">
        <v>0</v>
      </c>
      <c r="GR171" s="320"/>
      <c r="GS171" s="321">
        <v>0</v>
      </c>
      <c r="GT171" s="322">
        <v>0</v>
      </c>
      <c r="GU171" s="319">
        <v>33</v>
      </c>
      <c r="GV171" s="320"/>
      <c r="GW171" s="319">
        <v>0</v>
      </c>
      <c r="GX171" s="320"/>
      <c r="GY171" s="321">
        <v>0</v>
      </c>
      <c r="GZ171" s="322">
        <v>0</v>
      </c>
    </row>
    <row r="172" spans="1:208" s="89" customFormat="1" ht="22.5" customHeight="1" x14ac:dyDescent="0.2">
      <c r="A172" s="287" t="s">
        <v>3308</v>
      </c>
      <c r="B172" s="288" t="s">
        <v>3309</v>
      </c>
      <c r="C172" s="289" t="s">
        <v>3170</v>
      </c>
      <c r="D172" s="290" t="s">
        <v>3310</v>
      </c>
      <c r="E172" s="290" t="s">
        <v>3311</v>
      </c>
      <c r="F172" s="291" t="s">
        <v>3166</v>
      </c>
      <c r="G172" s="291" t="s">
        <v>3167</v>
      </c>
      <c r="H172" s="292" t="s">
        <v>1516</v>
      </c>
      <c r="I172" s="293" t="s">
        <v>1516</v>
      </c>
      <c r="J172" s="340" t="s">
        <v>3168</v>
      </c>
      <c r="K172" s="340" t="s">
        <v>3171</v>
      </c>
      <c r="L172" s="256">
        <f>CONTINUA!BV172</f>
        <v>0</v>
      </c>
      <c r="M172" s="256">
        <f>CONTINUA!BW172</f>
        <v>0</v>
      </c>
      <c r="N172" s="564"/>
      <c r="O172" s="565" t="s">
        <v>3365</v>
      </c>
      <c r="P172" s="566">
        <v>0</v>
      </c>
      <c r="Q172" s="319">
        <v>0</v>
      </c>
      <c r="R172" s="320"/>
      <c r="S172" s="319">
        <v>0</v>
      </c>
      <c r="T172" s="320"/>
      <c r="U172" s="319">
        <v>0</v>
      </c>
      <c r="V172" s="320">
        <v>0</v>
      </c>
      <c r="W172" s="319">
        <v>0</v>
      </c>
      <c r="X172" s="320"/>
      <c r="Y172" s="319">
        <v>0</v>
      </c>
      <c r="Z172" s="320"/>
      <c r="AA172" s="319">
        <v>0</v>
      </c>
      <c r="AB172" s="320">
        <v>0</v>
      </c>
      <c r="AC172" s="319">
        <v>0</v>
      </c>
      <c r="AD172" s="320"/>
      <c r="AE172" s="319">
        <v>0</v>
      </c>
      <c r="AF172" s="320"/>
      <c r="AG172" s="319">
        <v>0</v>
      </c>
      <c r="AH172" s="320">
        <v>0</v>
      </c>
      <c r="AI172" s="319">
        <v>0</v>
      </c>
      <c r="AJ172" s="320"/>
      <c r="AK172" s="319">
        <v>0</v>
      </c>
      <c r="AL172" s="320"/>
      <c r="AM172" s="319">
        <v>0</v>
      </c>
      <c r="AN172" s="320">
        <v>0</v>
      </c>
      <c r="AO172" s="319">
        <v>0</v>
      </c>
      <c r="AP172" s="320"/>
      <c r="AQ172" s="319">
        <v>0</v>
      </c>
      <c r="AR172" s="320"/>
      <c r="AS172" s="319">
        <v>0</v>
      </c>
      <c r="AT172" s="320">
        <v>0</v>
      </c>
      <c r="AU172" s="319">
        <v>0</v>
      </c>
      <c r="AV172" s="320"/>
      <c r="AW172" s="319">
        <v>0</v>
      </c>
      <c r="AX172" s="320"/>
      <c r="AY172" s="319">
        <v>0</v>
      </c>
      <c r="AZ172" s="320">
        <v>0</v>
      </c>
      <c r="BA172" s="319">
        <v>0</v>
      </c>
      <c r="BB172" s="320"/>
      <c r="BC172" s="319">
        <v>0</v>
      </c>
      <c r="BD172" s="320"/>
      <c r="BE172" s="319">
        <v>0</v>
      </c>
      <c r="BF172" s="320">
        <v>0</v>
      </c>
      <c r="BG172" s="319">
        <v>0</v>
      </c>
      <c r="BH172" s="320"/>
      <c r="BI172" s="319">
        <v>0</v>
      </c>
      <c r="BJ172" s="320"/>
      <c r="BK172" s="319">
        <v>0</v>
      </c>
      <c r="BL172" s="320">
        <v>0</v>
      </c>
      <c r="BM172" s="319">
        <v>0</v>
      </c>
      <c r="BN172" s="320"/>
      <c r="BO172" s="319">
        <v>0</v>
      </c>
      <c r="BP172" s="320"/>
      <c r="BQ172" s="319">
        <v>0</v>
      </c>
      <c r="BR172" s="320">
        <v>0</v>
      </c>
      <c r="BS172" s="319">
        <v>0</v>
      </c>
      <c r="BT172" s="320"/>
      <c r="BU172" s="319">
        <v>0</v>
      </c>
      <c r="BV172" s="320"/>
      <c r="BW172" s="319">
        <v>0</v>
      </c>
      <c r="BX172" s="320">
        <v>0</v>
      </c>
      <c r="BY172" s="319">
        <v>0</v>
      </c>
      <c r="BZ172" s="320"/>
      <c r="CA172" s="319">
        <v>0</v>
      </c>
      <c r="CB172" s="320"/>
      <c r="CC172" s="319">
        <v>0</v>
      </c>
      <c r="CD172" s="320">
        <v>0</v>
      </c>
      <c r="CE172" s="319">
        <v>0</v>
      </c>
      <c r="CF172" s="320"/>
      <c r="CG172" s="319">
        <v>0</v>
      </c>
      <c r="CH172" s="320"/>
      <c r="CI172" s="319">
        <v>0</v>
      </c>
      <c r="CJ172" s="320">
        <v>0</v>
      </c>
      <c r="CK172" s="319">
        <v>0</v>
      </c>
      <c r="CL172" s="320"/>
      <c r="CM172" s="319">
        <v>0</v>
      </c>
      <c r="CN172" s="320"/>
      <c r="CO172" s="319">
        <v>0</v>
      </c>
      <c r="CP172" s="320">
        <v>0</v>
      </c>
      <c r="CQ172" s="319">
        <v>0</v>
      </c>
      <c r="CR172" s="320"/>
      <c r="CS172" s="319">
        <v>0</v>
      </c>
      <c r="CT172" s="320"/>
      <c r="CU172" s="319">
        <v>0</v>
      </c>
      <c r="CV172" s="320">
        <v>0</v>
      </c>
      <c r="CW172" s="319">
        <v>0</v>
      </c>
      <c r="CX172" s="320"/>
      <c r="CY172" s="319">
        <v>0</v>
      </c>
      <c r="CZ172" s="320"/>
      <c r="DA172" s="319">
        <v>0</v>
      </c>
      <c r="DB172" s="320">
        <v>0</v>
      </c>
      <c r="DC172" s="319">
        <v>0</v>
      </c>
      <c r="DD172" s="320"/>
      <c r="DE172" s="319">
        <v>0</v>
      </c>
      <c r="DF172" s="320"/>
      <c r="DG172" s="319">
        <v>0</v>
      </c>
      <c r="DH172" s="320">
        <v>0</v>
      </c>
      <c r="DI172" s="319">
        <v>0</v>
      </c>
      <c r="DJ172" s="320"/>
      <c r="DK172" s="319">
        <v>0</v>
      </c>
      <c r="DL172" s="320"/>
      <c r="DM172" s="319">
        <v>0</v>
      </c>
      <c r="DN172" s="320">
        <v>0</v>
      </c>
      <c r="DO172" s="319">
        <v>0</v>
      </c>
      <c r="DP172" s="320"/>
      <c r="DQ172" s="319">
        <v>0</v>
      </c>
      <c r="DR172" s="320"/>
      <c r="DS172" s="319">
        <v>0</v>
      </c>
      <c r="DT172" s="320">
        <v>0</v>
      </c>
      <c r="DU172" s="319">
        <v>0</v>
      </c>
      <c r="DV172" s="320"/>
      <c r="DW172" s="319">
        <v>0</v>
      </c>
      <c r="DX172" s="320"/>
      <c r="DY172" s="319">
        <v>0</v>
      </c>
      <c r="DZ172" s="320">
        <v>0</v>
      </c>
      <c r="EA172" s="319">
        <v>0</v>
      </c>
      <c r="EB172" s="320"/>
      <c r="EC172" s="319">
        <v>0</v>
      </c>
      <c r="ED172" s="320"/>
      <c r="EE172" s="319">
        <v>0</v>
      </c>
      <c r="EF172" s="320">
        <v>0</v>
      </c>
      <c r="EG172" s="319">
        <v>0</v>
      </c>
      <c r="EH172" s="320"/>
      <c r="EI172" s="319">
        <v>0</v>
      </c>
      <c r="EJ172" s="320"/>
      <c r="EK172" s="319">
        <v>0</v>
      </c>
      <c r="EL172" s="320">
        <v>0</v>
      </c>
      <c r="EM172" s="319">
        <v>0</v>
      </c>
      <c r="EN172" s="320"/>
      <c r="EO172" s="319">
        <v>0</v>
      </c>
      <c r="EP172" s="320"/>
      <c r="EQ172" s="319">
        <v>0</v>
      </c>
      <c r="ER172" s="320">
        <v>0</v>
      </c>
      <c r="ES172" s="319">
        <v>0</v>
      </c>
      <c r="ET172" s="320"/>
      <c r="EU172" s="319">
        <v>0</v>
      </c>
      <c r="EV172" s="320"/>
      <c r="EW172" s="319">
        <v>0</v>
      </c>
      <c r="EX172" s="320">
        <v>0</v>
      </c>
      <c r="EY172" s="319">
        <v>0</v>
      </c>
      <c r="EZ172" s="320"/>
      <c r="FA172" s="319">
        <v>0</v>
      </c>
      <c r="FB172" s="320"/>
      <c r="FC172" s="319">
        <v>0</v>
      </c>
      <c r="FD172" s="320">
        <v>0</v>
      </c>
      <c r="FE172" s="319">
        <v>0</v>
      </c>
      <c r="FF172" s="320"/>
      <c r="FG172" s="319">
        <v>0</v>
      </c>
      <c r="FH172" s="320"/>
      <c r="FI172" s="319">
        <v>0</v>
      </c>
      <c r="FJ172" s="320">
        <v>0</v>
      </c>
      <c r="FK172" s="319">
        <v>0</v>
      </c>
      <c r="FL172" s="320"/>
      <c r="FM172" s="319">
        <v>0</v>
      </c>
      <c r="FN172" s="320"/>
      <c r="FO172" s="319">
        <v>0</v>
      </c>
      <c r="FP172" s="320">
        <v>0</v>
      </c>
      <c r="FQ172" s="319">
        <v>0</v>
      </c>
      <c r="FR172" s="320"/>
      <c r="FS172" s="319">
        <v>0</v>
      </c>
      <c r="FT172" s="320"/>
      <c r="FU172" s="319">
        <v>0</v>
      </c>
      <c r="FV172" s="320">
        <v>0</v>
      </c>
      <c r="FW172" s="319">
        <v>0</v>
      </c>
      <c r="FX172" s="320"/>
      <c r="FY172" s="319">
        <v>0</v>
      </c>
      <c r="FZ172" s="320"/>
      <c r="GA172" s="319">
        <v>0</v>
      </c>
      <c r="GB172" s="320">
        <v>0</v>
      </c>
      <c r="GC172" s="319">
        <v>0</v>
      </c>
      <c r="GD172" s="320"/>
      <c r="GE172" s="319">
        <v>0</v>
      </c>
      <c r="GF172" s="320"/>
      <c r="GG172" s="319">
        <v>0</v>
      </c>
      <c r="GH172" s="320">
        <v>0</v>
      </c>
      <c r="GI172" s="319">
        <v>0</v>
      </c>
      <c r="GJ172" s="320"/>
      <c r="GK172" s="319">
        <v>0</v>
      </c>
      <c r="GL172" s="320"/>
      <c r="GM172" s="319">
        <v>0</v>
      </c>
      <c r="GN172" s="320">
        <v>0</v>
      </c>
      <c r="GO172" s="319">
        <v>0</v>
      </c>
      <c r="GP172" s="320"/>
      <c r="GQ172" s="319">
        <v>0</v>
      </c>
      <c r="GR172" s="320"/>
      <c r="GS172" s="319">
        <v>0</v>
      </c>
      <c r="GT172" s="320">
        <v>0</v>
      </c>
      <c r="GU172" s="319">
        <v>0</v>
      </c>
      <c r="GV172" s="320"/>
      <c r="GW172" s="319">
        <v>0</v>
      </c>
      <c r="GX172" s="320"/>
      <c r="GY172" s="319">
        <v>0</v>
      </c>
      <c r="GZ172" s="320">
        <v>0</v>
      </c>
    </row>
    <row r="173" spans="1:208" s="89" customFormat="1" ht="22.5" customHeight="1" x14ac:dyDescent="0.2">
      <c r="A173" s="287" t="s">
        <v>3308</v>
      </c>
      <c r="B173" s="288" t="s">
        <v>3309</v>
      </c>
      <c r="C173" s="294" t="s">
        <v>3170</v>
      </c>
      <c r="D173" s="290" t="s">
        <v>3310</v>
      </c>
      <c r="E173" s="290" t="s">
        <v>3311</v>
      </c>
      <c r="F173" s="295" t="s">
        <v>3166</v>
      </c>
      <c r="G173" s="295" t="s">
        <v>3167</v>
      </c>
      <c r="H173" s="292" t="s">
        <v>1516</v>
      </c>
      <c r="I173" s="293" t="s">
        <v>1516</v>
      </c>
      <c r="J173" s="340" t="s">
        <v>3168</v>
      </c>
      <c r="K173" s="341" t="s">
        <v>3172</v>
      </c>
      <c r="L173" s="256">
        <f>CONTINUA!BV173</f>
        <v>0</v>
      </c>
      <c r="M173" s="256">
        <f>CONTINUA!BW173</f>
        <v>0</v>
      </c>
      <c r="N173" s="564"/>
      <c r="O173" s="565" t="s">
        <v>3365</v>
      </c>
      <c r="P173" s="566">
        <v>0</v>
      </c>
      <c r="Q173" s="319">
        <v>0</v>
      </c>
      <c r="R173" s="320"/>
      <c r="S173" s="319">
        <v>0</v>
      </c>
      <c r="T173" s="320"/>
      <c r="U173" s="319">
        <v>0</v>
      </c>
      <c r="V173" s="320">
        <v>0</v>
      </c>
      <c r="W173" s="319">
        <v>0</v>
      </c>
      <c r="X173" s="320"/>
      <c r="Y173" s="319">
        <v>0</v>
      </c>
      <c r="Z173" s="320"/>
      <c r="AA173" s="319">
        <v>0</v>
      </c>
      <c r="AB173" s="320">
        <v>0</v>
      </c>
      <c r="AC173" s="319">
        <v>0</v>
      </c>
      <c r="AD173" s="320"/>
      <c r="AE173" s="319">
        <v>0</v>
      </c>
      <c r="AF173" s="320"/>
      <c r="AG173" s="319">
        <v>0</v>
      </c>
      <c r="AH173" s="320">
        <v>0</v>
      </c>
      <c r="AI173" s="319">
        <v>0</v>
      </c>
      <c r="AJ173" s="320"/>
      <c r="AK173" s="319">
        <v>0</v>
      </c>
      <c r="AL173" s="320"/>
      <c r="AM173" s="319">
        <v>0</v>
      </c>
      <c r="AN173" s="320">
        <v>0</v>
      </c>
      <c r="AO173" s="319">
        <v>0</v>
      </c>
      <c r="AP173" s="320"/>
      <c r="AQ173" s="319">
        <v>0</v>
      </c>
      <c r="AR173" s="320"/>
      <c r="AS173" s="319">
        <v>0</v>
      </c>
      <c r="AT173" s="320">
        <v>0</v>
      </c>
      <c r="AU173" s="319">
        <v>0</v>
      </c>
      <c r="AV173" s="320"/>
      <c r="AW173" s="319">
        <v>0</v>
      </c>
      <c r="AX173" s="320"/>
      <c r="AY173" s="319">
        <v>0</v>
      </c>
      <c r="AZ173" s="320">
        <v>0</v>
      </c>
      <c r="BA173" s="319">
        <v>0</v>
      </c>
      <c r="BB173" s="320"/>
      <c r="BC173" s="319">
        <v>0</v>
      </c>
      <c r="BD173" s="320"/>
      <c r="BE173" s="319">
        <v>0</v>
      </c>
      <c r="BF173" s="320">
        <v>0</v>
      </c>
      <c r="BG173" s="319">
        <v>0</v>
      </c>
      <c r="BH173" s="320"/>
      <c r="BI173" s="319">
        <v>0</v>
      </c>
      <c r="BJ173" s="320"/>
      <c r="BK173" s="319">
        <v>0</v>
      </c>
      <c r="BL173" s="320">
        <v>0</v>
      </c>
      <c r="BM173" s="319">
        <v>0</v>
      </c>
      <c r="BN173" s="320"/>
      <c r="BO173" s="319">
        <v>0</v>
      </c>
      <c r="BP173" s="320"/>
      <c r="BQ173" s="319">
        <v>0</v>
      </c>
      <c r="BR173" s="320">
        <v>0</v>
      </c>
      <c r="BS173" s="319">
        <v>0</v>
      </c>
      <c r="BT173" s="320"/>
      <c r="BU173" s="319">
        <v>0</v>
      </c>
      <c r="BV173" s="320"/>
      <c r="BW173" s="319">
        <v>0</v>
      </c>
      <c r="BX173" s="320">
        <v>0</v>
      </c>
      <c r="BY173" s="319">
        <v>0</v>
      </c>
      <c r="BZ173" s="320"/>
      <c r="CA173" s="319">
        <v>0</v>
      </c>
      <c r="CB173" s="320"/>
      <c r="CC173" s="319">
        <v>0</v>
      </c>
      <c r="CD173" s="320">
        <v>0</v>
      </c>
      <c r="CE173" s="319">
        <v>0</v>
      </c>
      <c r="CF173" s="320"/>
      <c r="CG173" s="319">
        <v>0</v>
      </c>
      <c r="CH173" s="320"/>
      <c r="CI173" s="319">
        <v>0</v>
      </c>
      <c r="CJ173" s="320">
        <v>0</v>
      </c>
      <c r="CK173" s="319">
        <v>0</v>
      </c>
      <c r="CL173" s="320"/>
      <c r="CM173" s="319">
        <v>0</v>
      </c>
      <c r="CN173" s="320"/>
      <c r="CO173" s="319">
        <v>0</v>
      </c>
      <c r="CP173" s="320">
        <v>0</v>
      </c>
      <c r="CQ173" s="319">
        <v>0</v>
      </c>
      <c r="CR173" s="320"/>
      <c r="CS173" s="319">
        <v>0</v>
      </c>
      <c r="CT173" s="320"/>
      <c r="CU173" s="319">
        <v>0</v>
      </c>
      <c r="CV173" s="320">
        <v>0</v>
      </c>
      <c r="CW173" s="319">
        <v>0</v>
      </c>
      <c r="CX173" s="320"/>
      <c r="CY173" s="319">
        <v>0</v>
      </c>
      <c r="CZ173" s="320"/>
      <c r="DA173" s="319">
        <v>0</v>
      </c>
      <c r="DB173" s="320">
        <v>0</v>
      </c>
      <c r="DC173" s="319">
        <v>0</v>
      </c>
      <c r="DD173" s="320"/>
      <c r="DE173" s="319">
        <v>0</v>
      </c>
      <c r="DF173" s="320"/>
      <c r="DG173" s="319">
        <v>0</v>
      </c>
      <c r="DH173" s="320">
        <v>0</v>
      </c>
      <c r="DI173" s="319">
        <v>0</v>
      </c>
      <c r="DJ173" s="320"/>
      <c r="DK173" s="319">
        <v>0</v>
      </c>
      <c r="DL173" s="320"/>
      <c r="DM173" s="319">
        <v>0</v>
      </c>
      <c r="DN173" s="320">
        <v>0</v>
      </c>
      <c r="DO173" s="319">
        <v>0</v>
      </c>
      <c r="DP173" s="320"/>
      <c r="DQ173" s="319">
        <v>0</v>
      </c>
      <c r="DR173" s="320"/>
      <c r="DS173" s="319">
        <v>0</v>
      </c>
      <c r="DT173" s="320">
        <v>0</v>
      </c>
      <c r="DU173" s="319">
        <v>0</v>
      </c>
      <c r="DV173" s="320"/>
      <c r="DW173" s="319">
        <v>0</v>
      </c>
      <c r="DX173" s="320"/>
      <c r="DY173" s="319">
        <v>0</v>
      </c>
      <c r="DZ173" s="320">
        <v>0</v>
      </c>
      <c r="EA173" s="319">
        <v>0</v>
      </c>
      <c r="EB173" s="320"/>
      <c r="EC173" s="319">
        <v>0</v>
      </c>
      <c r="ED173" s="320"/>
      <c r="EE173" s="319">
        <v>0</v>
      </c>
      <c r="EF173" s="320">
        <v>0</v>
      </c>
      <c r="EG173" s="319">
        <v>0</v>
      </c>
      <c r="EH173" s="320"/>
      <c r="EI173" s="319">
        <v>0</v>
      </c>
      <c r="EJ173" s="320"/>
      <c r="EK173" s="319">
        <v>0</v>
      </c>
      <c r="EL173" s="320">
        <v>0</v>
      </c>
      <c r="EM173" s="319">
        <v>0</v>
      </c>
      <c r="EN173" s="320"/>
      <c r="EO173" s="319">
        <v>0</v>
      </c>
      <c r="EP173" s="320"/>
      <c r="EQ173" s="319">
        <v>0</v>
      </c>
      <c r="ER173" s="320">
        <v>0</v>
      </c>
      <c r="ES173" s="319">
        <v>0</v>
      </c>
      <c r="ET173" s="320"/>
      <c r="EU173" s="319">
        <v>0</v>
      </c>
      <c r="EV173" s="320"/>
      <c r="EW173" s="319">
        <v>0</v>
      </c>
      <c r="EX173" s="320">
        <v>0</v>
      </c>
      <c r="EY173" s="319">
        <v>0</v>
      </c>
      <c r="EZ173" s="320"/>
      <c r="FA173" s="319">
        <v>0</v>
      </c>
      <c r="FB173" s="320"/>
      <c r="FC173" s="319">
        <v>0</v>
      </c>
      <c r="FD173" s="320">
        <v>0</v>
      </c>
      <c r="FE173" s="319">
        <v>0</v>
      </c>
      <c r="FF173" s="320"/>
      <c r="FG173" s="319">
        <v>0</v>
      </c>
      <c r="FH173" s="320"/>
      <c r="FI173" s="319">
        <v>0</v>
      </c>
      <c r="FJ173" s="320">
        <v>0</v>
      </c>
      <c r="FK173" s="319">
        <v>0</v>
      </c>
      <c r="FL173" s="320"/>
      <c r="FM173" s="319">
        <v>0</v>
      </c>
      <c r="FN173" s="320"/>
      <c r="FO173" s="319">
        <v>0</v>
      </c>
      <c r="FP173" s="320">
        <v>0</v>
      </c>
      <c r="FQ173" s="319">
        <v>0</v>
      </c>
      <c r="FR173" s="320"/>
      <c r="FS173" s="319">
        <v>0</v>
      </c>
      <c r="FT173" s="320"/>
      <c r="FU173" s="319">
        <v>0</v>
      </c>
      <c r="FV173" s="320">
        <v>0</v>
      </c>
      <c r="FW173" s="319">
        <v>0</v>
      </c>
      <c r="FX173" s="320"/>
      <c r="FY173" s="319">
        <v>0</v>
      </c>
      <c r="FZ173" s="320"/>
      <c r="GA173" s="319">
        <v>0</v>
      </c>
      <c r="GB173" s="320">
        <v>0</v>
      </c>
      <c r="GC173" s="319">
        <v>0</v>
      </c>
      <c r="GD173" s="320"/>
      <c r="GE173" s="319">
        <v>0</v>
      </c>
      <c r="GF173" s="320"/>
      <c r="GG173" s="319">
        <v>0</v>
      </c>
      <c r="GH173" s="320">
        <v>0</v>
      </c>
      <c r="GI173" s="319">
        <v>0</v>
      </c>
      <c r="GJ173" s="320"/>
      <c r="GK173" s="319">
        <v>0</v>
      </c>
      <c r="GL173" s="320"/>
      <c r="GM173" s="319">
        <v>0</v>
      </c>
      <c r="GN173" s="320">
        <v>0</v>
      </c>
      <c r="GO173" s="319">
        <v>0</v>
      </c>
      <c r="GP173" s="320"/>
      <c r="GQ173" s="319">
        <v>0</v>
      </c>
      <c r="GR173" s="320"/>
      <c r="GS173" s="319">
        <v>0</v>
      </c>
      <c r="GT173" s="320">
        <v>0</v>
      </c>
      <c r="GU173" s="319">
        <v>0</v>
      </c>
      <c r="GV173" s="320"/>
      <c r="GW173" s="319">
        <v>0</v>
      </c>
      <c r="GX173" s="320"/>
      <c r="GY173" s="319">
        <v>0</v>
      </c>
      <c r="GZ173" s="320">
        <v>0</v>
      </c>
    </row>
    <row r="174" spans="1:208" s="89" customFormat="1" ht="22.5" customHeight="1" x14ac:dyDescent="0.2">
      <c r="A174" s="287" t="s">
        <v>3308</v>
      </c>
      <c r="B174" s="288" t="s">
        <v>3309</v>
      </c>
      <c r="C174" s="294" t="s">
        <v>3170</v>
      </c>
      <c r="D174" s="290" t="s">
        <v>3310</v>
      </c>
      <c r="E174" s="290" t="s">
        <v>3311</v>
      </c>
      <c r="F174" s="295" t="s">
        <v>3166</v>
      </c>
      <c r="G174" s="295" t="s">
        <v>3167</v>
      </c>
      <c r="H174" s="292" t="s">
        <v>1516</v>
      </c>
      <c r="I174" s="293" t="s">
        <v>1516</v>
      </c>
      <c r="J174" s="340" t="s">
        <v>3168</v>
      </c>
      <c r="K174" s="342" t="s">
        <v>3173</v>
      </c>
      <c r="L174" s="256">
        <f>CONTINUA!BV174</f>
        <v>0</v>
      </c>
      <c r="M174" s="256">
        <f>CONTINUA!BW174</f>
        <v>0</v>
      </c>
      <c r="N174" s="564"/>
      <c r="O174" s="565" t="s">
        <v>3365</v>
      </c>
      <c r="P174" s="566">
        <v>0</v>
      </c>
      <c r="Q174" s="319">
        <v>0</v>
      </c>
      <c r="R174" s="320"/>
      <c r="S174" s="319">
        <v>0</v>
      </c>
      <c r="T174" s="320"/>
      <c r="U174" s="319">
        <v>0</v>
      </c>
      <c r="V174" s="320">
        <v>0</v>
      </c>
      <c r="W174" s="319">
        <v>0</v>
      </c>
      <c r="X174" s="320"/>
      <c r="Y174" s="319">
        <v>0</v>
      </c>
      <c r="Z174" s="320"/>
      <c r="AA174" s="319">
        <v>0</v>
      </c>
      <c r="AB174" s="320">
        <v>0</v>
      </c>
      <c r="AC174" s="319">
        <v>0</v>
      </c>
      <c r="AD174" s="320"/>
      <c r="AE174" s="319">
        <v>0</v>
      </c>
      <c r="AF174" s="320"/>
      <c r="AG174" s="319">
        <v>0</v>
      </c>
      <c r="AH174" s="320">
        <v>0</v>
      </c>
      <c r="AI174" s="319">
        <v>0</v>
      </c>
      <c r="AJ174" s="320"/>
      <c r="AK174" s="319">
        <v>0</v>
      </c>
      <c r="AL174" s="320"/>
      <c r="AM174" s="319">
        <v>0</v>
      </c>
      <c r="AN174" s="320">
        <v>0</v>
      </c>
      <c r="AO174" s="319">
        <v>0</v>
      </c>
      <c r="AP174" s="320"/>
      <c r="AQ174" s="319">
        <v>0</v>
      </c>
      <c r="AR174" s="320"/>
      <c r="AS174" s="319">
        <v>0</v>
      </c>
      <c r="AT174" s="320">
        <v>0</v>
      </c>
      <c r="AU174" s="319">
        <v>0</v>
      </c>
      <c r="AV174" s="320"/>
      <c r="AW174" s="319">
        <v>0</v>
      </c>
      <c r="AX174" s="320"/>
      <c r="AY174" s="319">
        <v>0</v>
      </c>
      <c r="AZ174" s="320">
        <v>0</v>
      </c>
      <c r="BA174" s="319">
        <v>0</v>
      </c>
      <c r="BB174" s="320"/>
      <c r="BC174" s="319">
        <v>0</v>
      </c>
      <c r="BD174" s="320"/>
      <c r="BE174" s="319">
        <v>0</v>
      </c>
      <c r="BF174" s="320">
        <v>0</v>
      </c>
      <c r="BG174" s="319">
        <v>0</v>
      </c>
      <c r="BH174" s="320"/>
      <c r="BI174" s="319">
        <v>0</v>
      </c>
      <c r="BJ174" s="320"/>
      <c r="BK174" s="319">
        <v>0</v>
      </c>
      <c r="BL174" s="320">
        <v>0</v>
      </c>
      <c r="BM174" s="319">
        <v>0</v>
      </c>
      <c r="BN174" s="320"/>
      <c r="BO174" s="319">
        <v>0</v>
      </c>
      <c r="BP174" s="320"/>
      <c r="BQ174" s="319">
        <v>0</v>
      </c>
      <c r="BR174" s="320">
        <v>0</v>
      </c>
      <c r="BS174" s="319">
        <v>0</v>
      </c>
      <c r="BT174" s="320"/>
      <c r="BU174" s="319">
        <v>0</v>
      </c>
      <c r="BV174" s="320"/>
      <c r="BW174" s="319">
        <v>0</v>
      </c>
      <c r="BX174" s="320">
        <v>0</v>
      </c>
      <c r="BY174" s="319">
        <v>0</v>
      </c>
      <c r="BZ174" s="320"/>
      <c r="CA174" s="319">
        <v>0</v>
      </c>
      <c r="CB174" s="320"/>
      <c r="CC174" s="319">
        <v>0</v>
      </c>
      <c r="CD174" s="320">
        <v>0</v>
      </c>
      <c r="CE174" s="319">
        <v>0</v>
      </c>
      <c r="CF174" s="320"/>
      <c r="CG174" s="319">
        <v>0</v>
      </c>
      <c r="CH174" s="320"/>
      <c r="CI174" s="319">
        <v>0</v>
      </c>
      <c r="CJ174" s="320">
        <v>0</v>
      </c>
      <c r="CK174" s="319">
        <v>0</v>
      </c>
      <c r="CL174" s="320"/>
      <c r="CM174" s="319">
        <v>0</v>
      </c>
      <c r="CN174" s="320"/>
      <c r="CO174" s="319">
        <v>0</v>
      </c>
      <c r="CP174" s="320">
        <v>0</v>
      </c>
      <c r="CQ174" s="319">
        <v>0</v>
      </c>
      <c r="CR174" s="320"/>
      <c r="CS174" s="319">
        <v>0</v>
      </c>
      <c r="CT174" s="320"/>
      <c r="CU174" s="319">
        <v>0</v>
      </c>
      <c r="CV174" s="320">
        <v>0</v>
      </c>
      <c r="CW174" s="319">
        <v>0</v>
      </c>
      <c r="CX174" s="320"/>
      <c r="CY174" s="319">
        <v>0</v>
      </c>
      <c r="CZ174" s="320"/>
      <c r="DA174" s="319">
        <v>0</v>
      </c>
      <c r="DB174" s="320">
        <v>0</v>
      </c>
      <c r="DC174" s="319">
        <v>0</v>
      </c>
      <c r="DD174" s="320"/>
      <c r="DE174" s="319">
        <v>0</v>
      </c>
      <c r="DF174" s="320"/>
      <c r="DG174" s="319">
        <v>0</v>
      </c>
      <c r="DH174" s="320">
        <v>0</v>
      </c>
      <c r="DI174" s="319">
        <v>0</v>
      </c>
      <c r="DJ174" s="320"/>
      <c r="DK174" s="319">
        <v>0</v>
      </c>
      <c r="DL174" s="320"/>
      <c r="DM174" s="319">
        <v>0</v>
      </c>
      <c r="DN174" s="320">
        <v>0</v>
      </c>
      <c r="DO174" s="319">
        <v>0</v>
      </c>
      <c r="DP174" s="320"/>
      <c r="DQ174" s="319">
        <v>0</v>
      </c>
      <c r="DR174" s="320"/>
      <c r="DS174" s="319">
        <v>0</v>
      </c>
      <c r="DT174" s="320">
        <v>0</v>
      </c>
      <c r="DU174" s="319">
        <v>0</v>
      </c>
      <c r="DV174" s="320"/>
      <c r="DW174" s="319">
        <v>0</v>
      </c>
      <c r="DX174" s="320"/>
      <c r="DY174" s="319">
        <v>0</v>
      </c>
      <c r="DZ174" s="320">
        <v>0</v>
      </c>
      <c r="EA174" s="319">
        <v>0</v>
      </c>
      <c r="EB174" s="320"/>
      <c r="EC174" s="319">
        <v>0</v>
      </c>
      <c r="ED174" s="320"/>
      <c r="EE174" s="319">
        <v>0</v>
      </c>
      <c r="EF174" s="320">
        <v>0</v>
      </c>
      <c r="EG174" s="319">
        <v>0</v>
      </c>
      <c r="EH174" s="320"/>
      <c r="EI174" s="319">
        <v>0</v>
      </c>
      <c r="EJ174" s="320"/>
      <c r="EK174" s="319">
        <v>0</v>
      </c>
      <c r="EL174" s="320">
        <v>0</v>
      </c>
      <c r="EM174" s="319">
        <v>0</v>
      </c>
      <c r="EN174" s="320"/>
      <c r="EO174" s="319">
        <v>0</v>
      </c>
      <c r="EP174" s="320"/>
      <c r="EQ174" s="319">
        <v>0</v>
      </c>
      <c r="ER174" s="320">
        <v>0</v>
      </c>
      <c r="ES174" s="319">
        <v>0</v>
      </c>
      <c r="ET174" s="320"/>
      <c r="EU174" s="319">
        <v>0</v>
      </c>
      <c r="EV174" s="320"/>
      <c r="EW174" s="319">
        <v>0</v>
      </c>
      <c r="EX174" s="320">
        <v>0</v>
      </c>
      <c r="EY174" s="319">
        <v>0</v>
      </c>
      <c r="EZ174" s="320"/>
      <c r="FA174" s="319">
        <v>0</v>
      </c>
      <c r="FB174" s="320"/>
      <c r="FC174" s="319">
        <v>0</v>
      </c>
      <c r="FD174" s="320">
        <v>0</v>
      </c>
      <c r="FE174" s="319">
        <v>0</v>
      </c>
      <c r="FF174" s="320"/>
      <c r="FG174" s="319">
        <v>0</v>
      </c>
      <c r="FH174" s="320"/>
      <c r="FI174" s="319">
        <v>0</v>
      </c>
      <c r="FJ174" s="320">
        <v>0</v>
      </c>
      <c r="FK174" s="319">
        <v>0</v>
      </c>
      <c r="FL174" s="320"/>
      <c r="FM174" s="319">
        <v>0</v>
      </c>
      <c r="FN174" s="320"/>
      <c r="FO174" s="319">
        <v>0</v>
      </c>
      <c r="FP174" s="320">
        <v>0</v>
      </c>
      <c r="FQ174" s="319">
        <v>0</v>
      </c>
      <c r="FR174" s="320"/>
      <c r="FS174" s="319">
        <v>0</v>
      </c>
      <c r="FT174" s="320"/>
      <c r="FU174" s="319">
        <v>0</v>
      </c>
      <c r="FV174" s="320">
        <v>0</v>
      </c>
      <c r="FW174" s="319">
        <v>0</v>
      </c>
      <c r="FX174" s="320"/>
      <c r="FY174" s="319">
        <v>0</v>
      </c>
      <c r="FZ174" s="320"/>
      <c r="GA174" s="319">
        <v>0</v>
      </c>
      <c r="GB174" s="320">
        <v>0</v>
      </c>
      <c r="GC174" s="319">
        <v>0</v>
      </c>
      <c r="GD174" s="320"/>
      <c r="GE174" s="319">
        <v>0</v>
      </c>
      <c r="GF174" s="320"/>
      <c r="GG174" s="319">
        <v>0</v>
      </c>
      <c r="GH174" s="320">
        <v>0</v>
      </c>
      <c r="GI174" s="319">
        <v>0</v>
      </c>
      <c r="GJ174" s="320"/>
      <c r="GK174" s="319">
        <v>0</v>
      </c>
      <c r="GL174" s="320"/>
      <c r="GM174" s="319">
        <v>0</v>
      </c>
      <c r="GN174" s="320">
        <v>0</v>
      </c>
      <c r="GO174" s="319">
        <v>0</v>
      </c>
      <c r="GP174" s="320"/>
      <c r="GQ174" s="319">
        <v>0</v>
      </c>
      <c r="GR174" s="320"/>
      <c r="GS174" s="319">
        <v>0</v>
      </c>
      <c r="GT174" s="320">
        <v>0</v>
      </c>
      <c r="GU174" s="319">
        <v>0</v>
      </c>
      <c r="GV174" s="320"/>
      <c r="GW174" s="319">
        <v>0</v>
      </c>
      <c r="GX174" s="320"/>
      <c r="GY174" s="319">
        <v>0</v>
      </c>
      <c r="GZ174" s="320">
        <v>0</v>
      </c>
    </row>
    <row r="175" spans="1:208" s="89" customFormat="1" ht="22.5" customHeight="1" thickBot="1" x14ac:dyDescent="0.25">
      <c r="A175" s="296" t="s">
        <v>3308</v>
      </c>
      <c r="B175" s="297" t="s">
        <v>3309</v>
      </c>
      <c r="C175" s="298" t="s">
        <v>3170</v>
      </c>
      <c r="D175" s="299" t="s">
        <v>3310</v>
      </c>
      <c r="E175" s="299" t="s">
        <v>3311</v>
      </c>
      <c r="F175" s="300" t="s">
        <v>3166</v>
      </c>
      <c r="G175" s="300" t="s">
        <v>3167</v>
      </c>
      <c r="H175" s="301" t="s">
        <v>1516</v>
      </c>
      <c r="I175" s="302" t="s">
        <v>1516</v>
      </c>
      <c r="J175" s="340" t="s">
        <v>3168</v>
      </c>
      <c r="K175" s="343" t="s">
        <v>53</v>
      </c>
      <c r="L175" s="256">
        <f>CONTINUA!BV175</f>
        <v>0</v>
      </c>
      <c r="M175" s="256">
        <f>CONTINUA!BW175</f>
        <v>0</v>
      </c>
      <c r="N175" s="564"/>
      <c r="O175" s="565" t="s">
        <v>3365</v>
      </c>
      <c r="P175" s="566">
        <v>0</v>
      </c>
      <c r="Q175" s="319">
        <v>0</v>
      </c>
      <c r="R175" s="320"/>
      <c r="S175" s="319">
        <v>0</v>
      </c>
      <c r="T175" s="320"/>
      <c r="U175" s="321">
        <v>0</v>
      </c>
      <c r="V175" s="322">
        <v>0</v>
      </c>
      <c r="W175" s="319">
        <v>0</v>
      </c>
      <c r="X175" s="320"/>
      <c r="Y175" s="319">
        <v>0</v>
      </c>
      <c r="Z175" s="320"/>
      <c r="AA175" s="321">
        <v>0</v>
      </c>
      <c r="AB175" s="322">
        <v>0</v>
      </c>
      <c r="AC175" s="319">
        <v>0</v>
      </c>
      <c r="AD175" s="320"/>
      <c r="AE175" s="319">
        <v>0</v>
      </c>
      <c r="AF175" s="320"/>
      <c r="AG175" s="321">
        <v>0</v>
      </c>
      <c r="AH175" s="322">
        <v>0</v>
      </c>
      <c r="AI175" s="319">
        <v>0</v>
      </c>
      <c r="AJ175" s="320"/>
      <c r="AK175" s="319">
        <v>0</v>
      </c>
      <c r="AL175" s="320"/>
      <c r="AM175" s="321">
        <v>0</v>
      </c>
      <c r="AN175" s="322">
        <v>0</v>
      </c>
      <c r="AO175" s="319">
        <v>0</v>
      </c>
      <c r="AP175" s="320"/>
      <c r="AQ175" s="319">
        <v>0</v>
      </c>
      <c r="AR175" s="320"/>
      <c r="AS175" s="321">
        <v>0</v>
      </c>
      <c r="AT175" s="322">
        <v>0</v>
      </c>
      <c r="AU175" s="319">
        <v>0</v>
      </c>
      <c r="AV175" s="320"/>
      <c r="AW175" s="319">
        <v>0</v>
      </c>
      <c r="AX175" s="320"/>
      <c r="AY175" s="321">
        <v>0</v>
      </c>
      <c r="AZ175" s="322">
        <v>0</v>
      </c>
      <c r="BA175" s="319">
        <v>0</v>
      </c>
      <c r="BB175" s="320"/>
      <c r="BC175" s="319">
        <v>0</v>
      </c>
      <c r="BD175" s="320"/>
      <c r="BE175" s="321">
        <v>0</v>
      </c>
      <c r="BF175" s="322">
        <v>0</v>
      </c>
      <c r="BG175" s="319">
        <v>0</v>
      </c>
      <c r="BH175" s="320"/>
      <c r="BI175" s="319">
        <v>0</v>
      </c>
      <c r="BJ175" s="320"/>
      <c r="BK175" s="321">
        <v>0</v>
      </c>
      <c r="BL175" s="322">
        <v>0</v>
      </c>
      <c r="BM175" s="319">
        <v>0</v>
      </c>
      <c r="BN175" s="320"/>
      <c r="BO175" s="319">
        <v>0</v>
      </c>
      <c r="BP175" s="320"/>
      <c r="BQ175" s="321">
        <v>0</v>
      </c>
      <c r="BR175" s="322">
        <v>0</v>
      </c>
      <c r="BS175" s="319">
        <v>0</v>
      </c>
      <c r="BT175" s="320"/>
      <c r="BU175" s="319">
        <v>0</v>
      </c>
      <c r="BV175" s="320"/>
      <c r="BW175" s="321">
        <v>0</v>
      </c>
      <c r="BX175" s="322">
        <v>0</v>
      </c>
      <c r="BY175" s="319">
        <v>0</v>
      </c>
      <c r="BZ175" s="320"/>
      <c r="CA175" s="319">
        <v>0</v>
      </c>
      <c r="CB175" s="320"/>
      <c r="CC175" s="321">
        <v>0</v>
      </c>
      <c r="CD175" s="322">
        <v>0</v>
      </c>
      <c r="CE175" s="319">
        <v>0</v>
      </c>
      <c r="CF175" s="320"/>
      <c r="CG175" s="319">
        <v>0</v>
      </c>
      <c r="CH175" s="320"/>
      <c r="CI175" s="321">
        <v>0</v>
      </c>
      <c r="CJ175" s="322">
        <v>0</v>
      </c>
      <c r="CK175" s="319">
        <v>0</v>
      </c>
      <c r="CL175" s="320"/>
      <c r="CM175" s="319">
        <v>0</v>
      </c>
      <c r="CN175" s="320"/>
      <c r="CO175" s="321">
        <v>0</v>
      </c>
      <c r="CP175" s="322">
        <v>0</v>
      </c>
      <c r="CQ175" s="319">
        <v>0</v>
      </c>
      <c r="CR175" s="320"/>
      <c r="CS175" s="319">
        <v>0</v>
      </c>
      <c r="CT175" s="320"/>
      <c r="CU175" s="321">
        <v>0</v>
      </c>
      <c r="CV175" s="322">
        <v>0</v>
      </c>
      <c r="CW175" s="319">
        <v>0</v>
      </c>
      <c r="CX175" s="320"/>
      <c r="CY175" s="319">
        <v>0</v>
      </c>
      <c r="CZ175" s="320"/>
      <c r="DA175" s="321">
        <v>0</v>
      </c>
      <c r="DB175" s="322">
        <v>0</v>
      </c>
      <c r="DC175" s="319">
        <v>0</v>
      </c>
      <c r="DD175" s="320"/>
      <c r="DE175" s="319">
        <v>0</v>
      </c>
      <c r="DF175" s="320"/>
      <c r="DG175" s="321">
        <v>0</v>
      </c>
      <c r="DH175" s="322">
        <v>0</v>
      </c>
      <c r="DI175" s="319">
        <v>0</v>
      </c>
      <c r="DJ175" s="320"/>
      <c r="DK175" s="319">
        <v>0</v>
      </c>
      <c r="DL175" s="320"/>
      <c r="DM175" s="321">
        <v>0</v>
      </c>
      <c r="DN175" s="322">
        <v>0</v>
      </c>
      <c r="DO175" s="319">
        <v>0</v>
      </c>
      <c r="DP175" s="320"/>
      <c r="DQ175" s="319">
        <v>0</v>
      </c>
      <c r="DR175" s="320"/>
      <c r="DS175" s="321">
        <v>0</v>
      </c>
      <c r="DT175" s="322">
        <v>0</v>
      </c>
      <c r="DU175" s="319">
        <v>0</v>
      </c>
      <c r="DV175" s="320"/>
      <c r="DW175" s="319">
        <v>0</v>
      </c>
      <c r="DX175" s="320"/>
      <c r="DY175" s="321">
        <v>0</v>
      </c>
      <c r="DZ175" s="322">
        <v>0</v>
      </c>
      <c r="EA175" s="319">
        <v>0</v>
      </c>
      <c r="EB175" s="320"/>
      <c r="EC175" s="319">
        <v>0</v>
      </c>
      <c r="ED175" s="320"/>
      <c r="EE175" s="321">
        <v>0</v>
      </c>
      <c r="EF175" s="322">
        <v>0</v>
      </c>
      <c r="EG175" s="319">
        <v>0</v>
      </c>
      <c r="EH175" s="320"/>
      <c r="EI175" s="319">
        <v>0</v>
      </c>
      <c r="EJ175" s="320"/>
      <c r="EK175" s="321">
        <v>0</v>
      </c>
      <c r="EL175" s="322">
        <v>0</v>
      </c>
      <c r="EM175" s="319">
        <v>0</v>
      </c>
      <c r="EN175" s="320"/>
      <c r="EO175" s="319">
        <v>0</v>
      </c>
      <c r="EP175" s="320"/>
      <c r="EQ175" s="321">
        <v>0</v>
      </c>
      <c r="ER175" s="322">
        <v>0</v>
      </c>
      <c r="ES175" s="319">
        <v>0</v>
      </c>
      <c r="ET175" s="320"/>
      <c r="EU175" s="319">
        <v>0</v>
      </c>
      <c r="EV175" s="320"/>
      <c r="EW175" s="321">
        <v>0</v>
      </c>
      <c r="EX175" s="322">
        <v>0</v>
      </c>
      <c r="EY175" s="319">
        <v>0</v>
      </c>
      <c r="EZ175" s="320"/>
      <c r="FA175" s="319">
        <v>0</v>
      </c>
      <c r="FB175" s="320"/>
      <c r="FC175" s="321">
        <v>0</v>
      </c>
      <c r="FD175" s="322">
        <v>0</v>
      </c>
      <c r="FE175" s="319">
        <v>0</v>
      </c>
      <c r="FF175" s="320"/>
      <c r="FG175" s="319">
        <v>0</v>
      </c>
      <c r="FH175" s="320"/>
      <c r="FI175" s="321">
        <v>0</v>
      </c>
      <c r="FJ175" s="322">
        <v>0</v>
      </c>
      <c r="FK175" s="319">
        <v>0</v>
      </c>
      <c r="FL175" s="320"/>
      <c r="FM175" s="319">
        <v>0</v>
      </c>
      <c r="FN175" s="320"/>
      <c r="FO175" s="321">
        <v>0</v>
      </c>
      <c r="FP175" s="322">
        <v>0</v>
      </c>
      <c r="FQ175" s="319">
        <v>0</v>
      </c>
      <c r="FR175" s="320"/>
      <c r="FS175" s="319">
        <v>0</v>
      </c>
      <c r="FT175" s="320"/>
      <c r="FU175" s="321">
        <v>0</v>
      </c>
      <c r="FV175" s="322">
        <v>0</v>
      </c>
      <c r="FW175" s="319">
        <v>0</v>
      </c>
      <c r="FX175" s="320"/>
      <c r="FY175" s="319">
        <v>0</v>
      </c>
      <c r="FZ175" s="320"/>
      <c r="GA175" s="321">
        <v>0</v>
      </c>
      <c r="GB175" s="322">
        <v>0</v>
      </c>
      <c r="GC175" s="319">
        <v>0</v>
      </c>
      <c r="GD175" s="320"/>
      <c r="GE175" s="319">
        <v>0</v>
      </c>
      <c r="GF175" s="320"/>
      <c r="GG175" s="321">
        <v>0</v>
      </c>
      <c r="GH175" s="322">
        <v>0</v>
      </c>
      <c r="GI175" s="319">
        <v>0</v>
      </c>
      <c r="GJ175" s="320"/>
      <c r="GK175" s="319">
        <v>0</v>
      </c>
      <c r="GL175" s="320"/>
      <c r="GM175" s="321">
        <v>0</v>
      </c>
      <c r="GN175" s="322">
        <v>0</v>
      </c>
      <c r="GO175" s="319">
        <v>0</v>
      </c>
      <c r="GP175" s="320"/>
      <c r="GQ175" s="319">
        <v>0</v>
      </c>
      <c r="GR175" s="320"/>
      <c r="GS175" s="321">
        <v>0</v>
      </c>
      <c r="GT175" s="322">
        <v>0</v>
      </c>
      <c r="GU175" s="319">
        <v>0</v>
      </c>
      <c r="GV175" s="320"/>
      <c r="GW175" s="319">
        <v>0</v>
      </c>
      <c r="GX175" s="320"/>
      <c r="GY175" s="321">
        <v>0</v>
      </c>
      <c r="GZ175" s="322">
        <v>0</v>
      </c>
    </row>
    <row r="176" spans="1:208" s="89" customFormat="1" ht="22.5" customHeight="1" x14ac:dyDescent="0.2">
      <c r="A176" t="s">
        <v>3312</v>
      </c>
      <c r="B176" s="429" t="s">
        <v>3313</v>
      </c>
      <c r="C176" s="430">
        <v>1</v>
      </c>
      <c r="D176" s="431" t="s">
        <v>3314</v>
      </c>
      <c r="E176" s="431" t="s">
        <v>3315</v>
      </c>
      <c r="F176" s="432" t="s">
        <v>3166</v>
      </c>
      <c r="G176" s="432" t="s">
        <v>3167</v>
      </c>
      <c r="H176" s="270" t="s">
        <v>1518</v>
      </c>
      <c r="I176" s="271" t="s">
        <v>1518</v>
      </c>
      <c r="J176" s="328" t="s">
        <v>3168</v>
      </c>
      <c r="K176" s="329" t="s">
        <v>3169</v>
      </c>
      <c r="L176" s="256">
        <f>CONTINUA!BV176</f>
        <v>0</v>
      </c>
      <c r="M176" s="256">
        <f>CONTINUA!BW176</f>
        <v>0</v>
      </c>
      <c r="N176" s="564"/>
      <c r="O176" s="565" t="s">
        <v>3366</v>
      </c>
      <c r="P176" s="566">
        <v>0</v>
      </c>
      <c r="Q176" s="319">
        <v>12</v>
      </c>
      <c r="R176" s="320"/>
      <c r="S176" s="319">
        <v>0</v>
      </c>
      <c r="T176" s="320"/>
      <c r="U176" s="321">
        <v>0</v>
      </c>
      <c r="V176" s="322">
        <v>0</v>
      </c>
      <c r="W176" s="319">
        <v>12</v>
      </c>
      <c r="X176" s="320"/>
      <c r="Y176" s="319">
        <v>0</v>
      </c>
      <c r="Z176" s="320"/>
      <c r="AA176" s="321">
        <v>0</v>
      </c>
      <c r="AB176" s="322">
        <v>0</v>
      </c>
      <c r="AC176" s="319">
        <v>12</v>
      </c>
      <c r="AD176" s="320"/>
      <c r="AE176" s="319">
        <v>0</v>
      </c>
      <c r="AF176" s="320"/>
      <c r="AG176" s="321">
        <v>0</v>
      </c>
      <c r="AH176" s="322">
        <v>0</v>
      </c>
      <c r="AI176" s="319">
        <v>12</v>
      </c>
      <c r="AJ176" s="320"/>
      <c r="AK176" s="319">
        <v>0</v>
      </c>
      <c r="AL176" s="320"/>
      <c r="AM176" s="321">
        <v>0</v>
      </c>
      <c r="AN176" s="322">
        <v>0</v>
      </c>
      <c r="AO176" s="319">
        <v>12</v>
      </c>
      <c r="AP176" s="320"/>
      <c r="AQ176" s="319">
        <v>0</v>
      </c>
      <c r="AR176" s="320"/>
      <c r="AS176" s="321">
        <v>0</v>
      </c>
      <c r="AT176" s="322">
        <v>0</v>
      </c>
      <c r="AU176" s="319">
        <v>12</v>
      </c>
      <c r="AV176" s="320"/>
      <c r="AW176" s="319">
        <v>0</v>
      </c>
      <c r="AX176" s="320"/>
      <c r="AY176" s="321">
        <v>0</v>
      </c>
      <c r="AZ176" s="322">
        <v>0</v>
      </c>
      <c r="BA176" s="319">
        <v>12</v>
      </c>
      <c r="BB176" s="320"/>
      <c r="BC176" s="319">
        <v>0</v>
      </c>
      <c r="BD176" s="320"/>
      <c r="BE176" s="321">
        <v>0</v>
      </c>
      <c r="BF176" s="322">
        <v>0</v>
      </c>
      <c r="BG176" s="319">
        <v>12</v>
      </c>
      <c r="BH176" s="320"/>
      <c r="BI176" s="319">
        <v>0</v>
      </c>
      <c r="BJ176" s="320"/>
      <c r="BK176" s="321">
        <v>0</v>
      </c>
      <c r="BL176" s="322">
        <v>0</v>
      </c>
      <c r="BM176" s="319">
        <v>12</v>
      </c>
      <c r="BN176" s="320"/>
      <c r="BO176" s="319">
        <v>0</v>
      </c>
      <c r="BP176" s="320"/>
      <c r="BQ176" s="321">
        <v>0</v>
      </c>
      <c r="BR176" s="322">
        <v>0</v>
      </c>
      <c r="BS176" s="319">
        <v>12</v>
      </c>
      <c r="BT176" s="320"/>
      <c r="BU176" s="319">
        <v>0</v>
      </c>
      <c r="BV176" s="320"/>
      <c r="BW176" s="321">
        <v>0</v>
      </c>
      <c r="BX176" s="322">
        <v>0</v>
      </c>
      <c r="BY176" s="319">
        <v>12</v>
      </c>
      <c r="BZ176" s="320"/>
      <c r="CA176" s="319">
        <v>0</v>
      </c>
      <c r="CB176" s="320"/>
      <c r="CC176" s="321">
        <v>0</v>
      </c>
      <c r="CD176" s="322">
        <v>0</v>
      </c>
      <c r="CE176" s="319">
        <v>12</v>
      </c>
      <c r="CF176" s="320"/>
      <c r="CG176" s="319">
        <v>0</v>
      </c>
      <c r="CH176" s="320"/>
      <c r="CI176" s="321">
        <v>0</v>
      </c>
      <c r="CJ176" s="322">
        <v>0</v>
      </c>
      <c r="CK176" s="319">
        <v>12</v>
      </c>
      <c r="CL176" s="320"/>
      <c r="CM176" s="319">
        <v>0</v>
      </c>
      <c r="CN176" s="320"/>
      <c r="CO176" s="321">
        <v>0</v>
      </c>
      <c r="CP176" s="322">
        <v>0</v>
      </c>
      <c r="CQ176" s="319">
        <v>12</v>
      </c>
      <c r="CR176" s="320"/>
      <c r="CS176" s="319">
        <v>0</v>
      </c>
      <c r="CT176" s="320"/>
      <c r="CU176" s="321">
        <v>0</v>
      </c>
      <c r="CV176" s="322">
        <v>0</v>
      </c>
      <c r="CW176" s="319">
        <v>12</v>
      </c>
      <c r="CX176" s="320"/>
      <c r="CY176" s="319">
        <v>0</v>
      </c>
      <c r="CZ176" s="320"/>
      <c r="DA176" s="321">
        <v>0</v>
      </c>
      <c r="DB176" s="322">
        <v>0</v>
      </c>
      <c r="DC176" s="319">
        <v>12</v>
      </c>
      <c r="DD176" s="320"/>
      <c r="DE176" s="319">
        <v>0</v>
      </c>
      <c r="DF176" s="320"/>
      <c r="DG176" s="321">
        <v>0</v>
      </c>
      <c r="DH176" s="322">
        <v>0</v>
      </c>
      <c r="DI176" s="319">
        <v>12</v>
      </c>
      <c r="DJ176" s="320"/>
      <c r="DK176" s="319">
        <v>0</v>
      </c>
      <c r="DL176" s="320"/>
      <c r="DM176" s="321">
        <v>0</v>
      </c>
      <c r="DN176" s="322">
        <v>0</v>
      </c>
      <c r="DO176" s="319">
        <v>12</v>
      </c>
      <c r="DP176" s="320"/>
      <c r="DQ176" s="319">
        <v>0</v>
      </c>
      <c r="DR176" s="320"/>
      <c r="DS176" s="321">
        <v>0</v>
      </c>
      <c r="DT176" s="322">
        <v>0</v>
      </c>
      <c r="DU176" s="319">
        <v>12</v>
      </c>
      <c r="DV176" s="320"/>
      <c r="DW176" s="319">
        <v>0</v>
      </c>
      <c r="DX176" s="320"/>
      <c r="DY176" s="321">
        <v>0</v>
      </c>
      <c r="DZ176" s="322">
        <v>0</v>
      </c>
      <c r="EA176" s="319">
        <v>12</v>
      </c>
      <c r="EB176" s="320"/>
      <c r="EC176" s="319">
        <v>0</v>
      </c>
      <c r="ED176" s="320"/>
      <c r="EE176" s="321">
        <v>0</v>
      </c>
      <c r="EF176" s="322">
        <v>0</v>
      </c>
      <c r="EG176" s="319">
        <v>12</v>
      </c>
      <c r="EH176" s="320"/>
      <c r="EI176" s="319">
        <v>0</v>
      </c>
      <c r="EJ176" s="320"/>
      <c r="EK176" s="321">
        <v>0</v>
      </c>
      <c r="EL176" s="322">
        <v>0</v>
      </c>
      <c r="EM176" s="319">
        <v>12</v>
      </c>
      <c r="EN176" s="320"/>
      <c r="EO176" s="319">
        <v>0</v>
      </c>
      <c r="EP176" s="320"/>
      <c r="EQ176" s="321">
        <v>0</v>
      </c>
      <c r="ER176" s="322">
        <v>0</v>
      </c>
      <c r="ES176" s="319">
        <v>12</v>
      </c>
      <c r="ET176" s="320"/>
      <c r="EU176" s="319">
        <v>0</v>
      </c>
      <c r="EV176" s="320"/>
      <c r="EW176" s="321">
        <v>0</v>
      </c>
      <c r="EX176" s="322">
        <v>0</v>
      </c>
      <c r="EY176" s="319">
        <v>12</v>
      </c>
      <c r="EZ176" s="320"/>
      <c r="FA176" s="319">
        <v>0</v>
      </c>
      <c r="FB176" s="320"/>
      <c r="FC176" s="321">
        <v>0</v>
      </c>
      <c r="FD176" s="322">
        <v>0</v>
      </c>
      <c r="FE176" s="319">
        <v>12</v>
      </c>
      <c r="FF176" s="320"/>
      <c r="FG176" s="319">
        <v>0</v>
      </c>
      <c r="FH176" s="320"/>
      <c r="FI176" s="321">
        <v>0</v>
      </c>
      <c r="FJ176" s="322">
        <v>0</v>
      </c>
      <c r="FK176" s="319">
        <v>12</v>
      </c>
      <c r="FL176" s="320"/>
      <c r="FM176" s="319">
        <v>0</v>
      </c>
      <c r="FN176" s="320"/>
      <c r="FO176" s="321">
        <v>0</v>
      </c>
      <c r="FP176" s="322">
        <v>0</v>
      </c>
      <c r="FQ176" s="319">
        <v>12</v>
      </c>
      <c r="FR176" s="320"/>
      <c r="FS176" s="319">
        <v>0</v>
      </c>
      <c r="FT176" s="320"/>
      <c r="FU176" s="321">
        <v>0</v>
      </c>
      <c r="FV176" s="322">
        <v>0</v>
      </c>
      <c r="FW176" s="319">
        <v>12</v>
      </c>
      <c r="FX176" s="320"/>
      <c r="FY176" s="319">
        <v>0</v>
      </c>
      <c r="FZ176" s="320"/>
      <c r="GA176" s="321">
        <v>0</v>
      </c>
      <c r="GB176" s="322">
        <v>0</v>
      </c>
      <c r="GC176" s="319">
        <v>12</v>
      </c>
      <c r="GD176" s="320"/>
      <c r="GE176" s="319">
        <v>0</v>
      </c>
      <c r="GF176" s="320"/>
      <c r="GG176" s="321">
        <v>0</v>
      </c>
      <c r="GH176" s="322">
        <v>0</v>
      </c>
      <c r="GI176" s="319">
        <v>12</v>
      </c>
      <c r="GJ176" s="320"/>
      <c r="GK176" s="319">
        <v>0</v>
      </c>
      <c r="GL176" s="320"/>
      <c r="GM176" s="321">
        <v>0</v>
      </c>
      <c r="GN176" s="322">
        <v>0</v>
      </c>
      <c r="GO176" s="319">
        <v>12</v>
      </c>
      <c r="GP176" s="320"/>
      <c r="GQ176" s="319">
        <v>0</v>
      </c>
      <c r="GR176" s="320"/>
      <c r="GS176" s="321">
        <v>0</v>
      </c>
      <c r="GT176" s="322">
        <v>0</v>
      </c>
      <c r="GU176" s="319">
        <v>12</v>
      </c>
      <c r="GV176" s="320"/>
      <c r="GW176" s="319">
        <v>0</v>
      </c>
      <c r="GX176" s="320"/>
      <c r="GY176" s="321">
        <v>0</v>
      </c>
      <c r="GZ176" s="322">
        <v>0</v>
      </c>
    </row>
    <row r="177" spans="1:208" s="89" customFormat="1" ht="22.5" customHeight="1" x14ac:dyDescent="0.2">
      <c r="A177" s="287" t="s">
        <v>3312</v>
      </c>
      <c r="B177" s="288" t="s">
        <v>3313</v>
      </c>
      <c r="C177" s="289" t="s">
        <v>3170</v>
      </c>
      <c r="D177" s="290" t="s">
        <v>3314</v>
      </c>
      <c r="E177" s="290" t="s">
        <v>3315</v>
      </c>
      <c r="F177" s="291" t="s">
        <v>3166</v>
      </c>
      <c r="G177" s="291" t="s">
        <v>3167</v>
      </c>
      <c r="H177" s="292" t="s">
        <v>1518</v>
      </c>
      <c r="I177" s="293" t="s">
        <v>1518</v>
      </c>
      <c r="J177" s="340" t="s">
        <v>3168</v>
      </c>
      <c r="K177" s="340" t="s">
        <v>3171</v>
      </c>
      <c r="L177" s="256">
        <f>CONTINUA!BV177</f>
        <v>20</v>
      </c>
      <c r="M177" s="256">
        <f>CONTINUA!BW177</f>
        <v>0</v>
      </c>
      <c r="N177" s="564"/>
      <c r="O177" s="565" t="s">
        <v>3366</v>
      </c>
      <c r="P177" s="566">
        <v>0</v>
      </c>
      <c r="Q177" s="319">
        <v>21</v>
      </c>
      <c r="R177" s="320"/>
      <c r="S177" s="319">
        <v>0</v>
      </c>
      <c r="T177" s="320"/>
      <c r="U177" s="319">
        <v>0</v>
      </c>
      <c r="V177" s="320">
        <v>0</v>
      </c>
      <c r="W177" s="319">
        <v>21</v>
      </c>
      <c r="X177" s="320"/>
      <c r="Y177" s="319">
        <v>0</v>
      </c>
      <c r="Z177" s="320"/>
      <c r="AA177" s="319">
        <v>0</v>
      </c>
      <c r="AB177" s="320">
        <v>0</v>
      </c>
      <c r="AC177" s="319">
        <v>21</v>
      </c>
      <c r="AD177" s="320"/>
      <c r="AE177" s="319">
        <v>0</v>
      </c>
      <c r="AF177" s="320"/>
      <c r="AG177" s="319">
        <v>0</v>
      </c>
      <c r="AH177" s="320">
        <v>0</v>
      </c>
      <c r="AI177" s="319">
        <v>21</v>
      </c>
      <c r="AJ177" s="320"/>
      <c r="AK177" s="319">
        <v>0</v>
      </c>
      <c r="AL177" s="320"/>
      <c r="AM177" s="319">
        <v>0</v>
      </c>
      <c r="AN177" s="320">
        <v>0</v>
      </c>
      <c r="AO177" s="319">
        <v>21</v>
      </c>
      <c r="AP177" s="320"/>
      <c r="AQ177" s="319">
        <v>0</v>
      </c>
      <c r="AR177" s="320"/>
      <c r="AS177" s="319">
        <v>0</v>
      </c>
      <c r="AT177" s="320">
        <v>0</v>
      </c>
      <c r="AU177" s="319">
        <v>21</v>
      </c>
      <c r="AV177" s="320"/>
      <c r="AW177" s="319">
        <v>0</v>
      </c>
      <c r="AX177" s="320"/>
      <c r="AY177" s="319">
        <v>0</v>
      </c>
      <c r="AZ177" s="320">
        <v>0</v>
      </c>
      <c r="BA177" s="319">
        <v>21</v>
      </c>
      <c r="BB177" s="320"/>
      <c r="BC177" s="319">
        <v>0</v>
      </c>
      <c r="BD177" s="320"/>
      <c r="BE177" s="319">
        <v>0</v>
      </c>
      <c r="BF177" s="320">
        <v>0</v>
      </c>
      <c r="BG177" s="319">
        <v>21</v>
      </c>
      <c r="BH177" s="320"/>
      <c r="BI177" s="319">
        <v>0</v>
      </c>
      <c r="BJ177" s="320"/>
      <c r="BK177" s="319">
        <v>0</v>
      </c>
      <c r="BL177" s="320">
        <v>0</v>
      </c>
      <c r="BM177" s="319">
        <v>21</v>
      </c>
      <c r="BN177" s="320"/>
      <c r="BO177" s="319">
        <v>0</v>
      </c>
      <c r="BP177" s="320"/>
      <c r="BQ177" s="319">
        <v>0</v>
      </c>
      <c r="BR177" s="320">
        <v>0</v>
      </c>
      <c r="BS177" s="319">
        <v>21</v>
      </c>
      <c r="BT177" s="320"/>
      <c r="BU177" s="319">
        <v>0</v>
      </c>
      <c r="BV177" s="320"/>
      <c r="BW177" s="319">
        <v>0</v>
      </c>
      <c r="BX177" s="320">
        <v>0</v>
      </c>
      <c r="BY177" s="319">
        <v>21</v>
      </c>
      <c r="BZ177" s="320"/>
      <c r="CA177" s="319">
        <v>0</v>
      </c>
      <c r="CB177" s="320"/>
      <c r="CC177" s="319">
        <v>0</v>
      </c>
      <c r="CD177" s="320">
        <v>0</v>
      </c>
      <c r="CE177" s="319">
        <v>21</v>
      </c>
      <c r="CF177" s="320"/>
      <c r="CG177" s="319">
        <v>0</v>
      </c>
      <c r="CH177" s="320"/>
      <c r="CI177" s="319">
        <v>0</v>
      </c>
      <c r="CJ177" s="320">
        <v>0</v>
      </c>
      <c r="CK177" s="319">
        <v>21</v>
      </c>
      <c r="CL177" s="320"/>
      <c r="CM177" s="319">
        <v>0</v>
      </c>
      <c r="CN177" s="320"/>
      <c r="CO177" s="319">
        <v>0</v>
      </c>
      <c r="CP177" s="320">
        <v>0</v>
      </c>
      <c r="CQ177" s="319">
        <v>21</v>
      </c>
      <c r="CR177" s="320"/>
      <c r="CS177" s="319">
        <v>0</v>
      </c>
      <c r="CT177" s="320"/>
      <c r="CU177" s="319">
        <v>0</v>
      </c>
      <c r="CV177" s="320">
        <v>0</v>
      </c>
      <c r="CW177" s="319">
        <v>21</v>
      </c>
      <c r="CX177" s="320"/>
      <c r="CY177" s="319">
        <v>0</v>
      </c>
      <c r="CZ177" s="320"/>
      <c r="DA177" s="319">
        <v>0</v>
      </c>
      <c r="DB177" s="320">
        <v>0</v>
      </c>
      <c r="DC177" s="319">
        <v>21</v>
      </c>
      <c r="DD177" s="320"/>
      <c r="DE177" s="319">
        <v>0</v>
      </c>
      <c r="DF177" s="320"/>
      <c r="DG177" s="319">
        <v>0</v>
      </c>
      <c r="DH177" s="320">
        <v>0</v>
      </c>
      <c r="DI177" s="319">
        <v>21</v>
      </c>
      <c r="DJ177" s="320"/>
      <c r="DK177" s="319">
        <v>0</v>
      </c>
      <c r="DL177" s="320"/>
      <c r="DM177" s="319">
        <v>0</v>
      </c>
      <c r="DN177" s="320">
        <v>0</v>
      </c>
      <c r="DO177" s="319">
        <v>21</v>
      </c>
      <c r="DP177" s="320"/>
      <c r="DQ177" s="319">
        <v>0</v>
      </c>
      <c r="DR177" s="320"/>
      <c r="DS177" s="319">
        <v>0</v>
      </c>
      <c r="DT177" s="320">
        <v>0</v>
      </c>
      <c r="DU177" s="319">
        <v>21</v>
      </c>
      <c r="DV177" s="320"/>
      <c r="DW177" s="319">
        <v>0</v>
      </c>
      <c r="DX177" s="320"/>
      <c r="DY177" s="319">
        <v>0</v>
      </c>
      <c r="DZ177" s="320">
        <v>0</v>
      </c>
      <c r="EA177" s="319">
        <v>21</v>
      </c>
      <c r="EB177" s="320"/>
      <c r="EC177" s="319">
        <v>0</v>
      </c>
      <c r="ED177" s="320"/>
      <c r="EE177" s="319">
        <v>0</v>
      </c>
      <c r="EF177" s="320">
        <v>0</v>
      </c>
      <c r="EG177" s="319">
        <v>21</v>
      </c>
      <c r="EH177" s="320"/>
      <c r="EI177" s="319">
        <v>0</v>
      </c>
      <c r="EJ177" s="320"/>
      <c r="EK177" s="319">
        <v>0</v>
      </c>
      <c r="EL177" s="320">
        <v>0</v>
      </c>
      <c r="EM177" s="319">
        <v>21</v>
      </c>
      <c r="EN177" s="320"/>
      <c r="EO177" s="319">
        <v>0</v>
      </c>
      <c r="EP177" s="320"/>
      <c r="EQ177" s="319">
        <v>0</v>
      </c>
      <c r="ER177" s="320">
        <v>0</v>
      </c>
      <c r="ES177" s="319">
        <v>21</v>
      </c>
      <c r="ET177" s="320"/>
      <c r="EU177" s="319">
        <v>0</v>
      </c>
      <c r="EV177" s="320"/>
      <c r="EW177" s="319">
        <v>0</v>
      </c>
      <c r="EX177" s="320">
        <v>0</v>
      </c>
      <c r="EY177" s="319">
        <v>21</v>
      </c>
      <c r="EZ177" s="320"/>
      <c r="FA177" s="319">
        <v>0</v>
      </c>
      <c r="FB177" s="320"/>
      <c r="FC177" s="319">
        <v>0</v>
      </c>
      <c r="FD177" s="320">
        <v>0</v>
      </c>
      <c r="FE177" s="319">
        <v>21</v>
      </c>
      <c r="FF177" s="320"/>
      <c r="FG177" s="319">
        <v>0</v>
      </c>
      <c r="FH177" s="320"/>
      <c r="FI177" s="319">
        <v>0</v>
      </c>
      <c r="FJ177" s="320">
        <v>0</v>
      </c>
      <c r="FK177" s="319">
        <v>21</v>
      </c>
      <c r="FL177" s="320"/>
      <c r="FM177" s="319">
        <v>0</v>
      </c>
      <c r="FN177" s="320"/>
      <c r="FO177" s="319">
        <v>0</v>
      </c>
      <c r="FP177" s="320">
        <v>0</v>
      </c>
      <c r="FQ177" s="319">
        <v>21</v>
      </c>
      <c r="FR177" s="320"/>
      <c r="FS177" s="319">
        <v>0</v>
      </c>
      <c r="FT177" s="320"/>
      <c r="FU177" s="319">
        <v>0</v>
      </c>
      <c r="FV177" s="320">
        <v>0</v>
      </c>
      <c r="FW177" s="319">
        <v>21</v>
      </c>
      <c r="FX177" s="320"/>
      <c r="FY177" s="319">
        <v>0</v>
      </c>
      <c r="FZ177" s="320"/>
      <c r="GA177" s="319">
        <v>0</v>
      </c>
      <c r="GB177" s="320">
        <v>0</v>
      </c>
      <c r="GC177" s="319">
        <v>21</v>
      </c>
      <c r="GD177" s="320"/>
      <c r="GE177" s="319">
        <v>0</v>
      </c>
      <c r="GF177" s="320"/>
      <c r="GG177" s="319">
        <v>0</v>
      </c>
      <c r="GH177" s="320">
        <v>0</v>
      </c>
      <c r="GI177" s="319">
        <v>21</v>
      </c>
      <c r="GJ177" s="320"/>
      <c r="GK177" s="319">
        <v>0</v>
      </c>
      <c r="GL177" s="320"/>
      <c r="GM177" s="319">
        <v>0</v>
      </c>
      <c r="GN177" s="320">
        <v>0</v>
      </c>
      <c r="GO177" s="319">
        <v>21</v>
      </c>
      <c r="GP177" s="320"/>
      <c r="GQ177" s="319">
        <v>0</v>
      </c>
      <c r="GR177" s="320"/>
      <c r="GS177" s="319">
        <v>0</v>
      </c>
      <c r="GT177" s="320">
        <v>0</v>
      </c>
      <c r="GU177" s="319">
        <v>21</v>
      </c>
      <c r="GV177" s="320"/>
      <c r="GW177" s="319">
        <v>0</v>
      </c>
      <c r="GX177" s="320"/>
      <c r="GY177" s="319">
        <v>0</v>
      </c>
      <c r="GZ177" s="320">
        <v>0</v>
      </c>
    </row>
    <row r="178" spans="1:208" s="89" customFormat="1" ht="22.5" customHeight="1" x14ac:dyDescent="0.2">
      <c r="A178" s="287" t="s">
        <v>3312</v>
      </c>
      <c r="B178" s="288" t="s">
        <v>3313</v>
      </c>
      <c r="C178" s="294" t="s">
        <v>3170</v>
      </c>
      <c r="D178" s="290" t="s">
        <v>3314</v>
      </c>
      <c r="E178" s="290" t="s">
        <v>3315</v>
      </c>
      <c r="F178" s="295" t="s">
        <v>3166</v>
      </c>
      <c r="G178" s="295" t="s">
        <v>3167</v>
      </c>
      <c r="H178" s="292" t="s">
        <v>1518</v>
      </c>
      <c r="I178" s="293" t="s">
        <v>1518</v>
      </c>
      <c r="J178" s="340" t="s">
        <v>3168</v>
      </c>
      <c r="K178" s="341" t="s">
        <v>3172</v>
      </c>
      <c r="L178" s="256">
        <f>CONTINUA!BV178</f>
        <v>0</v>
      </c>
      <c r="M178" s="256">
        <f>CONTINUA!BW178</f>
        <v>0</v>
      </c>
      <c r="N178" s="564"/>
      <c r="O178" s="565" t="s">
        <v>3366</v>
      </c>
      <c r="P178" s="566">
        <v>0</v>
      </c>
      <c r="Q178" s="319">
        <v>0</v>
      </c>
      <c r="R178" s="320"/>
      <c r="S178" s="319">
        <v>0</v>
      </c>
      <c r="T178" s="320"/>
      <c r="U178" s="319">
        <v>0</v>
      </c>
      <c r="V178" s="320">
        <v>0</v>
      </c>
      <c r="W178" s="319">
        <v>0</v>
      </c>
      <c r="X178" s="320"/>
      <c r="Y178" s="319">
        <v>0</v>
      </c>
      <c r="Z178" s="320"/>
      <c r="AA178" s="319">
        <v>0</v>
      </c>
      <c r="AB178" s="320">
        <v>0</v>
      </c>
      <c r="AC178" s="319">
        <v>0</v>
      </c>
      <c r="AD178" s="320"/>
      <c r="AE178" s="319">
        <v>0</v>
      </c>
      <c r="AF178" s="320"/>
      <c r="AG178" s="319">
        <v>0</v>
      </c>
      <c r="AH178" s="320">
        <v>0</v>
      </c>
      <c r="AI178" s="319">
        <v>0</v>
      </c>
      <c r="AJ178" s="320"/>
      <c r="AK178" s="319">
        <v>0</v>
      </c>
      <c r="AL178" s="320"/>
      <c r="AM178" s="319">
        <v>0</v>
      </c>
      <c r="AN178" s="320">
        <v>0</v>
      </c>
      <c r="AO178" s="319">
        <v>0</v>
      </c>
      <c r="AP178" s="320"/>
      <c r="AQ178" s="319">
        <v>0</v>
      </c>
      <c r="AR178" s="320"/>
      <c r="AS178" s="319">
        <v>0</v>
      </c>
      <c r="AT178" s="320">
        <v>0</v>
      </c>
      <c r="AU178" s="319">
        <v>0</v>
      </c>
      <c r="AV178" s="320"/>
      <c r="AW178" s="319">
        <v>0</v>
      </c>
      <c r="AX178" s="320"/>
      <c r="AY178" s="319">
        <v>0</v>
      </c>
      <c r="AZ178" s="320">
        <v>0</v>
      </c>
      <c r="BA178" s="319">
        <v>0</v>
      </c>
      <c r="BB178" s="320"/>
      <c r="BC178" s="319">
        <v>0</v>
      </c>
      <c r="BD178" s="320"/>
      <c r="BE178" s="319">
        <v>0</v>
      </c>
      <c r="BF178" s="320">
        <v>0</v>
      </c>
      <c r="BG178" s="319">
        <v>0</v>
      </c>
      <c r="BH178" s="320"/>
      <c r="BI178" s="319">
        <v>0</v>
      </c>
      <c r="BJ178" s="320"/>
      <c r="BK178" s="319">
        <v>0</v>
      </c>
      <c r="BL178" s="320">
        <v>0</v>
      </c>
      <c r="BM178" s="319">
        <v>0</v>
      </c>
      <c r="BN178" s="320"/>
      <c r="BO178" s="319">
        <v>0</v>
      </c>
      <c r="BP178" s="320"/>
      <c r="BQ178" s="319">
        <v>0</v>
      </c>
      <c r="BR178" s="320">
        <v>0</v>
      </c>
      <c r="BS178" s="319">
        <v>0</v>
      </c>
      <c r="BT178" s="320"/>
      <c r="BU178" s="319">
        <v>0</v>
      </c>
      <c r="BV178" s="320"/>
      <c r="BW178" s="319">
        <v>0</v>
      </c>
      <c r="BX178" s="320">
        <v>0</v>
      </c>
      <c r="BY178" s="319">
        <v>0</v>
      </c>
      <c r="BZ178" s="320"/>
      <c r="CA178" s="319">
        <v>0</v>
      </c>
      <c r="CB178" s="320"/>
      <c r="CC178" s="319">
        <v>0</v>
      </c>
      <c r="CD178" s="320">
        <v>0</v>
      </c>
      <c r="CE178" s="319">
        <v>0</v>
      </c>
      <c r="CF178" s="320"/>
      <c r="CG178" s="319">
        <v>0</v>
      </c>
      <c r="CH178" s="320"/>
      <c r="CI178" s="319">
        <v>0</v>
      </c>
      <c r="CJ178" s="320">
        <v>0</v>
      </c>
      <c r="CK178" s="319">
        <v>0</v>
      </c>
      <c r="CL178" s="320"/>
      <c r="CM178" s="319">
        <v>0</v>
      </c>
      <c r="CN178" s="320"/>
      <c r="CO178" s="319">
        <v>0</v>
      </c>
      <c r="CP178" s="320">
        <v>0</v>
      </c>
      <c r="CQ178" s="319">
        <v>0</v>
      </c>
      <c r="CR178" s="320"/>
      <c r="CS178" s="319">
        <v>0</v>
      </c>
      <c r="CT178" s="320"/>
      <c r="CU178" s="319">
        <v>0</v>
      </c>
      <c r="CV178" s="320">
        <v>0</v>
      </c>
      <c r="CW178" s="319">
        <v>0</v>
      </c>
      <c r="CX178" s="320"/>
      <c r="CY178" s="319">
        <v>0</v>
      </c>
      <c r="CZ178" s="320"/>
      <c r="DA178" s="319">
        <v>0</v>
      </c>
      <c r="DB178" s="320">
        <v>0</v>
      </c>
      <c r="DC178" s="319">
        <v>0</v>
      </c>
      <c r="DD178" s="320"/>
      <c r="DE178" s="319">
        <v>0</v>
      </c>
      <c r="DF178" s="320"/>
      <c r="DG178" s="319">
        <v>0</v>
      </c>
      <c r="DH178" s="320">
        <v>0</v>
      </c>
      <c r="DI178" s="319">
        <v>0</v>
      </c>
      <c r="DJ178" s="320"/>
      <c r="DK178" s="319">
        <v>0</v>
      </c>
      <c r="DL178" s="320"/>
      <c r="DM178" s="319">
        <v>0</v>
      </c>
      <c r="DN178" s="320">
        <v>0</v>
      </c>
      <c r="DO178" s="319">
        <v>0</v>
      </c>
      <c r="DP178" s="320"/>
      <c r="DQ178" s="319">
        <v>0</v>
      </c>
      <c r="DR178" s="320"/>
      <c r="DS178" s="319">
        <v>0</v>
      </c>
      <c r="DT178" s="320">
        <v>0</v>
      </c>
      <c r="DU178" s="319">
        <v>0</v>
      </c>
      <c r="DV178" s="320"/>
      <c r="DW178" s="319">
        <v>0</v>
      </c>
      <c r="DX178" s="320"/>
      <c r="DY178" s="319">
        <v>0</v>
      </c>
      <c r="DZ178" s="320">
        <v>0</v>
      </c>
      <c r="EA178" s="319">
        <v>0</v>
      </c>
      <c r="EB178" s="320"/>
      <c r="EC178" s="319">
        <v>0</v>
      </c>
      <c r="ED178" s="320"/>
      <c r="EE178" s="319">
        <v>0</v>
      </c>
      <c r="EF178" s="320">
        <v>0</v>
      </c>
      <c r="EG178" s="319">
        <v>0</v>
      </c>
      <c r="EH178" s="320"/>
      <c r="EI178" s="319">
        <v>0</v>
      </c>
      <c r="EJ178" s="320"/>
      <c r="EK178" s="319">
        <v>0</v>
      </c>
      <c r="EL178" s="320">
        <v>0</v>
      </c>
      <c r="EM178" s="319">
        <v>0</v>
      </c>
      <c r="EN178" s="320"/>
      <c r="EO178" s="319">
        <v>0</v>
      </c>
      <c r="EP178" s="320"/>
      <c r="EQ178" s="319">
        <v>0</v>
      </c>
      <c r="ER178" s="320">
        <v>0</v>
      </c>
      <c r="ES178" s="319">
        <v>0</v>
      </c>
      <c r="ET178" s="320"/>
      <c r="EU178" s="319">
        <v>0</v>
      </c>
      <c r="EV178" s="320"/>
      <c r="EW178" s="319">
        <v>0</v>
      </c>
      <c r="EX178" s="320">
        <v>0</v>
      </c>
      <c r="EY178" s="319">
        <v>0</v>
      </c>
      <c r="EZ178" s="320"/>
      <c r="FA178" s="319">
        <v>0</v>
      </c>
      <c r="FB178" s="320"/>
      <c r="FC178" s="319">
        <v>0</v>
      </c>
      <c r="FD178" s="320">
        <v>0</v>
      </c>
      <c r="FE178" s="319">
        <v>0</v>
      </c>
      <c r="FF178" s="320"/>
      <c r="FG178" s="319">
        <v>0</v>
      </c>
      <c r="FH178" s="320"/>
      <c r="FI178" s="319">
        <v>0</v>
      </c>
      <c r="FJ178" s="320">
        <v>0</v>
      </c>
      <c r="FK178" s="319">
        <v>0</v>
      </c>
      <c r="FL178" s="320"/>
      <c r="FM178" s="319">
        <v>0</v>
      </c>
      <c r="FN178" s="320"/>
      <c r="FO178" s="319">
        <v>0</v>
      </c>
      <c r="FP178" s="320">
        <v>0</v>
      </c>
      <c r="FQ178" s="319">
        <v>0</v>
      </c>
      <c r="FR178" s="320"/>
      <c r="FS178" s="319">
        <v>0</v>
      </c>
      <c r="FT178" s="320"/>
      <c r="FU178" s="319">
        <v>0</v>
      </c>
      <c r="FV178" s="320">
        <v>0</v>
      </c>
      <c r="FW178" s="319">
        <v>0</v>
      </c>
      <c r="FX178" s="320"/>
      <c r="FY178" s="319">
        <v>0</v>
      </c>
      <c r="FZ178" s="320"/>
      <c r="GA178" s="319">
        <v>0</v>
      </c>
      <c r="GB178" s="320">
        <v>0</v>
      </c>
      <c r="GC178" s="319">
        <v>0</v>
      </c>
      <c r="GD178" s="320"/>
      <c r="GE178" s="319">
        <v>0</v>
      </c>
      <c r="GF178" s="320"/>
      <c r="GG178" s="319">
        <v>0</v>
      </c>
      <c r="GH178" s="320">
        <v>0</v>
      </c>
      <c r="GI178" s="319">
        <v>0</v>
      </c>
      <c r="GJ178" s="320"/>
      <c r="GK178" s="319">
        <v>0</v>
      </c>
      <c r="GL178" s="320"/>
      <c r="GM178" s="319">
        <v>0</v>
      </c>
      <c r="GN178" s="320">
        <v>0</v>
      </c>
      <c r="GO178" s="319">
        <v>0</v>
      </c>
      <c r="GP178" s="320"/>
      <c r="GQ178" s="319">
        <v>0</v>
      </c>
      <c r="GR178" s="320"/>
      <c r="GS178" s="319">
        <v>0</v>
      </c>
      <c r="GT178" s="320">
        <v>0</v>
      </c>
      <c r="GU178" s="319">
        <v>0</v>
      </c>
      <c r="GV178" s="320"/>
      <c r="GW178" s="319">
        <v>0</v>
      </c>
      <c r="GX178" s="320"/>
      <c r="GY178" s="319">
        <v>0</v>
      </c>
      <c r="GZ178" s="320">
        <v>0</v>
      </c>
    </row>
    <row r="179" spans="1:208" s="89" customFormat="1" ht="22.5" customHeight="1" x14ac:dyDescent="0.2">
      <c r="A179" s="287" t="s">
        <v>3312</v>
      </c>
      <c r="B179" s="288" t="s">
        <v>3313</v>
      </c>
      <c r="C179" s="294" t="s">
        <v>3170</v>
      </c>
      <c r="D179" s="290" t="s">
        <v>3314</v>
      </c>
      <c r="E179" s="290" t="s">
        <v>3315</v>
      </c>
      <c r="F179" s="295" t="s">
        <v>3166</v>
      </c>
      <c r="G179" s="295" t="s">
        <v>3167</v>
      </c>
      <c r="H179" s="292" t="s">
        <v>1518</v>
      </c>
      <c r="I179" s="293" t="s">
        <v>1518</v>
      </c>
      <c r="J179" s="340" t="s">
        <v>3168</v>
      </c>
      <c r="K179" s="342" t="s">
        <v>3173</v>
      </c>
      <c r="L179" s="256">
        <f>CONTINUA!BV179</f>
        <v>0</v>
      </c>
      <c r="M179" s="256">
        <f>CONTINUA!BW179</f>
        <v>0</v>
      </c>
      <c r="N179" s="564"/>
      <c r="O179" s="565" t="s">
        <v>3366</v>
      </c>
      <c r="P179" s="566">
        <v>0</v>
      </c>
      <c r="Q179" s="319">
        <v>0</v>
      </c>
      <c r="R179" s="320"/>
      <c r="S179" s="319">
        <v>0</v>
      </c>
      <c r="T179" s="320"/>
      <c r="U179" s="319">
        <v>0</v>
      </c>
      <c r="V179" s="320">
        <v>0</v>
      </c>
      <c r="W179" s="319">
        <v>0</v>
      </c>
      <c r="X179" s="320"/>
      <c r="Y179" s="319">
        <v>0</v>
      </c>
      <c r="Z179" s="320"/>
      <c r="AA179" s="319">
        <v>0</v>
      </c>
      <c r="AB179" s="320">
        <v>0</v>
      </c>
      <c r="AC179" s="319">
        <v>0</v>
      </c>
      <c r="AD179" s="320"/>
      <c r="AE179" s="319">
        <v>0</v>
      </c>
      <c r="AF179" s="320"/>
      <c r="AG179" s="319">
        <v>0</v>
      </c>
      <c r="AH179" s="320">
        <v>0</v>
      </c>
      <c r="AI179" s="319">
        <v>0</v>
      </c>
      <c r="AJ179" s="320"/>
      <c r="AK179" s="319">
        <v>0</v>
      </c>
      <c r="AL179" s="320"/>
      <c r="AM179" s="319">
        <v>0</v>
      </c>
      <c r="AN179" s="320">
        <v>0</v>
      </c>
      <c r="AO179" s="319">
        <v>0</v>
      </c>
      <c r="AP179" s="320"/>
      <c r="AQ179" s="319">
        <v>0</v>
      </c>
      <c r="AR179" s="320"/>
      <c r="AS179" s="319">
        <v>0</v>
      </c>
      <c r="AT179" s="320">
        <v>0</v>
      </c>
      <c r="AU179" s="319">
        <v>0</v>
      </c>
      <c r="AV179" s="320"/>
      <c r="AW179" s="319">
        <v>0</v>
      </c>
      <c r="AX179" s="320"/>
      <c r="AY179" s="319">
        <v>0</v>
      </c>
      <c r="AZ179" s="320">
        <v>0</v>
      </c>
      <c r="BA179" s="319">
        <v>0</v>
      </c>
      <c r="BB179" s="320"/>
      <c r="BC179" s="319">
        <v>0</v>
      </c>
      <c r="BD179" s="320"/>
      <c r="BE179" s="319">
        <v>0</v>
      </c>
      <c r="BF179" s="320">
        <v>0</v>
      </c>
      <c r="BG179" s="319">
        <v>0</v>
      </c>
      <c r="BH179" s="320"/>
      <c r="BI179" s="319">
        <v>0</v>
      </c>
      <c r="BJ179" s="320"/>
      <c r="BK179" s="319">
        <v>0</v>
      </c>
      <c r="BL179" s="320">
        <v>0</v>
      </c>
      <c r="BM179" s="319">
        <v>0</v>
      </c>
      <c r="BN179" s="320"/>
      <c r="BO179" s="319">
        <v>0</v>
      </c>
      <c r="BP179" s="320"/>
      <c r="BQ179" s="319">
        <v>0</v>
      </c>
      <c r="BR179" s="320">
        <v>0</v>
      </c>
      <c r="BS179" s="319">
        <v>0</v>
      </c>
      <c r="BT179" s="320"/>
      <c r="BU179" s="319">
        <v>0</v>
      </c>
      <c r="BV179" s="320"/>
      <c r="BW179" s="319">
        <v>0</v>
      </c>
      <c r="BX179" s="320">
        <v>0</v>
      </c>
      <c r="BY179" s="319">
        <v>0</v>
      </c>
      <c r="BZ179" s="320"/>
      <c r="CA179" s="319">
        <v>0</v>
      </c>
      <c r="CB179" s="320"/>
      <c r="CC179" s="319">
        <v>0</v>
      </c>
      <c r="CD179" s="320">
        <v>0</v>
      </c>
      <c r="CE179" s="319">
        <v>0</v>
      </c>
      <c r="CF179" s="320"/>
      <c r="CG179" s="319">
        <v>0</v>
      </c>
      <c r="CH179" s="320"/>
      <c r="CI179" s="319">
        <v>0</v>
      </c>
      <c r="CJ179" s="320">
        <v>0</v>
      </c>
      <c r="CK179" s="319">
        <v>0</v>
      </c>
      <c r="CL179" s="320"/>
      <c r="CM179" s="319">
        <v>0</v>
      </c>
      <c r="CN179" s="320"/>
      <c r="CO179" s="319">
        <v>0</v>
      </c>
      <c r="CP179" s="320">
        <v>0</v>
      </c>
      <c r="CQ179" s="319">
        <v>0</v>
      </c>
      <c r="CR179" s="320"/>
      <c r="CS179" s="319">
        <v>0</v>
      </c>
      <c r="CT179" s="320"/>
      <c r="CU179" s="319">
        <v>0</v>
      </c>
      <c r="CV179" s="320">
        <v>0</v>
      </c>
      <c r="CW179" s="319">
        <v>0</v>
      </c>
      <c r="CX179" s="320"/>
      <c r="CY179" s="319">
        <v>0</v>
      </c>
      <c r="CZ179" s="320"/>
      <c r="DA179" s="319">
        <v>0</v>
      </c>
      <c r="DB179" s="320">
        <v>0</v>
      </c>
      <c r="DC179" s="319">
        <v>0</v>
      </c>
      <c r="DD179" s="320"/>
      <c r="DE179" s="319">
        <v>0</v>
      </c>
      <c r="DF179" s="320"/>
      <c r="DG179" s="319">
        <v>0</v>
      </c>
      <c r="DH179" s="320">
        <v>0</v>
      </c>
      <c r="DI179" s="319">
        <v>0</v>
      </c>
      <c r="DJ179" s="320"/>
      <c r="DK179" s="319">
        <v>0</v>
      </c>
      <c r="DL179" s="320"/>
      <c r="DM179" s="319">
        <v>0</v>
      </c>
      <c r="DN179" s="320">
        <v>0</v>
      </c>
      <c r="DO179" s="319">
        <v>0</v>
      </c>
      <c r="DP179" s="320"/>
      <c r="DQ179" s="319">
        <v>0</v>
      </c>
      <c r="DR179" s="320"/>
      <c r="DS179" s="319">
        <v>0</v>
      </c>
      <c r="DT179" s="320">
        <v>0</v>
      </c>
      <c r="DU179" s="319">
        <v>0</v>
      </c>
      <c r="DV179" s="320"/>
      <c r="DW179" s="319">
        <v>0</v>
      </c>
      <c r="DX179" s="320"/>
      <c r="DY179" s="319">
        <v>0</v>
      </c>
      <c r="DZ179" s="320">
        <v>0</v>
      </c>
      <c r="EA179" s="319">
        <v>0</v>
      </c>
      <c r="EB179" s="320"/>
      <c r="EC179" s="319">
        <v>0</v>
      </c>
      <c r="ED179" s="320"/>
      <c r="EE179" s="319">
        <v>0</v>
      </c>
      <c r="EF179" s="320">
        <v>0</v>
      </c>
      <c r="EG179" s="319">
        <v>0</v>
      </c>
      <c r="EH179" s="320"/>
      <c r="EI179" s="319">
        <v>0</v>
      </c>
      <c r="EJ179" s="320"/>
      <c r="EK179" s="319">
        <v>0</v>
      </c>
      <c r="EL179" s="320">
        <v>0</v>
      </c>
      <c r="EM179" s="319">
        <v>0</v>
      </c>
      <c r="EN179" s="320"/>
      <c r="EO179" s="319">
        <v>0</v>
      </c>
      <c r="EP179" s="320"/>
      <c r="EQ179" s="319">
        <v>0</v>
      </c>
      <c r="ER179" s="320">
        <v>0</v>
      </c>
      <c r="ES179" s="319">
        <v>0</v>
      </c>
      <c r="ET179" s="320"/>
      <c r="EU179" s="319">
        <v>0</v>
      </c>
      <c r="EV179" s="320"/>
      <c r="EW179" s="319">
        <v>0</v>
      </c>
      <c r="EX179" s="320">
        <v>0</v>
      </c>
      <c r="EY179" s="319">
        <v>0</v>
      </c>
      <c r="EZ179" s="320"/>
      <c r="FA179" s="319">
        <v>0</v>
      </c>
      <c r="FB179" s="320"/>
      <c r="FC179" s="319">
        <v>0</v>
      </c>
      <c r="FD179" s="320">
        <v>0</v>
      </c>
      <c r="FE179" s="319">
        <v>0</v>
      </c>
      <c r="FF179" s="320"/>
      <c r="FG179" s="319">
        <v>0</v>
      </c>
      <c r="FH179" s="320"/>
      <c r="FI179" s="319">
        <v>0</v>
      </c>
      <c r="FJ179" s="320">
        <v>0</v>
      </c>
      <c r="FK179" s="319">
        <v>0</v>
      </c>
      <c r="FL179" s="320"/>
      <c r="FM179" s="319">
        <v>0</v>
      </c>
      <c r="FN179" s="320"/>
      <c r="FO179" s="319">
        <v>0</v>
      </c>
      <c r="FP179" s="320">
        <v>0</v>
      </c>
      <c r="FQ179" s="319">
        <v>0</v>
      </c>
      <c r="FR179" s="320"/>
      <c r="FS179" s="319">
        <v>0</v>
      </c>
      <c r="FT179" s="320"/>
      <c r="FU179" s="319">
        <v>0</v>
      </c>
      <c r="FV179" s="320">
        <v>0</v>
      </c>
      <c r="FW179" s="319">
        <v>0</v>
      </c>
      <c r="FX179" s="320"/>
      <c r="FY179" s="319">
        <v>0</v>
      </c>
      <c r="FZ179" s="320"/>
      <c r="GA179" s="319">
        <v>0</v>
      </c>
      <c r="GB179" s="320">
        <v>0</v>
      </c>
      <c r="GC179" s="319">
        <v>0</v>
      </c>
      <c r="GD179" s="320"/>
      <c r="GE179" s="319">
        <v>0</v>
      </c>
      <c r="GF179" s="320"/>
      <c r="GG179" s="319">
        <v>0</v>
      </c>
      <c r="GH179" s="320">
        <v>0</v>
      </c>
      <c r="GI179" s="319">
        <v>0</v>
      </c>
      <c r="GJ179" s="320"/>
      <c r="GK179" s="319">
        <v>0</v>
      </c>
      <c r="GL179" s="320"/>
      <c r="GM179" s="319">
        <v>0</v>
      </c>
      <c r="GN179" s="320">
        <v>0</v>
      </c>
      <c r="GO179" s="319">
        <v>0</v>
      </c>
      <c r="GP179" s="320"/>
      <c r="GQ179" s="319">
        <v>0</v>
      </c>
      <c r="GR179" s="320"/>
      <c r="GS179" s="319">
        <v>0</v>
      </c>
      <c r="GT179" s="320">
        <v>0</v>
      </c>
      <c r="GU179" s="319">
        <v>0</v>
      </c>
      <c r="GV179" s="320"/>
      <c r="GW179" s="319">
        <v>0</v>
      </c>
      <c r="GX179" s="320"/>
      <c r="GY179" s="319">
        <v>0</v>
      </c>
      <c r="GZ179" s="320">
        <v>0</v>
      </c>
    </row>
    <row r="180" spans="1:208" s="89" customFormat="1" ht="22.5" customHeight="1" thickBot="1" x14ac:dyDescent="0.25">
      <c r="A180" s="296" t="s">
        <v>3312</v>
      </c>
      <c r="B180" s="297" t="s">
        <v>3313</v>
      </c>
      <c r="C180" s="298" t="s">
        <v>3170</v>
      </c>
      <c r="D180" s="299" t="s">
        <v>3314</v>
      </c>
      <c r="E180" s="299" t="s">
        <v>3315</v>
      </c>
      <c r="F180" s="300" t="s">
        <v>3166</v>
      </c>
      <c r="G180" s="300" t="s">
        <v>3167</v>
      </c>
      <c r="H180" s="301" t="s">
        <v>1518</v>
      </c>
      <c r="I180" s="302" t="s">
        <v>1518</v>
      </c>
      <c r="J180" s="340" t="s">
        <v>3168</v>
      </c>
      <c r="K180" s="343" t="s">
        <v>53</v>
      </c>
      <c r="L180" s="256">
        <f>CONTINUA!BV180</f>
        <v>0</v>
      </c>
      <c r="M180" s="256">
        <f>CONTINUA!BW180</f>
        <v>0</v>
      </c>
      <c r="N180" s="564"/>
      <c r="O180" s="565" t="s">
        <v>3366</v>
      </c>
      <c r="P180" s="566">
        <v>0</v>
      </c>
      <c r="Q180" s="319">
        <v>0</v>
      </c>
      <c r="R180" s="320"/>
      <c r="S180" s="319">
        <v>0</v>
      </c>
      <c r="T180" s="320"/>
      <c r="U180" s="321">
        <v>0</v>
      </c>
      <c r="V180" s="322">
        <v>0</v>
      </c>
      <c r="W180" s="319">
        <v>0</v>
      </c>
      <c r="X180" s="320"/>
      <c r="Y180" s="319">
        <v>0</v>
      </c>
      <c r="Z180" s="320"/>
      <c r="AA180" s="321">
        <v>0</v>
      </c>
      <c r="AB180" s="322">
        <v>0</v>
      </c>
      <c r="AC180" s="319">
        <v>0</v>
      </c>
      <c r="AD180" s="320"/>
      <c r="AE180" s="319">
        <v>0</v>
      </c>
      <c r="AF180" s="320"/>
      <c r="AG180" s="321">
        <v>0</v>
      </c>
      <c r="AH180" s="322">
        <v>0</v>
      </c>
      <c r="AI180" s="319">
        <v>0</v>
      </c>
      <c r="AJ180" s="320"/>
      <c r="AK180" s="319">
        <v>0</v>
      </c>
      <c r="AL180" s="320"/>
      <c r="AM180" s="321">
        <v>0</v>
      </c>
      <c r="AN180" s="322">
        <v>0</v>
      </c>
      <c r="AO180" s="319">
        <v>0</v>
      </c>
      <c r="AP180" s="320"/>
      <c r="AQ180" s="319">
        <v>0</v>
      </c>
      <c r="AR180" s="320"/>
      <c r="AS180" s="321">
        <v>0</v>
      </c>
      <c r="AT180" s="322">
        <v>0</v>
      </c>
      <c r="AU180" s="319">
        <v>0</v>
      </c>
      <c r="AV180" s="320"/>
      <c r="AW180" s="319">
        <v>0</v>
      </c>
      <c r="AX180" s="320"/>
      <c r="AY180" s="321">
        <v>0</v>
      </c>
      <c r="AZ180" s="322">
        <v>0</v>
      </c>
      <c r="BA180" s="319">
        <v>0</v>
      </c>
      <c r="BB180" s="320"/>
      <c r="BC180" s="319">
        <v>0</v>
      </c>
      <c r="BD180" s="320"/>
      <c r="BE180" s="321">
        <v>0</v>
      </c>
      <c r="BF180" s="322">
        <v>0</v>
      </c>
      <c r="BG180" s="319">
        <v>0</v>
      </c>
      <c r="BH180" s="320"/>
      <c r="BI180" s="319">
        <v>0</v>
      </c>
      <c r="BJ180" s="320"/>
      <c r="BK180" s="321">
        <v>0</v>
      </c>
      <c r="BL180" s="322">
        <v>0</v>
      </c>
      <c r="BM180" s="319">
        <v>0</v>
      </c>
      <c r="BN180" s="320"/>
      <c r="BO180" s="319">
        <v>0</v>
      </c>
      <c r="BP180" s="320"/>
      <c r="BQ180" s="321">
        <v>0</v>
      </c>
      <c r="BR180" s="322">
        <v>0</v>
      </c>
      <c r="BS180" s="319">
        <v>0</v>
      </c>
      <c r="BT180" s="320"/>
      <c r="BU180" s="319">
        <v>0</v>
      </c>
      <c r="BV180" s="320"/>
      <c r="BW180" s="321">
        <v>0</v>
      </c>
      <c r="BX180" s="322">
        <v>0</v>
      </c>
      <c r="BY180" s="319">
        <v>0</v>
      </c>
      <c r="BZ180" s="320"/>
      <c r="CA180" s="319">
        <v>0</v>
      </c>
      <c r="CB180" s="320"/>
      <c r="CC180" s="321">
        <v>0</v>
      </c>
      <c r="CD180" s="322">
        <v>0</v>
      </c>
      <c r="CE180" s="319">
        <v>0</v>
      </c>
      <c r="CF180" s="320"/>
      <c r="CG180" s="319">
        <v>0</v>
      </c>
      <c r="CH180" s="320"/>
      <c r="CI180" s="321">
        <v>0</v>
      </c>
      <c r="CJ180" s="322">
        <v>0</v>
      </c>
      <c r="CK180" s="319">
        <v>0</v>
      </c>
      <c r="CL180" s="320"/>
      <c r="CM180" s="319">
        <v>0</v>
      </c>
      <c r="CN180" s="320"/>
      <c r="CO180" s="321">
        <v>0</v>
      </c>
      <c r="CP180" s="322">
        <v>0</v>
      </c>
      <c r="CQ180" s="319">
        <v>0</v>
      </c>
      <c r="CR180" s="320"/>
      <c r="CS180" s="319">
        <v>0</v>
      </c>
      <c r="CT180" s="320"/>
      <c r="CU180" s="321">
        <v>0</v>
      </c>
      <c r="CV180" s="322">
        <v>0</v>
      </c>
      <c r="CW180" s="319">
        <v>0</v>
      </c>
      <c r="CX180" s="320"/>
      <c r="CY180" s="319">
        <v>0</v>
      </c>
      <c r="CZ180" s="320"/>
      <c r="DA180" s="321">
        <v>0</v>
      </c>
      <c r="DB180" s="322">
        <v>0</v>
      </c>
      <c r="DC180" s="319">
        <v>0</v>
      </c>
      <c r="DD180" s="320"/>
      <c r="DE180" s="319">
        <v>0</v>
      </c>
      <c r="DF180" s="320"/>
      <c r="DG180" s="321">
        <v>0</v>
      </c>
      <c r="DH180" s="322">
        <v>0</v>
      </c>
      <c r="DI180" s="319">
        <v>0</v>
      </c>
      <c r="DJ180" s="320"/>
      <c r="DK180" s="319">
        <v>0</v>
      </c>
      <c r="DL180" s="320"/>
      <c r="DM180" s="321">
        <v>0</v>
      </c>
      <c r="DN180" s="322">
        <v>0</v>
      </c>
      <c r="DO180" s="319">
        <v>0</v>
      </c>
      <c r="DP180" s="320"/>
      <c r="DQ180" s="319">
        <v>0</v>
      </c>
      <c r="DR180" s="320"/>
      <c r="DS180" s="321">
        <v>0</v>
      </c>
      <c r="DT180" s="322">
        <v>0</v>
      </c>
      <c r="DU180" s="319">
        <v>0</v>
      </c>
      <c r="DV180" s="320"/>
      <c r="DW180" s="319">
        <v>0</v>
      </c>
      <c r="DX180" s="320"/>
      <c r="DY180" s="321">
        <v>0</v>
      </c>
      <c r="DZ180" s="322">
        <v>0</v>
      </c>
      <c r="EA180" s="319">
        <v>0</v>
      </c>
      <c r="EB180" s="320"/>
      <c r="EC180" s="319">
        <v>0</v>
      </c>
      <c r="ED180" s="320"/>
      <c r="EE180" s="321">
        <v>0</v>
      </c>
      <c r="EF180" s="322">
        <v>0</v>
      </c>
      <c r="EG180" s="319">
        <v>0</v>
      </c>
      <c r="EH180" s="320"/>
      <c r="EI180" s="319">
        <v>0</v>
      </c>
      <c r="EJ180" s="320"/>
      <c r="EK180" s="321">
        <v>0</v>
      </c>
      <c r="EL180" s="322">
        <v>0</v>
      </c>
      <c r="EM180" s="319">
        <v>0</v>
      </c>
      <c r="EN180" s="320"/>
      <c r="EO180" s="319">
        <v>0</v>
      </c>
      <c r="EP180" s="320"/>
      <c r="EQ180" s="321">
        <v>0</v>
      </c>
      <c r="ER180" s="322">
        <v>0</v>
      </c>
      <c r="ES180" s="319">
        <v>0</v>
      </c>
      <c r="ET180" s="320"/>
      <c r="EU180" s="319">
        <v>0</v>
      </c>
      <c r="EV180" s="320"/>
      <c r="EW180" s="321">
        <v>0</v>
      </c>
      <c r="EX180" s="322">
        <v>0</v>
      </c>
      <c r="EY180" s="319">
        <v>0</v>
      </c>
      <c r="EZ180" s="320"/>
      <c r="FA180" s="319">
        <v>0</v>
      </c>
      <c r="FB180" s="320"/>
      <c r="FC180" s="321">
        <v>0</v>
      </c>
      <c r="FD180" s="322">
        <v>0</v>
      </c>
      <c r="FE180" s="319">
        <v>0</v>
      </c>
      <c r="FF180" s="320"/>
      <c r="FG180" s="319">
        <v>0</v>
      </c>
      <c r="FH180" s="320"/>
      <c r="FI180" s="321">
        <v>0</v>
      </c>
      <c r="FJ180" s="322">
        <v>0</v>
      </c>
      <c r="FK180" s="319">
        <v>0</v>
      </c>
      <c r="FL180" s="320"/>
      <c r="FM180" s="319">
        <v>0</v>
      </c>
      <c r="FN180" s="320"/>
      <c r="FO180" s="321">
        <v>0</v>
      </c>
      <c r="FP180" s="322">
        <v>0</v>
      </c>
      <c r="FQ180" s="319">
        <v>0</v>
      </c>
      <c r="FR180" s="320"/>
      <c r="FS180" s="319">
        <v>0</v>
      </c>
      <c r="FT180" s="320"/>
      <c r="FU180" s="321">
        <v>0</v>
      </c>
      <c r="FV180" s="322">
        <v>0</v>
      </c>
      <c r="FW180" s="319">
        <v>0</v>
      </c>
      <c r="FX180" s="320"/>
      <c r="FY180" s="319">
        <v>0</v>
      </c>
      <c r="FZ180" s="320"/>
      <c r="GA180" s="321">
        <v>0</v>
      </c>
      <c r="GB180" s="322">
        <v>0</v>
      </c>
      <c r="GC180" s="319">
        <v>0</v>
      </c>
      <c r="GD180" s="320"/>
      <c r="GE180" s="319">
        <v>0</v>
      </c>
      <c r="GF180" s="320"/>
      <c r="GG180" s="321">
        <v>0</v>
      </c>
      <c r="GH180" s="322">
        <v>0</v>
      </c>
      <c r="GI180" s="319">
        <v>0</v>
      </c>
      <c r="GJ180" s="320"/>
      <c r="GK180" s="319">
        <v>0</v>
      </c>
      <c r="GL180" s="320"/>
      <c r="GM180" s="321">
        <v>0</v>
      </c>
      <c r="GN180" s="322">
        <v>0</v>
      </c>
      <c r="GO180" s="319">
        <v>0</v>
      </c>
      <c r="GP180" s="320"/>
      <c r="GQ180" s="319">
        <v>0</v>
      </c>
      <c r="GR180" s="320"/>
      <c r="GS180" s="321">
        <v>0</v>
      </c>
      <c r="GT180" s="322">
        <v>0</v>
      </c>
      <c r="GU180" s="319">
        <v>0</v>
      </c>
      <c r="GV180" s="320"/>
      <c r="GW180" s="319">
        <v>0</v>
      </c>
      <c r="GX180" s="320"/>
      <c r="GY180" s="321">
        <v>0</v>
      </c>
      <c r="GZ180" s="322">
        <v>0</v>
      </c>
    </row>
    <row r="181" spans="1:208" s="89" customFormat="1" ht="22.5" customHeight="1" x14ac:dyDescent="0.2">
      <c r="A181" t="s">
        <v>3316</v>
      </c>
      <c r="B181" s="429" t="s">
        <v>3317</v>
      </c>
      <c r="C181" s="430">
        <v>1</v>
      </c>
      <c r="D181" s="431" t="s">
        <v>3318</v>
      </c>
      <c r="E181" s="431" t="s">
        <v>3319</v>
      </c>
      <c r="F181" s="432" t="s">
        <v>3166</v>
      </c>
      <c r="G181" s="432" t="s">
        <v>3167</v>
      </c>
      <c r="H181" s="270" t="s">
        <v>1520</v>
      </c>
      <c r="I181" s="271" t="s">
        <v>1520</v>
      </c>
      <c r="J181" s="328" t="s">
        <v>3168</v>
      </c>
      <c r="K181" s="329" t="s">
        <v>3169</v>
      </c>
      <c r="L181" s="256">
        <f>CONTINUA!BV181</f>
        <v>0</v>
      </c>
      <c r="M181" s="256">
        <f>CONTINUA!BW181</f>
        <v>0</v>
      </c>
      <c r="N181" s="564"/>
      <c r="O181" s="565" t="s">
        <v>3367</v>
      </c>
      <c r="P181" s="566">
        <v>0</v>
      </c>
      <c r="Q181" s="319">
        <v>22</v>
      </c>
      <c r="R181" s="320"/>
      <c r="S181" s="319">
        <v>0</v>
      </c>
      <c r="T181" s="320"/>
      <c r="U181" s="321">
        <v>0</v>
      </c>
      <c r="V181" s="322">
        <v>0</v>
      </c>
      <c r="W181" s="319">
        <v>22</v>
      </c>
      <c r="X181" s="320"/>
      <c r="Y181" s="319">
        <v>0</v>
      </c>
      <c r="Z181" s="320"/>
      <c r="AA181" s="321">
        <v>0</v>
      </c>
      <c r="AB181" s="322">
        <v>0</v>
      </c>
      <c r="AC181" s="319">
        <v>22</v>
      </c>
      <c r="AD181" s="320"/>
      <c r="AE181" s="319">
        <v>0</v>
      </c>
      <c r="AF181" s="320"/>
      <c r="AG181" s="321">
        <v>0</v>
      </c>
      <c r="AH181" s="322">
        <v>0</v>
      </c>
      <c r="AI181" s="319">
        <v>22</v>
      </c>
      <c r="AJ181" s="320"/>
      <c r="AK181" s="319">
        <v>0</v>
      </c>
      <c r="AL181" s="320"/>
      <c r="AM181" s="321">
        <v>0</v>
      </c>
      <c r="AN181" s="322">
        <v>0</v>
      </c>
      <c r="AO181" s="319">
        <v>22</v>
      </c>
      <c r="AP181" s="320"/>
      <c r="AQ181" s="319">
        <v>0</v>
      </c>
      <c r="AR181" s="320"/>
      <c r="AS181" s="321">
        <v>0</v>
      </c>
      <c r="AT181" s="322">
        <v>0</v>
      </c>
      <c r="AU181" s="319">
        <v>22</v>
      </c>
      <c r="AV181" s="320"/>
      <c r="AW181" s="319">
        <v>0</v>
      </c>
      <c r="AX181" s="320"/>
      <c r="AY181" s="321">
        <v>0</v>
      </c>
      <c r="AZ181" s="322">
        <v>0</v>
      </c>
      <c r="BA181" s="319">
        <v>22</v>
      </c>
      <c r="BB181" s="320"/>
      <c r="BC181" s="319">
        <v>0</v>
      </c>
      <c r="BD181" s="320"/>
      <c r="BE181" s="321">
        <v>0</v>
      </c>
      <c r="BF181" s="322">
        <v>0</v>
      </c>
      <c r="BG181" s="319">
        <v>22</v>
      </c>
      <c r="BH181" s="320"/>
      <c r="BI181" s="319">
        <v>0</v>
      </c>
      <c r="BJ181" s="320"/>
      <c r="BK181" s="321">
        <v>0</v>
      </c>
      <c r="BL181" s="322">
        <v>0</v>
      </c>
      <c r="BM181" s="319">
        <v>22</v>
      </c>
      <c r="BN181" s="320"/>
      <c r="BO181" s="319">
        <v>0</v>
      </c>
      <c r="BP181" s="320"/>
      <c r="BQ181" s="321">
        <v>0</v>
      </c>
      <c r="BR181" s="322">
        <v>0</v>
      </c>
      <c r="BS181" s="319">
        <v>22</v>
      </c>
      <c r="BT181" s="320"/>
      <c r="BU181" s="319">
        <v>0</v>
      </c>
      <c r="BV181" s="320"/>
      <c r="BW181" s="321">
        <v>0</v>
      </c>
      <c r="BX181" s="322">
        <v>0</v>
      </c>
      <c r="BY181" s="319">
        <v>22</v>
      </c>
      <c r="BZ181" s="320"/>
      <c r="CA181" s="319">
        <v>0</v>
      </c>
      <c r="CB181" s="320"/>
      <c r="CC181" s="321">
        <v>0</v>
      </c>
      <c r="CD181" s="322">
        <v>0</v>
      </c>
      <c r="CE181" s="319">
        <v>22</v>
      </c>
      <c r="CF181" s="320"/>
      <c r="CG181" s="319">
        <v>0</v>
      </c>
      <c r="CH181" s="320"/>
      <c r="CI181" s="321">
        <v>0</v>
      </c>
      <c r="CJ181" s="322">
        <v>0</v>
      </c>
      <c r="CK181" s="319">
        <v>22</v>
      </c>
      <c r="CL181" s="320"/>
      <c r="CM181" s="319">
        <v>0</v>
      </c>
      <c r="CN181" s="320"/>
      <c r="CO181" s="321">
        <v>0</v>
      </c>
      <c r="CP181" s="322">
        <v>0</v>
      </c>
      <c r="CQ181" s="319">
        <v>22</v>
      </c>
      <c r="CR181" s="320"/>
      <c r="CS181" s="319">
        <v>0</v>
      </c>
      <c r="CT181" s="320"/>
      <c r="CU181" s="321">
        <v>0</v>
      </c>
      <c r="CV181" s="322">
        <v>0</v>
      </c>
      <c r="CW181" s="319">
        <v>22</v>
      </c>
      <c r="CX181" s="320"/>
      <c r="CY181" s="319">
        <v>0</v>
      </c>
      <c r="CZ181" s="320"/>
      <c r="DA181" s="321">
        <v>0</v>
      </c>
      <c r="DB181" s="322">
        <v>0</v>
      </c>
      <c r="DC181" s="319">
        <v>22</v>
      </c>
      <c r="DD181" s="320"/>
      <c r="DE181" s="319">
        <v>0</v>
      </c>
      <c r="DF181" s="320"/>
      <c r="DG181" s="321">
        <v>0</v>
      </c>
      <c r="DH181" s="322">
        <v>0</v>
      </c>
      <c r="DI181" s="319">
        <v>22</v>
      </c>
      <c r="DJ181" s="320"/>
      <c r="DK181" s="319">
        <v>0</v>
      </c>
      <c r="DL181" s="320"/>
      <c r="DM181" s="321">
        <v>0</v>
      </c>
      <c r="DN181" s="322">
        <v>0</v>
      </c>
      <c r="DO181" s="319">
        <v>22</v>
      </c>
      <c r="DP181" s="320"/>
      <c r="DQ181" s="319">
        <v>0</v>
      </c>
      <c r="DR181" s="320"/>
      <c r="DS181" s="321">
        <v>0</v>
      </c>
      <c r="DT181" s="322">
        <v>0</v>
      </c>
      <c r="DU181" s="319">
        <v>22</v>
      </c>
      <c r="DV181" s="320"/>
      <c r="DW181" s="319">
        <v>0</v>
      </c>
      <c r="DX181" s="320"/>
      <c r="DY181" s="321">
        <v>0</v>
      </c>
      <c r="DZ181" s="322">
        <v>0</v>
      </c>
      <c r="EA181" s="319">
        <v>22</v>
      </c>
      <c r="EB181" s="320"/>
      <c r="EC181" s="319">
        <v>0</v>
      </c>
      <c r="ED181" s="320"/>
      <c r="EE181" s="321">
        <v>0</v>
      </c>
      <c r="EF181" s="322">
        <v>0</v>
      </c>
      <c r="EG181" s="319">
        <v>22</v>
      </c>
      <c r="EH181" s="320"/>
      <c r="EI181" s="319">
        <v>0</v>
      </c>
      <c r="EJ181" s="320"/>
      <c r="EK181" s="321">
        <v>0</v>
      </c>
      <c r="EL181" s="322">
        <v>0</v>
      </c>
      <c r="EM181" s="319">
        <v>22</v>
      </c>
      <c r="EN181" s="320"/>
      <c r="EO181" s="319">
        <v>0</v>
      </c>
      <c r="EP181" s="320"/>
      <c r="EQ181" s="321">
        <v>0</v>
      </c>
      <c r="ER181" s="322">
        <v>0</v>
      </c>
      <c r="ES181" s="319">
        <v>22</v>
      </c>
      <c r="ET181" s="320"/>
      <c r="EU181" s="319">
        <v>0</v>
      </c>
      <c r="EV181" s="320"/>
      <c r="EW181" s="321">
        <v>0</v>
      </c>
      <c r="EX181" s="322">
        <v>0</v>
      </c>
      <c r="EY181" s="319">
        <v>22</v>
      </c>
      <c r="EZ181" s="320"/>
      <c r="FA181" s="319">
        <v>0</v>
      </c>
      <c r="FB181" s="320"/>
      <c r="FC181" s="321">
        <v>0</v>
      </c>
      <c r="FD181" s="322">
        <v>0</v>
      </c>
      <c r="FE181" s="319">
        <v>22</v>
      </c>
      <c r="FF181" s="320"/>
      <c r="FG181" s="319">
        <v>0</v>
      </c>
      <c r="FH181" s="320"/>
      <c r="FI181" s="321">
        <v>0</v>
      </c>
      <c r="FJ181" s="322">
        <v>0</v>
      </c>
      <c r="FK181" s="319">
        <v>22</v>
      </c>
      <c r="FL181" s="320"/>
      <c r="FM181" s="319">
        <v>0</v>
      </c>
      <c r="FN181" s="320"/>
      <c r="FO181" s="321">
        <v>0</v>
      </c>
      <c r="FP181" s="322">
        <v>0</v>
      </c>
      <c r="FQ181" s="319">
        <v>22</v>
      </c>
      <c r="FR181" s="320"/>
      <c r="FS181" s="319">
        <v>0</v>
      </c>
      <c r="FT181" s="320"/>
      <c r="FU181" s="321">
        <v>0</v>
      </c>
      <c r="FV181" s="322">
        <v>0</v>
      </c>
      <c r="FW181" s="319">
        <v>22</v>
      </c>
      <c r="FX181" s="320"/>
      <c r="FY181" s="319">
        <v>0</v>
      </c>
      <c r="FZ181" s="320"/>
      <c r="GA181" s="321">
        <v>0</v>
      </c>
      <c r="GB181" s="322">
        <v>0</v>
      </c>
      <c r="GC181" s="319">
        <v>22</v>
      </c>
      <c r="GD181" s="320"/>
      <c r="GE181" s="319">
        <v>0</v>
      </c>
      <c r="GF181" s="320"/>
      <c r="GG181" s="321">
        <v>0</v>
      </c>
      <c r="GH181" s="322">
        <v>0</v>
      </c>
      <c r="GI181" s="319">
        <v>22</v>
      </c>
      <c r="GJ181" s="320"/>
      <c r="GK181" s="319">
        <v>0</v>
      </c>
      <c r="GL181" s="320"/>
      <c r="GM181" s="321">
        <v>0</v>
      </c>
      <c r="GN181" s="322">
        <v>0</v>
      </c>
      <c r="GO181" s="319">
        <v>22</v>
      </c>
      <c r="GP181" s="320"/>
      <c r="GQ181" s="319">
        <v>0</v>
      </c>
      <c r="GR181" s="320"/>
      <c r="GS181" s="321">
        <v>0</v>
      </c>
      <c r="GT181" s="322">
        <v>0</v>
      </c>
      <c r="GU181" s="319">
        <v>22</v>
      </c>
      <c r="GV181" s="320"/>
      <c r="GW181" s="319">
        <v>0</v>
      </c>
      <c r="GX181" s="320"/>
      <c r="GY181" s="321">
        <v>0</v>
      </c>
      <c r="GZ181" s="322">
        <v>0</v>
      </c>
    </row>
    <row r="182" spans="1:208" s="89" customFormat="1" ht="22.5" customHeight="1" x14ac:dyDescent="0.2">
      <c r="A182" s="287" t="s">
        <v>3316</v>
      </c>
      <c r="B182" s="288" t="s">
        <v>3317</v>
      </c>
      <c r="C182" s="289" t="s">
        <v>3170</v>
      </c>
      <c r="D182" s="290" t="s">
        <v>3318</v>
      </c>
      <c r="E182" s="290" t="s">
        <v>3319</v>
      </c>
      <c r="F182" s="291" t="s">
        <v>3166</v>
      </c>
      <c r="G182" s="291" t="s">
        <v>3167</v>
      </c>
      <c r="H182" s="292" t="s">
        <v>1520</v>
      </c>
      <c r="I182" s="293" t="s">
        <v>1520</v>
      </c>
      <c r="J182" s="340" t="s">
        <v>3168</v>
      </c>
      <c r="K182" s="340" t="s">
        <v>3171</v>
      </c>
      <c r="L182" s="256">
        <f>CONTINUA!BV182</f>
        <v>0</v>
      </c>
      <c r="M182" s="256">
        <f>CONTINUA!BW182</f>
        <v>0</v>
      </c>
      <c r="N182" s="564"/>
      <c r="O182" s="565" t="s">
        <v>3367</v>
      </c>
      <c r="P182" s="566">
        <v>0</v>
      </c>
      <c r="Q182" s="319">
        <v>4</v>
      </c>
      <c r="R182" s="320"/>
      <c r="S182" s="319">
        <v>0</v>
      </c>
      <c r="T182" s="320"/>
      <c r="U182" s="319">
        <v>0</v>
      </c>
      <c r="V182" s="320">
        <v>0</v>
      </c>
      <c r="W182" s="319">
        <v>4</v>
      </c>
      <c r="X182" s="320"/>
      <c r="Y182" s="319">
        <v>0</v>
      </c>
      <c r="Z182" s="320"/>
      <c r="AA182" s="319">
        <v>0</v>
      </c>
      <c r="AB182" s="320">
        <v>0</v>
      </c>
      <c r="AC182" s="319">
        <v>4</v>
      </c>
      <c r="AD182" s="320"/>
      <c r="AE182" s="319">
        <v>0</v>
      </c>
      <c r="AF182" s="320"/>
      <c r="AG182" s="319">
        <v>0</v>
      </c>
      <c r="AH182" s="320">
        <v>0</v>
      </c>
      <c r="AI182" s="319">
        <v>4</v>
      </c>
      <c r="AJ182" s="320"/>
      <c r="AK182" s="319">
        <v>0</v>
      </c>
      <c r="AL182" s="320"/>
      <c r="AM182" s="319">
        <v>0</v>
      </c>
      <c r="AN182" s="320">
        <v>0</v>
      </c>
      <c r="AO182" s="319">
        <v>4</v>
      </c>
      <c r="AP182" s="320"/>
      <c r="AQ182" s="319">
        <v>0</v>
      </c>
      <c r="AR182" s="320"/>
      <c r="AS182" s="319">
        <v>0</v>
      </c>
      <c r="AT182" s="320">
        <v>0</v>
      </c>
      <c r="AU182" s="319">
        <v>4</v>
      </c>
      <c r="AV182" s="320"/>
      <c r="AW182" s="319">
        <v>0</v>
      </c>
      <c r="AX182" s="320"/>
      <c r="AY182" s="319">
        <v>0</v>
      </c>
      <c r="AZ182" s="320">
        <v>0</v>
      </c>
      <c r="BA182" s="319">
        <v>4</v>
      </c>
      <c r="BB182" s="320"/>
      <c r="BC182" s="319">
        <v>0</v>
      </c>
      <c r="BD182" s="320"/>
      <c r="BE182" s="319">
        <v>0</v>
      </c>
      <c r="BF182" s="320">
        <v>0</v>
      </c>
      <c r="BG182" s="319">
        <v>4</v>
      </c>
      <c r="BH182" s="320"/>
      <c r="BI182" s="319">
        <v>0</v>
      </c>
      <c r="BJ182" s="320"/>
      <c r="BK182" s="319">
        <v>0</v>
      </c>
      <c r="BL182" s="320">
        <v>0</v>
      </c>
      <c r="BM182" s="319">
        <v>4</v>
      </c>
      <c r="BN182" s="320"/>
      <c r="BO182" s="319">
        <v>0</v>
      </c>
      <c r="BP182" s="320"/>
      <c r="BQ182" s="319">
        <v>0</v>
      </c>
      <c r="BR182" s="320">
        <v>0</v>
      </c>
      <c r="BS182" s="319">
        <v>4</v>
      </c>
      <c r="BT182" s="320"/>
      <c r="BU182" s="319">
        <v>0</v>
      </c>
      <c r="BV182" s="320"/>
      <c r="BW182" s="319">
        <v>0</v>
      </c>
      <c r="BX182" s="320">
        <v>0</v>
      </c>
      <c r="BY182" s="319">
        <v>4</v>
      </c>
      <c r="BZ182" s="320"/>
      <c r="CA182" s="319">
        <v>0</v>
      </c>
      <c r="CB182" s="320"/>
      <c r="CC182" s="319">
        <v>0</v>
      </c>
      <c r="CD182" s="320">
        <v>0</v>
      </c>
      <c r="CE182" s="319">
        <v>4</v>
      </c>
      <c r="CF182" s="320"/>
      <c r="CG182" s="319">
        <v>0</v>
      </c>
      <c r="CH182" s="320"/>
      <c r="CI182" s="319">
        <v>0</v>
      </c>
      <c r="CJ182" s="320">
        <v>0</v>
      </c>
      <c r="CK182" s="319">
        <v>4</v>
      </c>
      <c r="CL182" s="320"/>
      <c r="CM182" s="319">
        <v>0</v>
      </c>
      <c r="CN182" s="320"/>
      <c r="CO182" s="319">
        <v>0</v>
      </c>
      <c r="CP182" s="320">
        <v>0</v>
      </c>
      <c r="CQ182" s="319">
        <v>4</v>
      </c>
      <c r="CR182" s="320"/>
      <c r="CS182" s="319">
        <v>0</v>
      </c>
      <c r="CT182" s="320"/>
      <c r="CU182" s="319">
        <v>0</v>
      </c>
      <c r="CV182" s="320">
        <v>0</v>
      </c>
      <c r="CW182" s="319">
        <v>4</v>
      </c>
      <c r="CX182" s="320"/>
      <c r="CY182" s="319">
        <v>0</v>
      </c>
      <c r="CZ182" s="320"/>
      <c r="DA182" s="319">
        <v>0</v>
      </c>
      <c r="DB182" s="320">
        <v>0</v>
      </c>
      <c r="DC182" s="319">
        <v>4</v>
      </c>
      <c r="DD182" s="320"/>
      <c r="DE182" s="319">
        <v>0</v>
      </c>
      <c r="DF182" s="320"/>
      <c r="DG182" s="319">
        <v>0</v>
      </c>
      <c r="DH182" s="320">
        <v>0</v>
      </c>
      <c r="DI182" s="319">
        <v>4</v>
      </c>
      <c r="DJ182" s="320"/>
      <c r="DK182" s="319">
        <v>0</v>
      </c>
      <c r="DL182" s="320"/>
      <c r="DM182" s="319">
        <v>0</v>
      </c>
      <c r="DN182" s="320">
        <v>0</v>
      </c>
      <c r="DO182" s="319">
        <v>4</v>
      </c>
      <c r="DP182" s="320"/>
      <c r="DQ182" s="319">
        <v>0</v>
      </c>
      <c r="DR182" s="320"/>
      <c r="DS182" s="319">
        <v>0</v>
      </c>
      <c r="DT182" s="320">
        <v>0</v>
      </c>
      <c r="DU182" s="319">
        <v>4</v>
      </c>
      <c r="DV182" s="320"/>
      <c r="DW182" s="319">
        <v>0</v>
      </c>
      <c r="DX182" s="320"/>
      <c r="DY182" s="319">
        <v>0</v>
      </c>
      <c r="DZ182" s="320">
        <v>0</v>
      </c>
      <c r="EA182" s="319">
        <v>4</v>
      </c>
      <c r="EB182" s="320"/>
      <c r="EC182" s="319">
        <v>0</v>
      </c>
      <c r="ED182" s="320"/>
      <c r="EE182" s="319">
        <v>0</v>
      </c>
      <c r="EF182" s="320">
        <v>0</v>
      </c>
      <c r="EG182" s="319">
        <v>4</v>
      </c>
      <c r="EH182" s="320"/>
      <c r="EI182" s="319">
        <v>0</v>
      </c>
      <c r="EJ182" s="320"/>
      <c r="EK182" s="319">
        <v>0</v>
      </c>
      <c r="EL182" s="320">
        <v>0</v>
      </c>
      <c r="EM182" s="319">
        <v>4</v>
      </c>
      <c r="EN182" s="320"/>
      <c r="EO182" s="319">
        <v>0</v>
      </c>
      <c r="EP182" s="320"/>
      <c r="EQ182" s="319">
        <v>0</v>
      </c>
      <c r="ER182" s="320">
        <v>0</v>
      </c>
      <c r="ES182" s="319">
        <v>4</v>
      </c>
      <c r="ET182" s="320"/>
      <c r="EU182" s="319">
        <v>0</v>
      </c>
      <c r="EV182" s="320"/>
      <c r="EW182" s="319">
        <v>0</v>
      </c>
      <c r="EX182" s="320">
        <v>0</v>
      </c>
      <c r="EY182" s="319">
        <v>4</v>
      </c>
      <c r="EZ182" s="320"/>
      <c r="FA182" s="319">
        <v>0</v>
      </c>
      <c r="FB182" s="320"/>
      <c r="FC182" s="319">
        <v>0</v>
      </c>
      <c r="FD182" s="320">
        <v>0</v>
      </c>
      <c r="FE182" s="319">
        <v>4</v>
      </c>
      <c r="FF182" s="320"/>
      <c r="FG182" s="319">
        <v>0</v>
      </c>
      <c r="FH182" s="320"/>
      <c r="FI182" s="319">
        <v>0</v>
      </c>
      <c r="FJ182" s="320">
        <v>0</v>
      </c>
      <c r="FK182" s="319">
        <v>4</v>
      </c>
      <c r="FL182" s="320"/>
      <c r="FM182" s="319">
        <v>0</v>
      </c>
      <c r="FN182" s="320"/>
      <c r="FO182" s="319">
        <v>0</v>
      </c>
      <c r="FP182" s="320">
        <v>0</v>
      </c>
      <c r="FQ182" s="319">
        <v>4</v>
      </c>
      <c r="FR182" s="320"/>
      <c r="FS182" s="319">
        <v>0</v>
      </c>
      <c r="FT182" s="320"/>
      <c r="FU182" s="319">
        <v>0</v>
      </c>
      <c r="FV182" s="320">
        <v>0</v>
      </c>
      <c r="FW182" s="319">
        <v>4</v>
      </c>
      <c r="FX182" s="320"/>
      <c r="FY182" s="319">
        <v>0</v>
      </c>
      <c r="FZ182" s="320"/>
      <c r="GA182" s="319">
        <v>0</v>
      </c>
      <c r="GB182" s="320">
        <v>0</v>
      </c>
      <c r="GC182" s="319">
        <v>4</v>
      </c>
      <c r="GD182" s="320"/>
      <c r="GE182" s="319">
        <v>0</v>
      </c>
      <c r="GF182" s="320"/>
      <c r="GG182" s="319">
        <v>0</v>
      </c>
      <c r="GH182" s="320">
        <v>0</v>
      </c>
      <c r="GI182" s="319">
        <v>4</v>
      </c>
      <c r="GJ182" s="320"/>
      <c r="GK182" s="319">
        <v>0</v>
      </c>
      <c r="GL182" s="320"/>
      <c r="GM182" s="319">
        <v>0</v>
      </c>
      <c r="GN182" s="320">
        <v>0</v>
      </c>
      <c r="GO182" s="319">
        <v>4</v>
      </c>
      <c r="GP182" s="320"/>
      <c r="GQ182" s="319">
        <v>0</v>
      </c>
      <c r="GR182" s="320"/>
      <c r="GS182" s="319">
        <v>0</v>
      </c>
      <c r="GT182" s="320">
        <v>0</v>
      </c>
      <c r="GU182" s="319">
        <v>4</v>
      </c>
      <c r="GV182" s="320"/>
      <c r="GW182" s="319">
        <v>0</v>
      </c>
      <c r="GX182" s="320"/>
      <c r="GY182" s="319">
        <v>0</v>
      </c>
      <c r="GZ182" s="320">
        <v>0</v>
      </c>
    </row>
    <row r="183" spans="1:208" s="89" customFormat="1" ht="22.5" customHeight="1" x14ac:dyDescent="0.2">
      <c r="A183" s="287" t="s">
        <v>3316</v>
      </c>
      <c r="B183" s="288" t="s">
        <v>3317</v>
      </c>
      <c r="C183" s="294" t="s">
        <v>3170</v>
      </c>
      <c r="D183" s="290" t="s">
        <v>3318</v>
      </c>
      <c r="E183" s="290" t="s">
        <v>3319</v>
      </c>
      <c r="F183" s="295" t="s">
        <v>3166</v>
      </c>
      <c r="G183" s="295" t="s">
        <v>3167</v>
      </c>
      <c r="H183" s="292" t="s">
        <v>1520</v>
      </c>
      <c r="I183" s="293" t="s">
        <v>1520</v>
      </c>
      <c r="J183" s="340" t="s">
        <v>3168</v>
      </c>
      <c r="K183" s="341" t="s">
        <v>3172</v>
      </c>
      <c r="L183" s="256">
        <f>CONTINUA!BV183</f>
        <v>0</v>
      </c>
      <c r="M183" s="256">
        <f>CONTINUA!BW183</f>
        <v>0</v>
      </c>
      <c r="N183" s="564"/>
      <c r="O183" s="565" t="s">
        <v>3367</v>
      </c>
      <c r="P183" s="566">
        <v>0</v>
      </c>
      <c r="Q183" s="319">
        <v>0</v>
      </c>
      <c r="R183" s="320"/>
      <c r="S183" s="319">
        <v>0</v>
      </c>
      <c r="T183" s="320"/>
      <c r="U183" s="319">
        <v>0</v>
      </c>
      <c r="V183" s="320">
        <v>0</v>
      </c>
      <c r="W183" s="319">
        <v>0</v>
      </c>
      <c r="X183" s="320"/>
      <c r="Y183" s="319">
        <v>0</v>
      </c>
      <c r="Z183" s="320"/>
      <c r="AA183" s="319">
        <v>0</v>
      </c>
      <c r="AB183" s="320">
        <v>0</v>
      </c>
      <c r="AC183" s="319">
        <v>0</v>
      </c>
      <c r="AD183" s="320"/>
      <c r="AE183" s="319">
        <v>0</v>
      </c>
      <c r="AF183" s="320"/>
      <c r="AG183" s="319">
        <v>0</v>
      </c>
      <c r="AH183" s="320">
        <v>0</v>
      </c>
      <c r="AI183" s="319">
        <v>0</v>
      </c>
      <c r="AJ183" s="320"/>
      <c r="AK183" s="319">
        <v>0</v>
      </c>
      <c r="AL183" s="320"/>
      <c r="AM183" s="319">
        <v>0</v>
      </c>
      <c r="AN183" s="320">
        <v>0</v>
      </c>
      <c r="AO183" s="319">
        <v>0</v>
      </c>
      <c r="AP183" s="320"/>
      <c r="AQ183" s="319">
        <v>0</v>
      </c>
      <c r="AR183" s="320"/>
      <c r="AS183" s="319">
        <v>0</v>
      </c>
      <c r="AT183" s="320">
        <v>0</v>
      </c>
      <c r="AU183" s="319">
        <v>0</v>
      </c>
      <c r="AV183" s="320"/>
      <c r="AW183" s="319">
        <v>0</v>
      </c>
      <c r="AX183" s="320"/>
      <c r="AY183" s="319">
        <v>0</v>
      </c>
      <c r="AZ183" s="320">
        <v>0</v>
      </c>
      <c r="BA183" s="319">
        <v>0</v>
      </c>
      <c r="BB183" s="320"/>
      <c r="BC183" s="319">
        <v>0</v>
      </c>
      <c r="BD183" s="320"/>
      <c r="BE183" s="319">
        <v>0</v>
      </c>
      <c r="BF183" s="320">
        <v>0</v>
      </c>
      <c r="BG183" s="319">
        <v>0</v>
      </c>
      <c r="BH183" s="320"/>
      <c r="BI183" s="319">
        <v>0</v>
      </c>
      <c r="BJ183" s="320"/>
      <c r="BK183" s="319">
        <v>0</v>
      </c>
      <c r="BL183" s="320">
        <v>0</v>
      </c>
      <c r="BM183" s="319">
        <v>0</v>
      </c>
      <c r="BN183" s="320"/>
      <c r="BO183" s="319">
        <v>0</v>
      </c>
      <c r="BP183" s="320"/>
      <c r="BQ183" s="319">
        <v>0</v>
      </c>
      <c r="BR183" s="320">
        <v>0</v>
      </c>
      <c r="BS183" s="319">
        <v>0</v>
      </c>
      <c r="BT183" s="320"/>
      <c r="BU183" s="319">
        <v>0</v>
      </c>
      <c r="BV183" s="320"/>
      <c r="BW183" s="319">
        <v>0</v>
      </c>
      <c r="BX183" s="320">
        <v>0</v>
      </c>
      <c r="BY183" s="319">
        <v>0</v>
      </c>
      <c r="BZ183" s="320"/>
      <c r="CA183" s="319">
        <v>0</v>
      </c>
      <c r="CB183" s="320"/>
      <c r="CC183" s="319">
        <v>0</v>
      </c>
      <c r="CD183" s="320">
        <v>0</v>
      </c>
      <c r="CE183" s="319">
        <v>0</v>
      </c>
      <c r="CF183" s="320"/>
      <c r="CG183" s="319">
        <v>0</v>
      </c>
      <c r="CH183" s="320"/>
      <c r="CI183" s="319">
        <v>0</v>
      </c>
      <c r="CJ183" s="320">
        <v>0</v>
      </c>
      <c r="CK183" s="319">
        <v>0</v>
      </c>
      <c r="CL183" s="320"/>
      <c r="CM183" s="319">
        <v>0</v>
      </c>
      <c r="CN183" s="320"/>
      <c r="CO183" s="319">
        <v>0</v>
      </c>
      <c r="CP183" s="320">
        <v>0</v>
      </c>
      <c r="CQ183" s="319">
        <v>0</v>
      </c>
      <c r="CR183" s="320"/>
      <c r="CS183" s="319">
        <v>0</v>
      </c>
      <c r="CT183" s="320"/>
      <c r="CU183" s="319">
        <v>0</v>
      </c>
      <c r="CV183" s="320">
        <v>0</v>
      </c>
      <c r="CW183" s="319">
        <v>0</v>
      </c>
      <c r="CX183" s="320"/>
      <c r="CY183" s="319">
        <v>0</v>
      </c>
      <c r="CZ183" s="320"/>
      <c r="DA183" s="319">
        <v>0</v>
      </c>
      <c r="DB183" s="320">
        <v>0</v>
      </c>
      <c r="DC183" s="319">
        <v>0</v>
      </c>
      <c r="DD183" s="320"/>
      <c r="DE183" s="319">
        <v>0</v>
      </c>
      <c r="DF183" s="320"/>
      <c r="DG183" s="319">
        <v>0</v>
      </c>
      <c r="DH183" s="320">
        <v>0</v>
      </c>
      <c r="DI183" s="319">
        <v>0</v>
      </c>
      <c r="DJ183" s="320"/>
      <c r="DK183" s="319">
        <v>0</v>
      </c>
      <c r="DL183" s="320"/>
      <c r="DM183" s="319">
        <v>0</v>
      </c>
      <c r="DN183" s="320">
        <v>0</v>
      </c>
      <c r="DO183" s="319">
        <v>0</v>
      </c>
      <c r="DP183" s="320"/>
      <c r="DQ183" s="319">
        <v>0</v>
      </c>
      <c r="DR183" s="320"/>
      <c r="DS183" s="319">
        <v>0</v>
      </c>
      <c r="DT183" s="320">
        <v>0</v>
      </c>
      <c r="DU183" s="319">
        <v>0</v>
      </c>
      <c r="DV183" s="320"/>
      <c r="DW183" s="319">
        <v>0</v>
      </c>
      <c r="DX183" s="320"/>
      <c r="DY183" s="319">
        <v>0</v>
      </c>
      <c r="DZ183" s="320">
        <v>0</v>
      </c>
      <c r="EA183" s="319">
        <v>0</v>
      </c>
      <c r="EB183" s="320"/>
      <c r="EC183" s="319">
        <v>0</v>
      </c>
      <c r="ED183" s="320"/>
      <c r="EE183" s="319">
        <v>0</v>
      </c>
      <c r="EF183" s="320">
        <v>0</v>
      </c>
      <c r="EG183" s="319">
        <v>0</v>
      </c>
      <c r="EH183" s="320"/>
      <c r="EI183" s="319">
        <v>0</v>
      </c>
      <c r="EJ183" s="320"/>
      <c r="EK183" s="319">
        <v>0</v>
      </c>
      <c r="EL183" s="320">
        <v>0</v>
      </c>
      <c r="EM183" s="319">
        <v>0</v>
      </c>
      <c r="EN183" s="320"/>
      <c r="EO183" s="319">
        <v>0</v>
      </c>
      <c r="EP183" s="320"/>
      <c r="EQ183" s="319">
        <v>0</v>
      </c>
      <c r="ER183" s="320">
        <v>0</v>
      </c>
      <c r="ES183" s="319">
        <v>0</v>
      </c>
      <c r="ET183" s="320"/>
      <c r="EU183" s="319">
        <v>0</v>
      </c>
      <c r="EV183" s="320"/>
      <c r="EW183" s="319">
        <v>0</v>
      </c>
      <c r="EX183" s="320">
        <v>0</v>
      </c>
      <c r="EY183" s="319">
        <v>0</v>
      </c>
      <c r="EZ183" s="320"/>
      <c r="FA183" s="319">
        <v>0</v>
      </c>
      <c r="FB183" s="320"/>
      <c r="FC183" s="319">
        <v>0</v>
      </c>
      <c r="FD183" s="320">
        <v>0</v>
      </c>
      <c r="FE183" s="319">
        <v>0</v>
      </c>
      <c r="FF183" s="320"/>
      <c r="FG183" s="319">
        <v>0</v>
      </c>
      <c r="FH183" s="320"/>
      <c r="FI183" s="319">
        <v>0</v>
      </c>
      <c r="FJ183" s="320">
        <v>0</v>
      </c>
      <c r="FK183" s="319">
        <v>0</v>
      </c>
      <c r="FL183" s="320"/>
      <c r="FM183" s="319">
        <v>0</v>
      </c>
      <c r="FN183" s="320"/>
      <c r="FO183" s="319">
        <v>0</v>
      </c>
      <c r="FP183" s="320">
        <v>0</v>
      </c>
      <c r="FQ183" s="319">
        <v>0</v>
      </c>
      <c r="FR183" s="320"/>
      <c r="FS183" s="319">
        <v>0</v>
      </c>
      <c r="FT183" s="320"/>
      <c r="FU183" s="319">
        <v>0</v>
      </c>
      <c r="FV183" s="320">
        <v>0</v>
      </c>
      <c r="FW183" s="319">
        <v>0</v>
      </c>
      <c r="FX183" s="320"/>
      <c r="FY183" s="319">
        <v>0</v>
      </c>
      <c r="FZ183" s="320"/>
      <c r="GA183" s="319">
        <v>0</v>
      </c>
      <c r="GB183" s="320">
        <v>0</v>
      </c>
      <c r="GC183" s="319">
        <v>0</v>
      </c>
      <c r="GD183" s="320"/>
      <c r="GE183" s="319">
        <v>0</v>
      </c>
      <c r="GF183" s="320"/>
      <c r="GG183" s="319">
        <v>0</v>
      </c>
      <c r="GH183" s="320">
        <v>0</v>
      </c>
      <c r="GI183" s="319">
        <v>0</v>
      </c>
      <c r="GJ183" s="320"/>
      <c r="GK183" s="319">
        <v>0</v>
      </c>
      <c r="GL183" s="320"/>
      <c r="GM183" s="319">
        <v>0</v>
      </c>
      <c r="GN183" s="320">
        <v>0</v>
      </c>
      <c r="GO183" s="319">
        <v>0</v>
      </c>
      <c r="GP183" s="320"/>
      <c r="GQ183" s="319">
        <v>0</v>
      </c>
      <c r="GR183" s="320"/>
      <c r="GS183" s="319">
        <v>0</v>
      </c>
      <c r="GT183" s="320">
        <v>0</v>
      </c>
      <c r="GU183" s="319">
        <v>0</v>
      </c>
      <c r="GV183" s="320"/>
      <c r="GW183" s="319">
        <v>0</v>
      </c>
      <c r="GX183" s="320"/>
      <c r="GY183" s="319">
        <v>0</v>
      </c>
      <c r="GZ183" s="320">
        <v>0</v>
      </c>
    </row>
    <row r="184" spans="1:208" s="89" customFormat="1" ht="22.5" customHeight="1" x14ac:dyDescent="0.2">
      <c r="A184" s="287" t="s">
        <v>3316</v>
      </c>
      <c r="B184" s="288" t="s">
        <v>3317</v>
      </c>
      <c r="C184" s="294" t="s">
        <v>3170</v>
      </c>
      <c r="D184" s="290" t="s">
        <v>3318</v>
      </c>
      <c r="E184" s="290" t="s">
        <v>3319</v>
      </c>
      <c r="F184" s="295" t="s">
        <v>3166</v>
      </c>
      <c r="G184" s="295" t="s">
        <v>3167</v>
      </c>
      <c r="H184" s="292" t="s">
        <v>1520</v>
      </c>
      <c r="I184" s="293" t="s">
        <v>1520</v>
      </c>
      <c r="J184" s="340" t="s">
        <v>3168</v>
      </c>
      <c r="K184" s="342" t="s">
        <v>3173</v>
      </c>
      <c r="L184" s="256">
        <f>CONTINUA!BV184</f>
        <v>0</v>
      </c>
      <c r="M184" s="256">
        <f>CONTINUA!BW184</f>
        <v>0</v>
      </c>
      <c r="N184" s="564"/>
      <c r="O184" s="565" t="s">
        <v>3367</v>
      </c>
      <c r="P184" s="566">
        <v>0</v>
      </c>
      <c r="Q184" s="319">
        <v>0</v>
      </c>
      <c r="R184" s="320"/>
      <c r="S184" s="319">
        <v>0</v>
      </c>
      <c r="T184" s="320"/>
      <c r="U184" s="319">
        <v>0</v>
      </c>
      <c r="V184" s="320">
        <v>0</v>
      </c>
      <c r="W184" s="319">
        <v>0</v>
      </c>
      <c r="X184" s="320"/>
      <c r="Y184" s="319">
        <v>0</v>
      </c>
      <c r="Z184" s="320"/>
      <c r="AA184" s="319">
        <v>0</v>
      </c>
      <c r="AB184" s="320">
        <v>0</v>
      </c>
      <c r="AC184" s="319">
        <v>0</v>
      </c>
      <c r="AD184" s="320"/>
      <c r="AE184" s="319">
        <v>0</v>
      </c>
      <c r="AF184" s="320"/>
      <c r="AG184" s="319">
        <v>0</v>
      </c>
      <c r="AH184" s="320">
        <v>0</v>
      </c>
      <c r="AI184" s="319">
        <v>0</v>
      </c>
      <c r="AJ184" s="320"/>
      <c r="AK184" s="319">
        <v>0</v>
      </c>
      <c r="AL184" s="320"/>
      <c r="AM184" s="319">
        <v>0</v>
      </c>
      <c r="AN184" s="320">
        <v>0</v>
      </c>
      <c r="AO184" s="319">
        <v>0</v>
      </c>
      <c r="AP184" s="320"/>
      <c r="AQ184" s="319">
        <v>0</v>
      </c>
      <c r="AR184" s="320"/>
      <c r="AS184" s="319">
        <v>0</v>
      </c>
      <c r="AT184" s="320">
        <v>0</v>
      </c>
      <c r="AU184" s="319">
        <v>0</v>
      </c>
      <c r="AV184" s="320"/>
      <c r="AW184" s="319">
        <v>0</v>
      </c>
      <c r="AX184" s="320"/>
      <c r="AY184" s="319">
        <v>0</v>
      </c>
      <c r="AZ184" s="320">
        <v>0</v>
      </c>
      <c r="BA184" s="319">
        <v>0</v>
      </c>
      <c r="BB184" s="320"/>
      <c r="BC184" s="319">
        <v>0</v>
      </c>
      <c r="BD184" s="320"/>
      <c r="BE184" s="319">
        <v>0</v>
      </c>
      <c r="BF184" s="320">
        <v>0</v>
      </c>
      <c r="BG184" s="319">
        <v>0</v>
      </c>
      <c r="BH184" s="320"/>
      <c r="BI184" s="319">
        <v>0</v>
      </c>
      <c r="BJ184" s="320"/>
      <c r="BK184" s="319">
        <v>0</v>
      </c>
      <c r="BL184" s="320">
        <v>0</v>
      </c>
      <c r="BM184" s="319">
        <v>0</v>
      </c>
      <c r="BN184" s="320"/>
      <c r="BO184" s="319">
        <v>0</v>
      </c>
      <c r="BP184" s="320"/>
      <c r="BQ184" s="319">
        <v>0</v>
      </c>
      <c r="BR184" s="320">
        <v>0</v>
      </c>
      <c r="BS184" s="319">
        <v>0</v>
      </c>
      <c r="BT184" s="320"/>
      <c r="BU184" s="319">
        <v>0</v>
      </c>
      <c r="BV184" s="320"/>
      <c r="BW184" s="319">
        <v>0</v>
      </c>
      <c r="BX184" s="320">
        <v>0</v>
      </c>
      <c r="BY184" s="319">
        <v>0</v>
      </c>
      <c r="BZ184" s="320"/>
      <c r="CA184" s="319">
        <v>0</v>
      </c>
      <c r="CB184" s="320"/>
      <c r="CC184" s="319">
        <v>0</v>
      </c>
      <c r="CD184" s="320">
        <v>0</v>
      </c>
      <c r="CE184" s="319">
        <v>0</v>
      </c>
      <c r="CF184" s="320"/>
      <c r="CG184" s="319">
        <v>0</v>
      </c>
      <c r="CH184" s="320"/>
      <c r="CI184" s="319">
        <v>0</v>
      </c>
      <c r="CJ184" s="320">
        <v>0</v>
      </c>
      <c r="CK184" s="319">
        <v>0</v>
      </c>
      <c r="CL184" s="320"/>
      <c r="CM184" s="319">
        <v>0</v>
      </c>
      <c r="CN184" s="320"/>
      <c r="CO184" s="319">
        <v>0</v>
      </c>
      <c r="CP184" s="320">
        <v>0</v>
      </c>
      <c r="CQ184" s="319">
        <v>0</v>
      </c>
      <c r="CR184" s="320"/>
      <c r="CS184" s="319">
        <v>0</v>
      </c>
      <c r="CT184" s="320"/>
      <c r="CU184" s="319">
        <v>0</v>
      </c>
      <c r="CV184" s="320">
        <v>0</v>
      </c>
      <c r="CW184" s="319">
        <v>0</v>
      </c>
      <c r="CX184" s="320"/>
      <c r="CY184" s="319">
        <v>0</v>
      </c>
      <c r="CZ184" s="320"/>
      <c r="DA184" s="319">
        <v>0</v>
      </c>
      <c r="DB184" s="320">
        <v>0</v>
      </c>
      <c r="DC184" s="319">
        <v>0</v>
      </c>
      <c r="DD184" s="320"/>
      <c r="DE184" s="319">
        <v>0</v>
      </c>
      <c r="DF184" s="320"/>
      <c r="DG184" s="319">
        <v>0</v>
      </c>
      <c r="DH184" s="320">
        <v>0</v>
      </c>
      <c r="DI184" s="319">
        <v>0</v>
      </c>
      <c r="DJ184" s="320"/>
      <c r="DK184" s="319">
        <v>0</v>
      </c>
      <c r="DL184" s="320"/>
      <c r="DM184" s="319">
        <v>0</v>
      </c>
      <c r="DN184" s="320">
        <v>0</v>
      </c>
      <c r="DO184" s="319">
        <v>0</v>
      </c>
      <c r="DP184" s="320"/>
      <c r="DQ184" s="319">
        <v>0</v>
      </c>
      <c r="DR184" s="320"/>
      <c r="DS184" s="319">
        <v>0</v>
      </c>
      <c r="DT184" s="320">
        <v>0</v>
      </c>
      <c r="DU184" s="319">
        <v>0</v>
      </c>
      <c r="DV184" s="320"/>
      <c r="DW184" s="319">
        <v>0</v>
      </c>
      <c r="DX184" s="320"/>
      <c r="DY184" s="319">
        <v>0</v>
      </c>
      <c r="DZ184" s="320">
        <v>0</v>
      </c>
      <c r="EA184" s="319">
        <v>0</v>
      </c>
      <c r="EB184" s="320"/>
      <c r="EC184" s="319">
        <v>0</v>
      </c>
      <c r="ED184" s="320"/>
      <c r="EE184" s="319">
        <v>0</v>
      </c>
      <c r="EF184" s="320">
        <v>0</v>
      </c>
      <c r="EG184" s="319">
        <v>0</v>
      </c>
      <c r="EH184" s="320"/>
      <c r="EI184" s="319">
        <v>0</v>
      </c>
      <c r="EJ184" s="320"/>
      <c r="EK184" s="319">
        <v>0</v>
      </c>
      <c r="EL184" s="320">
        <v>0</v>
      </c>
      <c r="EM184" s="319">
        <v>0</v>
      </c>
      <c r="EN184" s="320"/>
      <c r="EO184" s="319">
        <v>0</v>
      </c>
      <c r="EP184" s="320"/>
      <c r="EQ184" s="319">
        <v>0</v>
      </c>
      <c r="ER184" s="320">
        <v>0</v>
      </c>
      <c r="ES184" s="319">
        <v>0</v>
      </c>
      <c r="ET184" s="320"/>
      <c r="EU184" s="319">
        <v>0</v>
      </c>
      <c r="EV184" s="320"/>
      <c r="EW184" s="319">
        <v>0</v>
      </c>
      <c r="EX184" s="320">
        <v>0</v>
      </c>
      <c r="EY184" s="319">
        <v>0</v>
      </c>
      <c r="EZ184" s="320"/>
      <c r="FA184" s="319">
        <v>0</v>
      </c>
      <c r="FB184" s="320"/>
      <c r="FC184" s="319">
        <v>0</v>
      </c>
      <c r="FD184" s="320">
        <v>0</v>
      </c>
      <c r="FE184" s="319">
        <v>0</v>
      </c>
      <c r="FF184" s="320"/>
      <c r="FG184" s="319">
        <v>0</v>
      </c>
      <c r="FH184" s="320"/>
      <c r="FI184" s="319">
        <v>0</v>
      </c>
      <c r="FJ184" s="320">
        <v>0</v>
      </c>
      <c r="FK184" s="319">
        <v>0</v>
      </c>
      <c r="FL184" s="320"/>
      <c r="FM184" s="319">
        <v>0</v>
      </c>
      <c r="FN184" s="320"/>
      <c r="FO184" s="319">
        <v>0</v>
      </c>
      <c r="FP184" s="320">
        <v>0</v>
      </c>
      <c r="FQ184" s="319">
        <v>0</v>
      </c>
      <c r="FR184" s="320"/>
      <c r="FS184" s="319">
        <v>0</v>
      </c>
      <c r="FT184" s="320"/>
      <c r="FU184" s="319">
        <v>0</v>
      </c>
      <c r="FV184" s="320">
        <v>0</v>
      </c>
      <c r="FW184" s="319">
        <v>0</v>
      </c>
      <c r="FX184" s="320"/>
      <c r="FY184" s="319">
        <v>0</v>
      </c>
      <c r="FZ184" s="320"/>
      <c r="GA184" s="319">
        <v>0</v>
      </c>
      <c r="GB184" s="320">
        <v>0</v>
      </c>
      <c r="GC184" s="319">
        <v>0</v>
      </c>
      <c r="GD184" s="320"/>
      <c r="GE184" s="319">
        <v>0</v>
      </c>
      <c r="GF184" s="320"/>
      <c r="GG184" s="319">
        <v>0</v>
      </c>
      <c r="GH184" s="320">
        <v>0</v>
      </c>
      <c r="GI184" s="319">
        <v>0</v>
      </c>
      <c r="GJ184" s="320"/>
      <c r="GK184" s="319">
        <v>0</v>
      </c>
      <c r="GL184" s="320"/>
      <c r="GM184" s="319">
        <v>0</v>
      </c>
      <c r="GN184" s="320">
        <v>0</v>
      </c>
      <c r="GO184" s="319">
        <v>0</v>
      </c>
      <c r="GP184" s="320"/>
      <c r="GQ184" s="319">
        <v>0</v>
      </c>
      <c r="GR184" s="320"/>
      <c r="GS184" s="319">
        <v>0</v>
      </c>
      <c r="GT184" s="320">
        <v>0</v>
      </c>
      <c r="GU184" s="319">
        <v>0</v>
      </c>
      <c r="GV184" s="320"/>
      <c r="GW184" s="319">
        <v>0</v>
      </c>
      <c r="GX184" s="320"/>
      <c r="GY184" s="319">
        <v>0</v>
      </c>
      <c r="GZ184" s="320">
        <v>0</v>
      </c>
    </row>
    <row r="185" spans="1:208" s="89" customFormat="1" ht="22.5" customHeight="1" thickBot="1" x14ac:dyDescent="0.25">
      <c r="A185" s="296" t="s">
        <v>3316</v>
      </c>
      <c r="B185" s="297" t="s">
        <v>3317</v>
      </c>
      <c r="C185" s="298" t="s">
        <v>3170</v>
      </c>
      <c r="D185" s="299" t="s">
        <v>3318</v>
      </c>
      <c r="E185" s="299" t="s">
        <v>3319</v>
      </c>
      <c r="F185" s="300" t="s">
        <v>3166</v>
      </c>
      <c r="G185" s="300" t="s">
        <v>3167</v>
      </c>
      <c r="H185" s="301" t="s">
        <v>1520</v>
      </c>
      <c r="I185" s="302" t="s">
        <v>1520</v>
      </c>
      <c r="J185" s="340" t="s">
        <v>3168</v>
      </c>
      <c r="K185" s="343" t="s">
        <v>53</v>
      </c>
      <c r="L185" s="256">
        <f>CONTINUA!BV185</f>
        <v>0</v>
      </c>
      <c r="M185" s="256">
        <f>CONTINUA!BW185</f>
        <v>0</v>
      </c>
      <c r="N185" s="564"/>
      <c r="O185" s="565" t="s">
        <v>3367</v>
      </c>
      <c r="P185" s="566">
        <v>0</v>
      </c>
      <c r="Q185" s="319">
        <v>0</v>
      </c>
      <c r="R185" s="320"/>
      <c r="S185" s="319">
        <v>0</v>
      </c>
      <c r="T185" s="320"/>
      <c r="U185" s="321">
        <v>0</v>
      </c>
      <c r="V185" s="322">
        <v>0</v>
      </c>
      <c r="W185" s="319">
        <v>0</v>
      </c>
      <c r="X185" s="320"/>
      <c r="Y185" s="319">
        <v>0</v>
      </c>
      <c r="Z185" s="320"/>
      <c r="AA185" s="321">
        <v>0</v>
      </c>
      <c r="AB185" s="322">
        <v>0</v>
      </c>
      <c r="AC185" s="319">
        <v>0</v>
      </c>
      <c r="AD185" s="320"/>
      <c r="AE185" s="319">
        <v>0</v>
      </c>
      <c r="AF185" s="320"/>
      <c r="AG185" s="321">
        <v>0</v>
      </c>
      <c r="AH185" s="322">
        <v>0</v>
      </c>
      <c r="AI185" s="319">
        <v>0</v>
      </c>
      <c r="AJ185" s="320"/>
      <c r="AK185" s="319">
        <v>0</v>
      </c>
      <c r="AL185" s="320"/>
      <c r="AM185" s="321">
        <v>0</v>
      </c>
      <c r="AN185" s="322">
        <v>0</v>
      </c>
      <c r="AO185" s="319">
        <v>0</v>
      </c>
      <c r="AP185" s="320"/>
      <c r="AQ185" s="319">
        <v>0</v>
      </c>
      <c r="AR185" s="320"/>
      <c r="AS185" s="321">
        <v>0</v>
      </c>
      <c r="AT185" s="322">
        <v>0</v>
      </c>
      <c r="AU185" s="319">
        <v>0</v>
      </c>
      <c r="AV185" s="320"/>
      <c r="AW185" s="319">
        <v>0</v>
      </c>
      <c r="AX185" s="320"/>
      <c r="AY185" s="321">
        <v>0</v>
      </c>
      <c r="AZ185" s="322">
        <v>0</v>
      </c>
      <c r="BA185" s="319">
        <v>0</v>
      </c>
      <c r="BB185" s="320"/>
      <c r="BC185" s="319">
        <v>0</v>
      </c>
      <c r="BD185" s="320"/>
      <c r="BE185" s="321">
        <v>0</v>
      </c>
      <c r="BF185" s="322">
        <v>0</v>
      </c>
      <c r="BG185" s="319">
        <v>0</v>
      </c>
      <c r="BH185" s="320"/>
      <c r="BI185" s="319">
        <v>0</v>
      </c>
      <c r="BJ185" s="320"/>
      <c r="BK185" s="321">
        <v>0</v>
      </c>
      <c r="BL185" s="322">
        <v>0</v>
      </c>
      <c r="BM185" s="319">
        <v>0</v>
      </c>
      <c r="BN185" s="320"/>
      <c r="BO185" s="319">
        <v>0</v>
      </c>
      <c r="BP185" s="320"/>
      <c r="BQ185" s="321">
        <v>0</v>
      </c>
      <c r="BR185" s="322">
        <v>0</v>
      </c>
      <c r="BS185" s="319">
        <v>0</v>
      </c>
      <c r="BT185" s="320"/>
      <c r="BU185" s="319">
        <v>0</v>
      </c>
      <c r="BV185" s="320"/>
      <c r="BW185" s="321">
        <v>0</v>
      </c>
      <c r="BX185" s="322">
        <v>0</v>
      </c>
      <c r="BY185" s="319">
        <v>0</v>
      </c>
      <c r="BZ185" s="320"/>
      <c r="CA185" s="319">
        <v>0</v>
      </c>
      <c r="CB185" s="320"/>
      <c r="CC185" s="321">
        <v>0</v>
      </c>
      <c r="CD185" s="322">
        <v>0</v>
      </c>
      <c r="CE185" s="319">
        <v>0</v>
      </c>
      <c r="CF185" s="320"/>
      <c r="CG185" s="319">
        <v>0</v>
      </c>
      <c r="CH185" s="320"/>
      <c r="CI185" s="321">
        <v>0</v>
      </c>
      <c r="CJ185" s="322">
        <v>0</v>
      </c>
      <c r="CK185" s="319">
        <v>0</v>
      </c>
      <c r="CL185" s="320"/>
      <c r="CM185" s="319">
        <v>0</v>
      </c>
      <c r="CN185" s="320"/>
      <c r="CO185" s="321">
        <v>0</v>
      </c>
      <c r="CP185" s="322">
        <v>0</v>
      </c>
      <c r="CQ185" s="319">
        <v>0</v>
      </c>
      <c r="CR185" s="320"/>
      <c r="CS185" s="319">
        <v>0</v>
      </c>
      <c r="CT185" s="320"/>
      <c r="CU185" s="321">
        <v>0</v>
      </c>
      <c r="CV185" s="322">
        <v>0</v>
      </c>
      <c r="CW185" s="319">
        <v>0</v>
      </c>
      <c r="CX185" s="320"/>
      <c r="CY185" s="319">
        <v>0</v>
      </c>
      <c r="CZ185" s="320"/>
      <c r="DA185" s="321">
        <v>0</v>
      </c>
      <c r="DB185" s="322">
        <v>0</v>
      </c>
      <c r="DC185" s="319">
        <v>0</v>
      </c>
      <c r="DD185" s="320"/>
      <c r="DE185" s="319">
        <v>0</v>
      </c>
      <c r="DF185" s="320"/>
      <c r="DG185" s="321">
        <v>0</v>
      </c>
      <c r="DH185" s="322">
        <v>0</v>
      </c>
      <c r="DI185" s="319">
        <v>0</v>
      </c>
      <c r="DJ185" s="320"/>
      <c r="DK185" s="319">
        <v>0</v>
      </c>
      <c r="DL185" s="320"/>
      <c r="DM185" s="321">
        <v>0</v>
      </c>
      <c r="DN185" s="322">
        <v>0</v>
      </c>
      <c r="DO185" s="319">
        <v>0</v>
      </c>
      <c r="DP185" s="320"/>
      <c r="DQ185" s="319">
        <v>0</v>
      </c>
      <c r="DR185" s="320"/>
      <c r="DS185" s="321">
        <v>0</v>
      </c>
      <c r="DT185" s="322">
        <v>0</v>
      </c>
      <c r="DU185" s="319">
        <v>0</v>
      </c>
      <c r="DV185" s="320"/>
      <c r="DW185" s="319">
        <v>0</v>
      </c>
      <c r="DX185" s="320"/>
      <c r="DY185" s="321">
        <v>0</v>
      </c>
      <c r="DZ185" s="322">
        <v>0</v>
      </c>
      <c r="EA185" s="319">
        <v>0</v>
      </c>
      <c r="EB185" s="320"/>
      <c r="EC185" s="319">
        <v>0</v>
      </c>
      <c r="ED185" s="320"/>
      <c r="EE185" s="321">
        <v>0</v>
      </c>
      <c r="EF185" s="322">
        <v>0</v>
      </c>
      <c r="EG185" s="319">
        <v>0</v>
      </c>
      <c r="EH185" s="320"/>
      <c r="EI185" s="319">
        <v>0</v>
      </c>
      <c r="EJ185" s="320"/>
      <c r="EK185" s="321">
        <v>0</v>
      </c>
      <c r="EL185" s="322">
        <v>0</v>
      </c>
      <c r="EM185" s="319">
        <v>0</v>
      </c>
      <c r="EN185" s="320"/>
      <c r="EO185" s="319">
        <v>0</v>
      </c>
      <c r="EP185" s="320"/>
      <c r="EQ185" s="321">
        <v>0</v>
      </c>
      <c r="ER185" s="322">
        <v>0</v>
      </c>
      <c r="ES185" s="319">
        <v>0</v>
      </c>
      <c r="ET185" s="320"/>
      <c r="EU185" s="319">
        <v>0</v>
      </c>
      <c r="EV185" s="320"/>
      <c r="EW185" s="321">
        <v>0</v>
      </c>
      <c r="EX185" s="322">
        <v>0</v>
      </c>
      <c r="EY185" s="319">
        <v>0</v>
      </c>
      <c r="EZ185" s="320"/>
      <c r="FA185" s="319">
        <v>0</v>
      </c>
      <c r="FB185" s="320"/>
      <c r="FC185" s="321">
        <v>0</v>
      </c>
      <c r="FD185" s="322">
        <v>0</v>
      </c>
      <c r="FE185" s="319">
        <v>0</v>
      </c>
      <c r="FF185" s="320"/>
      <c r="FG185" s="319">
        <v>0</v>
      </c>
      <c r="FH185" s="320"/>
      <c r="FI185" s="321">
        <v>0</v>
      </c>
      <c r="FJ185" s="322">
        <v>0</v>
      </c>
      <c r="FK185" s="319">
        <v>0</v>
      </c>
      <c r="FL185" s="320"/>
      <c r="FM185" s="319">
        <v>0</v>
      </c>
      <c r="FN185" s="320"/>
      <c r="FO185" s="321">
        <v>0</v>
      </c>
      <c r="FP185" s="322">
        <v>0</v>
      </c>
      <c r="FQ185" s="319">
        <v>0</v>
      </c>
      <c r="FR185" s="320"/>
      <c r="FS185" s="319">
        <v>0</v>
      </c>
      <c r="FT185" s="320"/>
      <c r="FU185" s="321">
        <v>0</v>
      </c>
      <c r="FV185" s="322">
        <v>0</v>
      </c>
      <c r="FW185" s="319">
        <v>0</v>
      </c>
      <c r="FX185" s="320"/>
      <c r="FY185" s="319">
        <v>0</v>
      </c>
      <c r="FZ185" s="320"/>
      <c r="GA185" s="321">
        <v>0</v>
      </c>
      <c r="GB185" s="322">
        <v>0</v>
      </c>
      <c r="GC185" s="319">
        <v>0</v>
      </c>
      <c r="GD185" s="320"/>
      <c r="GE185" s="319">
        <v>0</v>
      </c>
      <c r="GF185" s="320"/>
      <c r="GG185" s="321">
        <v>0</v>
      </c>
      <c r="GH185" s="322">
        <v>0</v>
      </c>
      <c r="GI185" s="319">
        <v>0</v>
      </c>
      <c r="GJ185" s="320"/>
      <c r="GK185" s="319">
        <v>0</v>
      </c>
      <c r="GL185" s="320"/>
      <c r="GM185" s="321">
        <v>0</v>
      </c>
      <c r="GN185" s="322">
        <v>0</v>
      </c>
      <c r="GO185" s="319">
        <v>0</v>
      </c>
      <c r="GP185" s="320"/>
      <c r="GQ185" s="319">
        <v>0</v>
      </c>
      <c r="GR185" s="320"/>
      <c r="GS185" s="321">
        <v>0</v>
      </c>
      <c r="GT185" s="322">
        <v>0</v>
      </c>
      <c r="GU185" s="319">
        <v>0</v>
      </c>
      <c r="GV185" s="320"/>
      <c r="GW185" s="319">
        <v>0</v>
      </c>
      <c r="GX185" s="320"/>
      <c r="GY185" s="321">
        <v>0</v>
      </c>
      <c r="GZ185" s="322">
        <v>0</v>
      </c>
    </row>
    <row r="186" spans="1:208" s="89" customFormat="1" ht="22.5" customHeight="1" x14ac:dyDescent="0.2">
      <c r="A186" t="s">
        <v>3320</v>
      </c>
      <c r="B186" s="429" t="s">
        <v>3321</v>
      </c>
      <c r="C186" s="430">
        <v>1</v>
      </c>
      <c r="D186" s="431" t="s">
        <v>3322</v>
      </c>
      <c r="E186" s="431" t="s">
        <v>3323</v>
      </c>
      <c r="F186" s="432" t="s">
        <v>3166</v>
      </c>
      <c r="G186" s="432" t="s">
        <v>3167</v>
      </c>
      <c r="H186" s="270" t="s">
        <v>1526</v>
      </c>
      <c r="I186" s="271" t="s">
        <v>1526</v>
      </c>
      <c r="J186" s="328" t="s">
        <v>3168</v>
      </c>
      <c r="K186" s="329" t="s">
        <v>3169</v>
      </c>
      <c r="L186" s="256">
        <f>CONTINUA!BV186</f>
        <v>0</v>
      </c>
      <c r="M186" s="256">
        <f>CONTINUA!BW186</f>
        <v>0</v>
      </c>
      <c r="N186" s="564"/>
      <c r="O186" s="565" t="s">
        <v>3368</v>
      </c>
      <c r="P186" s="566">
        <v>0</v>
      </c>
      <c r="Q186" s="319">
        <v>19</v>
      </c>
      <c r="R186" s="320"/>
      <c r="S186" s="319">
        <v>0</v>
      </c>
      <c r="T186" s="320"/>
      <c r="U186" s="321">
        <v>0</v>
      </c>
      <c r="V186" s="322">
        <v>0</v>
      </c>
      <c r="W186" s="319">
        <v>19</v>
      </c>
      <c r="X186" s="320"/>
      <c r="Y186" s="319">
        <v>0</v>
      </c>
      <c r="Z186" s="320"/>
      <c r="AA186" s="321">
        <v>0</v>
      </c>
      <c r="AB186" s="322">
        <v>0</v>
      </c>
      <c r="AC186" s="319">
        <v>19</v>
      </c>
      <c r="AD186" s="320"/>
      <c r="AE186" s="319">
        <v>0</v>
      </c>
      <c r="AF186" s="320"/>
      <c r="AG186" s="321">
        <v>0</v>
      </c>
      <c r="AH186" s="322">
        <v>0</v>
      </c>
      <c r="AI186" s="319">
        <v>19</v>
      </c>
      <c r="AJ186" s="320"/>
      <c r="AK186" s="319">
        <v>0</v>
      </c>
      <c r="AL186" s="320"/>
      <c r="AM186" s="321">
        <v>0</v>
      </c>
      <c r="AN186" s="322">
        <v>0</v>
      </c>
      <c r="AO186" s="319">
        <v>19</v>
      </c>
      <c r="AP186" s="320"/>
      <c r="AQ186" s="319">
        <v>0</v>
      </c>
      <c r="AR186" s="320"/>
      <c r="AS186" s="321">
        <v>0</v>
      </c>
      <c r="AT186" s="322">
        <v>0</v>
      </c>
      <c r="AU186" s="319">
        <v>19</v>
      </c>
      <c r="AV186" s="320"/>
      <c r="AW186" s="319">
        <v>0</v>
      </c>
      <c r="AX186" s="320"/>
      <c r="AY186" s="321">
        <v>0</v>
      </c>
      <c r="AZ186" s="322">
        <v>0</v>
      </c>
      <c r="BA186" s="319">
        <v>19</v>
      </c>
      <c r="BB186" s="320"/>
      <c r="BC186" s="319">
        <v>0</v>
      </c>
      <c r="BD186" s="320"/>
      <c r="BE186" s="321">
        <v>0</v>
      </c>
      <c r="BF186" s="322">
        <v>0</v>
      </c>
      <c r="BG186" s="319">
        <v>19</v>
      </c>
      <c r="BH186" s="320"/>
      <c r="BI186" s="319">
        <v>0</v>
      </c>
      <c r="BJ186" s="320"/>
      <c r="BK186" s="321">
        <v>0</v>
      </c>
      <c r="BL186" s="322">
        <v>0</v>
      </c>
      <c r="BM186" s="319">
        <v>19</v>
      </c>
      <c r="BN186" s="320"/>
      <c r="BO186" s="319">
        <v>0</v>
      </c>
      <c r="BP186" s="320"/>
      <c r="BQ186" s="321">
        <v>0</v>
      </c>
      <c r="BR186" s="322">
        <v>0</v>
      </c>
      <c r="BS186" s="319">
        <v>19</v>
      </c>
      <c r="BT186" s="320"/>
      <c r="BU186" s="319">
        <v>0</v>
      </c>
      <c r="BV186" s="320"/>
      <c r="BW186" s="321">
        <v>0</v>
      </c>
      <c r="BX186" s="322">
        <v>0</v>
      </c>
      <c r="BY186" s="319">
        <v>19</v>
      </c>
      <c r="BZ186" s="320"/>
      <c r="CA186" s="319">
        <v>0</v>
      </c>
      <c r="CB186" s="320"/>
      <c r="CC186" s="321">
        <v>0</v>
      </c>
      <c r="CD186" s="322">
        <v>0</v>
      </c>
      <c r="CE186" s="319">
        <v>19</v>
      </c>
      <c r="CF186" s="320"/>
      <c r="CG186" s="319">
        <v>0</v>
      </c>
      <c r="CH186" s="320"/>
      <c r="CI186" s="321">
        <v>0</v>
      </c>
      <c r="CJ186" s="322">
        <v>0</v>
      </c>
      <c r="CK186" s="319">
        <v>19</v>
      </c>
      <c r="CL186" s="320"/>
      <c r="CM186" s="319">
        <v>0</v>
      </c>
      <c r="CN186" s="320"/>
      <c r="CO186" s="321">
        <v>0</v>
      </c>
      <c r="CP186" s="322">
        <v>0</v>
      </c>
      <c r="CQ186" s="319">
        <v>19</v>
      </c>
      <c r="CR186" s="320"/>
      <c r="CS186" s="319">
        <v>0</v>
      </c>
      <c r="CT186" s="320"/>
      <c r="CU186" s="321">
        <v>0</v>
      </c>
      <c r="CV186" s="322">
        <v>0</v>
      </c>
      <c r="CW186" s="319">
        <v>19</v>
      </c>
      <c r="CX186" s="320"/>
      <c r="CY186" s="319">
        <v>0</v>
      </c>
      <c r="CZ186" s="320"/>
      <c r="DA186" s="321">
        <v>0</v>
      </c>
      <c r="DB186" s="322">
        <v>0</v>
      </c>
      <c r="DC186" s="319">
        <v>19</v>
      </c>
      <c r="DD186" s="320"/>
      <c r="DE186" s="319">
        <v>0</v>
      </c>
      <c r="DF186" s="320"/>
      <c r="DG186" s="321">
        <v>0</v>
      </c>
      <c r="DH186" s="322">
        <v>0</v>
      </c>
      <c r="DI186" s="319">
        <v>19</v>
      </c>
      <c r="DJ186" s="320"/>
      <c r="DK186" s="319">
        <v>0</v>
      </c>
      <c r="DL186" s="320"/>
      <c r="DM186" s="321">
        <v>0</v>
      </c>
      <c r="DN186" s="322">
        <v>0</v>
      </c>
      <c r="DO186" s="319">
        <v>19</v>
      </c>
      <c r="DP186" s="320"/>
      <c r="DQ186" s="319">
        <v>0</v>
      </c>
      <c r="DR186" s="320"/>
      <c r="DS186" s="321">
        <v>0</v>
      </c>
      <c r="DT186" s="322">
        <v>0</v>
      </c>
      <c r="DU186" s="319">
        <v>19</v>
      </c>
      <c r="DV186" s="320"/>
      <c r="DW186" s="319">
        <v>0</v>
      </c>
      <c r="DX186" s="320"/>
      <c r="DY186" s="321">
        <v>0</v>
      </c>
      <c r="DZ186" s="322">
        <v>0</v>
      </c>
      <c r="EA186" s="319">
        <v>19</v>
      </c>
      <c r="EB186" s="320"/>
      <c r="EC186" s="319">
        <v>0</v>
      </c>
      <c r="ED186" s="320"/>
      <c r="EE186" s="321">
        <v>0</v>
      </c>
      <c r="EF186" s="322">
        <v>0</v>
      </c>
      <c r="EG186" s="319">
        <v>19</v>
      </c>
      <c r="EH186" s="320"/>
      <c r="EI186" s="319">
        <v>0</v>
      </c>
      <c r="EJ186" s="320"/>
      <c r="EK186" s="321">
        <v>0</v>
      </c>
      <c r="EL186" s="322">
        <v>0</v>
      </c>
      <c r="EM186" s="319">
        <v>19</v>
      </c>
      <c r="EN186" s="320"/>
      <c r="EO186" s="319">
        <v>0</v>
      </c>
      <c r="EP186" s="320"/>
      <c r="EQ186" s="321">
        <v>0</v>
      </c>
      <c r="ER186" s="322">
        <v>0</v>
      </c>
      <c r="ES186" s="319">
        <v>19</v>
      </c>
      <c r="ET186" s="320"/>
      <c r="EU186" s="319">
        <v>0</v>
      </c>
      <c r="EV186" s="320"/>
      <c r="EW186" s="321">
        <v>0</v>
      </c>
      <c r="EX186" s="322">
        <v>0</v>
      </c>
      <c r="EY186" s="319">
        <v>19</v>
      </c>
      <c r="EZ186" s="320"/>
      <c r="FA186" s="319">
        <v>0</v>
      </c>
      <c r="FB186" s="320"/>
      <c r="FC186" s="321">
        <v>0</v>
      </c>
      <c r="FD186" s="322">
        <v>0</v>
      </c>
      <c r="FE186" s="319">
        <v>19</v>
      </c>
      <c r="FF186" s="320"/>
      <c r="FG186" s="319">
        <v>0</v>
      </c>
      <c r="FH186" s="320"/>
      <c r="FI186" s="321">
        <v>0</v>
      </c>
      <c r="FJ186" s="322">
        <v>0</v>
      </c>
      <c r="FK186" s="319">
        <v>19</v>
      </c>
      <c r="FL186" s="320"/>
      <c r="FM186" s="319">
        <v>0</v>
      </c>
      <c r="FN186" s="320"/>
      <c r="FO186" s="321">
        <v>0</v>
      </c>
      <c r="FP186" s="322">
        <v>0</v>
      </c>
      <c r="FQ186" s="319">
        <v>19</v>
      </c>
      <c r="FR186" s="320"/>
      <c r="FS186" s="319">
        <v>0</v>
      </c>
      <c r="FT186" s="320"/>
      <c r="FU186" s="321">
        <v>0</v>
      </c>
      <c r="FV186" s="322">
        <v>0</v>
      </c>
      <c r="FW186" s="319">
        <v>19</v>
      </c>
      <c r="FX186" s="320"/>
      <c r="FY186" s="319">
        <v>0</v>
      </c>
      <c r="FZ186" s="320"/>
      <c r="GA186" s="321">
        <v>0</v>
      </c>
      <c r="GB186" s="322">
        <v>0</v>
      </c>
      <c r="GC186" s="319">
        <v>19</v>
      </c>
      <c r="GD186" s="320"/>
      <c r="GE186" s="319">
        <v>0</v>
      </c>
      <c r="GF186" s="320"/>
      <c r="GG186" s="321">
        <v>0</v>
      </c>
      <c r="GH186" s="322">
        <v>0</v>
      </c>
      <c r="GI186" s="319">
        <v>19</v>
      </c>
      <c r="GJ186" s="320"/>
      <c r="GK186" s="319">
        <v>0</v>
      </c>
      <c r="GL186" s="320"/>
      <c r="GM186" s="321">
        <v>0</v>
      </c>
      <c r="GN186" s="322">
        <v>0</v>
      </c>
      <c r="GO186" s="319">
        <v>19</v>
      </c>
      <c r="GP186" s="320"/>
      <c r="GQ186" s="319">
        <v>0</v>
      </c>
      <c r="GR186" s="320"/>
      <c r="GS186" s="321">
        <v>0</v>
      </c>
      <c r="GT186" s="322">
        <v>0</v>
      </c>
      <c r="GU186" s="319">
        <v>19</v>
      </c>
      <c r="GV186" s="320"/>
      <c r="GW186" s="319">
        <v>0</v>
      </c>
      <c r="GX186" s="320"/>
      <c r="GY186" s="321">
        <v>0</v>
      </c>
      <c r="GZ186" s="322">
        <v>0</v>
      </c>
    </row>
    <row r="187" spans="1:208" s="89" customFormat="1" ht="22.5" customHeight="1" x14ac:dyDescent="0.2">
      <c r="A187" s="287" t="s">
        <v>3320</v>
      </c>
      <c r="B187" s="288" t="s">
        <v>3321</v>
      </c>
      <c r="C187" s="289" t="s">
        <v>3170</v>
      </c>
      <c r="D187" s="290" t="s">
        <v>3322</v>
      </c>
      <c r="E187" s="290" t="s">
        <v>3323</v>
      </c>
      <c r="F187" s="291" t="s">
        <v>3166</v>
      </c>
      <c r="G187" s="291" t="s">
        <v>3167</v>
      </c>
      <c r="H187" s="292" t="s">
        <v>1526</v>
      </c>
      <c r="I187" s="293" t="s">
        <v>1526</v>
      </c>
      <c r="J187" s="340" t="s">
        <v>3168</v>
      </c>
      <c r="K187" s="340" t="s">
        <v>3171</v>
      </c>
      <c r="L187" s="256">
        <f>CONTINUA!BV187</f>
        <v>0</v>
      </c>
      <c r="M187" s="256">
        <f>CONTINUA!BW187</f>
        <v>0</v>
      </c>
      <c r="N187" s="564"/>
      <c r="O187" s="565" t="s">
        <v>3368</v>
      </c>
      <c r="P187" s="566">
        <v>0</v>
      </c>
      <c r="Q187" s="319">
        <v>9</v>
      </c>
      <c r="R187" s="320"/>
      <c r="S187" s="319">
        <v>0</v>
      </c>
      <c r="T187" s="320"/>
      <c r="U187" s="319">
        <v>0</v>
      </c>
      <c r="V187" s="320">
        <v>0</v>
      </c>
      <c r="W187" s="319">
        <v>9</v>
      </c>
      <c r="X187" s="320"/>
      <c r="Y187" s="319">
        <v>0</v>
      </c>
      <c r="Z187" s="320"/>
      <c r="AA187" s="319">
        <v>0</v>
      </c>
      <c r="AB187" s="320">
        <v>0</v>
      </c>
      <c r="AC187" s="319">
        <v>9</v>
      </c>
      <c r="AD187" s="320"/>
      <c r="AE187" s="319">
        <v>0</v>
      </c>
      <c r="AF187" s="320"/>
      <c r="AG187" s="319">
        <v>0</v>
      </c>
      <c r="AH187" s="320">
        <v>0</v>
      </c>
      <c r="AI187" s="319">
        <v>9</v>
      </c>
      <c r="AJ187" s="320"/>
      <c r="AK187" s="319">
        <v>0</v>
      </c>
      <c r="AL187" s="320"/>
      <c r="AM187" s="319">
        <v>0</v>
      </c>
      <c r="AN187" s="320">
        <v>0</v>
      </c>
      <c r="AO187" s="319">
        <v>9</v>
      </c>
      <c r="AP187" s="320"/>
      <c r="AQ187" s="319">
        <v>0</v>
      </c>
      <c r="AR187" s="320"/>
      <c r="AS187" s="319">
        <v>0</v>
      </c>
      <c r="AT187" s="320">
        <v>0</v>
      </c>
      <c r="AU187" s="319">
        <v>9</v>
      </c>
      <c r="AV187" s="320"/>
      <c r="AW187" s="319">
        <v>0</v>
      </c>
      <c r="AX187" s="320"/>
      <c r="AY187" s="319">
        <v>0</v>
      </c>
      <c r="AZ187" s="320">
        <v>0</v>
      </c>
      <c r="BA187" s="319">
        <v>9</v>
      </c>
      <c r="BB187" s="320"/>
      <c r="BC187" s="319">
        <v>0</v>
      </c>
      <c r="BD187" s="320"/>
      <c r="BE187" s="319">
        <v>0</v>
      </c>
      <c r="BF187" s="320">
        <v>0</v>
      </c>
      <c r="BG187" s="319">
        <v>9</v>
      </c>
      <c r="BH187" s="320"/>
      <c r="BI187" s="319">
        <v>0</v>
      </c>
      <c r="BJ187" s="320"/>
      <c r="BK187" s="319">
        <v>0</v>
      </c>
      <c r="BL187" s="320">
        <v>0</v>
      </c>
      <c r="BM187" s="319">
        <v>9</v>
      </c>
      <c r="BN187" s="320"/>
      <c r="BO187" s="319">
        <v>0</v>
      </c>
      <c r="BP187" s="320"/>
      <c r="BQ187" s="319">
        <v>0</v>
      </c>
      <c r="BR187" s="320">
        <v>0</v>
      </c>
      <c r="BS187" s="319">
        <v>9</v>
      </c>
      <c r="BT187" s="320"/>
      <c r="BU187" s="319">
        <v>0</v>
      </c>
      <c r="BV187" s="320"/>
      <c r="BW187" s="319">
        <v>0</v>
      </c>
      <c r="BX187" s="320">
        <v>0</v>
      </c>
      <c r="BY187" s="319">
        <v>9</v>
      </c>
      <c r="BZ187" s="320"/>
      <c r="CA187" s="319">
        <v>0</v>
      </c>
      <c r="CB187" s="320"/>
      <c r="CC187" s="319">
        <v>0</v>
      </c>
      <c r="CD187" s="320">
        <v>0</v>
      </c>
      <c r="CE187" s="319">
        <v>9</v>
      </c>
      <c r="CF187" s="320"/>
      <c r="CG187" s="319">
        <v>0</v>
      </c>
      <c r="CH187" s="320"/>
      <c r="CI187" s="319">
        <v>0</v>
      </c>
      <c r="CJ187" s="320">
        <v>0</v>
      </c>
      <c r="CK187" s="319">
        <v>9</v>
      </c>
      <c r="CL187" s="320"/>
      <c r="CM187" s="319">
        <v>0</v>
      </c>
      <c r="CN187" s="320"/>
      <c r="CO187" s="319">
        <v>0</v>
      </c>
      <c r="CP187" s="320">
        <v>0</v>
      </c>
      <c r="CQ187" s="319">
        <v>9</v>
      </c>
      <c r="CR187" s="320"/>
      <c r="CS187" s="319">
        <v>0</v>
      </c>
      <c r="CT187" s="320"/>
      <c r="CU187" s="319">
        <v>0</v>
      </c>
      <c r="CV187" s="320">
        <v>0</v>
      </c>
      <c r="CW187" s="319">
        <v>9</v>
      </c>
      <c r="CX187" s="320"/>
      <c r="CY187" s="319">
        <v>0</v>
      </c>
      <c r="CZ187" s="320"/>
      <c r="DA187" s="319">
        <v>0</v>
      </c>
      <c r="DB187" s="320">
        <v>0</v>
      </c>
      <c r="DC187" s="319">
        <v>9</v>
      </c>
      <c r="DD187" s="320"/>
      <c r="DE187" s="319">
        <v>0</v>
      </c>
      <c r="DF187" s="320"/>
      <c r="DG187" s="319">
        <v>0</v>
      </c>
      <c r="DH187" s="320">
        <v>0</v>
      </c>
      <c r="DI187" s="319">
        <v>9</v>
      </c>
      <c r="DJ187" s="320"/>
      <c r="DK187" s="319">
        <v>0</v>
      </c>
      <c r="DL187" s="320"/>
      <c r="DM187" s="319">
        <v>0</v>
      </c>
      <c r="DN187" s="320">
        <v>0</v>
      </c>
      <c r="DO187" s="319">
        <v>9</v>
      </c>
      <c r="DP187" s="320"/>
      <c r="DQ187" s="319">
        <v>0</v>
      </c>
      <c r="DR187" s="320"/>
      <c r="DS187" s="319">
        <v>0</v>
      </c>
      <c r="DT187" s="320">
        <v>0</v>
      </c>
      <c r="DU187" s="319">
        <v>9</v>
      </c>
      <c r="DV187" s="320"/>
      <c r="DW187" s="319">
        <v>0</v>
      </c>
      <c r="DX187" s="320"/>
      <c r="DY187" s="319">
        <v>0</v>
      </c>
      <c r="DZ187" s="320">
        <v>0</v>
      </c>
      <c r="EA187" s="319">
        <v>9</v>
      </c>
      <c r="EB187" s="320"/>
      <c r="EC187" s="319">
        <v>0</v>
      </c>
      <c r="ED187" s="320"/>
      <c r="EE187" s="319">
        <v>0</v>
      </c>
      <c r="EF187" s="320">
        <v>0</v>
      </c>
      <c r="EG187" s="319">
        <v>9</v>
      </c>
      <c r="EH187" s="320"/>
      <c r="EI187" s="319">
        <v>0</v>
      </c>
      <c r="EJ187" s="320"/>
      <c r="EK187" s="319">
        <v>0</v>
      </c>
      <c r="EL187" s="320">
        <v>0</v>
      </c>
      <c r="EM187" s="319">
        <v>9</v>
      </c>
      <c r="EN187" s="320"/>
      <c r="EO187" s="319">
        <v>0</v>
      </c>
      <c r="EP187" s="320"/>
      <c r="EQ187" s="319">
        <v>0</v>
      </c>
      <c r="ER187" s="320">
        <v>0</v>
      </c>
      <c r="ES187" s="319">
        <v>9</v>
      </c>
      <c r="ET187" s="320"/>
      <c r="EU187" s="319">
        <v>0</v>
      </c>
      <c r="EV187" s="320"/>
      <c r="EW187" s="319">
        <v>0</v>
      </c>
      <c r="EX187" s="320">
        <v>0</v>
      </c>
      <c r="EY187" s="319">
        <v>9</v>
      </c>
      <c r="EZ187" s="320"/>
      <c r="FA187" s="319">
        <v>0</v>
      </c>
      <c r="FB187" s="320"/>
      <c r="FC187" s="319">
        <v>0</v>
      </c>
      <c r="FD187" s="320">
        <v>0</v>
      </c>
      <c r="FE187" s="319">
        <v>9</v>
      </c>
      <c r="FF187" s="320"/>
      <c r="FG187" s="319">
        <v>0</v>
      </c>
      <c r="FH187" s="320"/>
      <c r="FI187" s="319">
        <v>0</v>
      </c>
      <c r="FJ187" s="320">
        <v>0</v>
      </c>
      <c r="FK187" s="319">
        <v>9</v>
      </c>
      <c r="FL187" s="320"/>
      <c r="FM187" s="319">
        <v>0</v>
      </c>
      <c r="FN187" s="320"/>
      <c r="FO187" s="319">
        <v>0</v>
      </c>
      <c r="FP187" s="320">
        <v>0</v>
      </c>
      <c r="FQ187" s="319">
        <v>9</v>
      </c>
      <c r="FR187" s="320"/>
      <c r="FS187" s="319">
        <v>0</v>
      </c>
      <c r="FT187" s="320"/>
      <c r="FU187" s="319">
        <v>0</v>
      </c>
      <c r="FV187" s="320">
        <v>0</v>
      </c>
      <c r="FW187" s="319">
        <v>9</v>
      </c>
      <c r="FX187" s="320"/>
      <c r="FY187" s="319">
        <v>0</v>
      </c>
      <c r="FZ187" s="320"/>
      <c r="GA187" s="319">
        <v>0</v>
      </c>
      <c r="GB187" s="320">
        <v>0</v>
      </c>
      <c r="GC187" s="319">
        <v>9</v>
      </c>
      <c r="GD187" s="320"/>
      <c r="GE187" s="319">
        <v>0</v>
      </c>
      <c r="GF187" s="320"/>
      <c r="GG187" s="319">
        <v>0</v>
      </c>
      <c r="GH187" s="320">
        <v>0</v>
      </c>
      <c r="GI187" s="319">
        <v>9</v>
      </c>
      <c r="GJ187" s="320"/>
      <c r="GK187" s="319">
        <v>0</v>
      </c>
      <c r="GL187" s="320"/>
      <c r="GM187" s="319">
        <v>0</v>
      </c>
      <c r="GN187" s="320">
        <v>0</v>
      </c>
      <c r="GO187" s="319">
        <v>9</v>
      </c>
      <c r="GP187" s="320"/>
      <c r="GQ187" s="319">
        <v>0</v>
      </c>
      <c r="GR187" s="320"/>
      <c r="GS187" s="319">
        <v>0</v>
      </c>
      <c r="GT187" s="320">
        <v>0</v>
      </c>
      <c r="GU187" s="319">
        <v>9</v>
      </c>
      <c r="GV187" s="320"/>
      <c r="GW187" s="319">
        <v>0</v>
      </c>
      <c r="GX187" s="320"/>
      <c r="GY187" s="319">
        <v>0</v>
      </c>
      <c r="GZ187" s="320">
        <v>0</v>
      </c>
    </row>
    <row r="188" spans="1:208" s="89" customFormat="1" ht="22.5" customHeight="1" x14ac:dyDescent="0.2">
      <c r="A188" s="287" t="s">
        <v>3320</v>
      </c>
      <c r="B188" s="288" t="s">
        <v>3321</v>
      </c>
      <c r="C188" s="294" t="s">
        <v>3170</v>
      </c>
      <c r="D188" s="290" t="s">
        <v>3322</v>
      </c>
      <c r="E188" s="290" t="s">
        <v>3323</v>
      </c>
      <c r="F188" s="295" t="s">
        <v>3166</v>
      </c>
      <c r="G188" s="295" t="s">
        <v>3167</v>
      </c>
      <c r="H188" s="292" t="s">
        <v>1526</v>
      </c>
      <c r="I188" s="293" t="s">
        <v>1526</v>
      </c>
      <c r="J188" s="340" t="s">
        <v>3168</v>
      </c>
      <c r="K188" s="341" t="s">
        <v>3172</v>
      </c>
      <c r="L188" s="256">
        <f>CONTINUA!BV188</f>
        <v>0</v>
      </c>
      <c r="M188" s="256">
        <f>CONTINUA!BW188</f>
        <v>0</v>
      </c>
      <c r="N188" s="564"/>
      <c r="O188" s="565" t="s">
        <v>3368</v>
      </c>
      <c r="P188" s="566">
        <v>0</v>
      </c>
      <c r="Q188" s="319">
        <v>0</v>
      </c>
      <c r="R188" s="320"/>
      <c r="S188" s="319">
        <v>0</v>
      </c>
      <c r="T188" s="320"/>
      <c r="U188" s="319">
        <v>0</v>
      </c>
      <c r="V188" s="320">
        <v>0</v>
      </c>
      <c r="W188" s="319">
        <v>0</v>
      </c>
      <c r="X188" s="320"/>
      <c r="Y188" s="319">
        <v>0</v>
      </c>
      <c r="Z188" s="320"/>
      <c r="AA188" s="319">
        <v>0</v>
      </c>
      <c r="AB188" s="320">
        <v>0</v>
      </c>
      <c r="AC188" s="319">
        <v>0</v>
      </c>
      <c r="AD188" s="320"/>
      <c r="AE188" s="319">
        <v>0</v>
      </c>
      <c r="AF188" s="320"/>
      <c r="AG188" s="319">
        <v>0</v>
      </c>
      <c r="AH188" s="320">
        <v>0</v>
      </c>
      <c r="AI188" s="319">
        <v>0</v>
      </c>
      <c r="AJ188" s="320"/>
      <c r="AK188" s="319">
        <v>0</v>
      </c>
      <c r="AL188" s="320"/>
      <c r="AM188" s="319">
        <v>0</v>
      </c>
      <c r="AN188" s="320">
        <v>0</v>
      </c>
      <c r="AO188" s="319">
        <v>0</v>
      </c>
      <c r="AP188" s="320"/>
      <c r="AQ188" s="319">
        <v>0</v>
      </c>
      <c r="AR188" s="320"/>
      <c r="AS188" s="319">
        <v>0</v>
      </c>
      <c r="AT188" s="320">
        <v>0</v>
      </c>
      <c r="AU188" s="319">
        <v>0</v>
      </c>
      <c r="AV188" s="320"/>
      <c r="AW188" s="319">
        <v>0</v>
      </c>
      <c r="AX188" s="320"/>
      <c r="AY188" s="319">
        <v>0</v>
      </c>
      <c r="AZ188" s="320">
        <v>0</v>
      </c>
      <c r="BA188" s="319">
        <v>0</v>
      </c>
      <c r="BB188" s="320"/>
      <c r="BC188" s="319">
        <v>0</v>
      </c>
      <c r="BD188" s="320"/>
      <c r="BE188" s="319">
        <v>0</v>
      </c>
      <c r="BF188" s="320">
        <v>0</v>
      </c>
      <c r="BG188" s="319">
        <v>0</v>
      </c>
      <c r="BH188" s="320"/>
      <c r="BI188" s="319">
        <v>0</v>
      </c>
      <c r="BJ188" s="320"/>
      <c r="BK188" s="319">
        <v>0</v>
      </c>
      <c r="BL188" s="320">
        <v>0</v>
      </c>
      <c r="BM188" s="319">
        <v>0</v>
      </c>
      <c r="BN188" s="320"/>
      <c r="BO188" s="319">
        <v>0</v>
      </c>
      <c r="BP188" s="320"/>
      <c r="BQ188" s="319">
        <v>0</v>
      </c>
      <c r="BR188" s="320">
        <v>0</v>
      </c>
      <c r="BS188" s="319">
        <v>0</v>
      </c>
      <c r="BT188" s="320"/>
      <c r="BU188" s="319">
        <v>0</v>
      </c>
      <c r="BV188" s="320"/>
      <c r="BW188" s="319">
        <v>0</v>
      </c>
      <c r="BX188" s="320">
        <v>0</v>
      </c>
      <c r="BY188" s="319">
        <v>0</v>
      </c>
      <c r="BZ188" s="320"/>
      <c r="CA188" s="319">
        <v>0</v>
      </c>
      <c r="CB188" s="320"/>
      <c r="CC188" s="319">
        <v>0</v>
      </c>
      <c r="CD188" s="320">
        <v>0</v>
      </c>
      <c r="CE188" s="319">
        <v>0</v>
      </c>
      <c r="CF188" s="320"/>
      <c r="CG188" s="319">
        <v>0</v>
      </c>
      <c r="CH188" s="320"/>
      <c r="CI188" s="319">
        <v>0</v>
      </c>
      <c r="CJ188" s="320">
        <v>0</v>
      </c>
      <c r="CK188" s="319">
        <v>0</v>
      </c>
      <c r="CL188" s="320"/>
      <c r="CM188" s="319">
        <v>0</v>
      </c>
      <c r="CN188" s="320"/>
      <c r="CO188" s="319">
        <v>0</v>
      </c>
      <c r="CP188" s="320">
        <v>0</v>
      </c>
      <c r="CQ188" s="319">
        <v>0</v>
      </c>
      <c r="CR188" s="320"/>
      <c r="CS188" s="319">
        <v>0</v>
      </c>
      <c r="CT188" s="320"/>
      <c r="CU188" s="319">
        <v>0</v>
      </c>
      <c r="CV188" s="320">
        <v>0</v>
      </c>
      <c r="CW188" s="319">
        <v>0</v>
      </c>
      <c r="CX188" s="320"/>
      <c r="CY188" s="319">
        <v>0</v>
      </c>
      <c r="CZ188" s="320"/>
      <c r="DA188" s="319">
        <v>0</v>
      </c>
      <c r="DB188" s="320">
        <v>0</v>
      </c>
      <c r="DC188" s="319">
        <v>0</v>
      </c>
      <c r="DD188" s="320"/>
      <c r="DE188" s="319">
        <v>0</v>
      </c>
      <c r="DF188" s="320"/>
      <c r="DG188" s="319">
        <v>0</v>
      </c>
      <c r="DH188" s="320">
        <v>0</v>
      </c>
      <c r="DI188" s="319">
        <v>0</v>
      </c>
      <c r="DJ188" s="320"/>
      <c r="DK188" s="319">
        <v>0</v>
      </c>
      <c r="DL188" s="320"/>
      <c r="DM188" s="319">
        <v>0</v>
      </c>
      <c r="DN188" s="320">
        <v>0</v>
      </c>
      <c r="DO188" s="319">
        <v>0</v>
      </c>
      <c r="DP188" s="320"/>
      <c r="DQ188" s="319">
        <v>0</v>
      </c>
      <c r="DR188" s="320"/>
      <c r="DS188" s="319">
        <v>0</v>
      </c>
      <c r="DT188" s="320">
        <v>0</v>
      </c>
      <c r="DU188" s="319">
        <v>0</v>
      </c>
      <c r="DV188" s="320"/>
      <c r="DW188" s="319">
        <v>0</v>
      </c>
      <c r="DX188" s="320"/>
      <c r="DY188" s="319">
        <v>0</v>
      </c>
      <c r="DZ188" s="320">
        <v>0</v>
      </c>
      <c r="EA188" s="319">
        <v>0</v>
      </c>
      <c r="EB188" s="320"/>
      <c r="EC188" s="319">
        <v>0</v>
      </c>
      <c r="ED188" s="320"/>
      <c r="EE188" s="319">
        <v>0</v>
      </c>
      <c r="EF188" s="320">
        <v>0</v>
      </c>
      <c r="EG188" s="319">
        <v>0</v>
      </c>
      <c r="EH188" s="320"/>
      <c r="EI188" s="319">
        <v>0</v>
      </c>
      <c r="EJ188" s="320"/>
      <c r="EK188" s="319">
        <v>0</v>
      </c>
      <c r="EL188" s="320">
        <v>0</v>
      </c>
      <c r="EM188" s="319">
        <v>0</v>
      </c>
      <c r="EN188" s="320"/>
      <c r="EO188" s="319">
        <v>0</v>
      </c>
      <c r="EP188" s="320"/>
      <c r="EQ188" s="319">
        <v>0</v>
      </c>
      <c r="ER188" s="320">
        <v>0</v>
      </c>
      <c r="ES188" s="319">
        <v>0</v>
      </c>
      <c r="ET188" s="320"/>
      <c r="EU188" s="319">
        <v>0</v>
      </c>
      <c r="EV188" s="320"/>
      <c r="EW188" s="319">
        <v>0</v>
      </c>
      <c r="EX188" s="320">
        <v>0</v>
      </c>
      <c r="EY188" s="319">
        <v>0</v>
      </c>
      <c r="EZ188" s="320"/>
      <c r="FA188" s="319">
        <v>0</v>
      </c>
      <c r="FB188" s="320"/>
      <c r="FC188" s="319">
        <v>0</v>
      </c>
      <c r="FD188" s="320">
        <v>0</v>
      </c>
      <c r="FE188" s="319">
        <v>0</v>
      </c>
      <c r="FF188" s="320"/>
      <c r="FG188" s="319">
        <v>0</v>
      </c>
      <c r="FH188" s="320"/>
      <c r="FI188" s="319">
        <v>0</v>
      </c>
      <c r="FJ188" s="320">
        <v>0</v>
      </c>
      <c r="FK188" s="319">
        <v>0</v>
      </c>
      <c r="FL188" s="320"/>
      <c r="FM188" s="319">
        <v>0</v>
      </c>
      <c r="FN188" s="320"/>
      <c r="FO188" s="319">
        <v>0</v>
      </c>
      <c r="FP188" s="320">
        <v>0</v>
      </c>
      <c r="FQ188" s="319">
        <v>0</v>
      </c>
      <c r="FR188" s="320"/>
      <c r="FS188" s="319">
        <v>0</v>
      </c>
      <c r="FT188" s="320"/>
      <c r="FU188" s="319">
        <v>0</v>
      </c>
      <c r="FV188" s="320">
        <v>0</v>
      </c>
      <c r="FW188" s="319">
        <v>0</v>
      </c>
      <c r="FX188" s="320"/>
      <c r="FY188" s="319">
        <v>0</v>
      </c>
      <c r="FZ188" s="320"/>
      <c r="GA188" s="319">
        <v>0</v>
      </c>
      <c r="GB188" s="320">
        <v>0</v>
      </c>
      <c r="GC188" s="319">
        <v>0</v>
      </c>
      <c r="GD188" s="320"/>
      <c r="GE188" s="319">
        <v>0</v>
      </c>
      <c r="GF188" s="320"/>
      <c r="GG188" s="319">
        <v>0</v>
      </c>
      <c r="GH188" s="320">
        <v>0</v>
      </c>
      <c r="GI188" s="319">
        <v>0</v>
      </c>
      <c r="GJ188" s="320"/>
      <c r="GK188" s="319">
        <v>0</v>
      </c>
      <c r="GL188" s="320"/>
      <c r="GM188" s="319">
        <v>0</v>
      </c>
      <c r="GN188" s="320">
        <v>0</v>
      </c>
      <c r="GO188" s="319">
        <v>0</v>
      </c>
      <c r="GP188" s="320"/>
      <c r="GQ188" s="319">
        <v>0</v>
      </c>
      <c r="GR188" s="320"/>
      <c r="GS188" s="319">
        <v>0</v>
      </c>
      <c r="GT188" s="320">
        <v>0</v>
      </c>
      <c r="GU188" s="319">
        <v>0</v>
      </c>
      <c r="GV188" s="320"/>
      <c r="GW188" s="319">
        <v>0</v>
      </c>
      <c r="GX188" s="320"/>
      <c r="GY188" s="319">
        <v>0</v>
      </c>
      <c r="GZ188" s="320">
        <v>0</v>
      </c>
    </row>
    <row r="189" spans="1:208" s="89" customFormat="1" ht="22.5" customHeight="1" x14ac:dyDescent="0.2">
      <c r="A189" s="287" t="s">
        <v>3320</v>
      </c>
      <c r="B189" s="288" t="s">
        <v>3321</v>
      </c>
      <c r="C189" s="294" t="s">
        <v>3170</v>
      </c>
      <c r="D189" s="290" t="s">
        <v>3322</v>
      </c>
      <c r="E189" s="290" t="s">
        <v>3323</v>
      </c>
      <c r="F189" s="295" t="s">
        <v>3166</v>
      </c>
      <c r="G189" s="295" t="s">
        <v>3167</v>
      </c>
      <c r="H189" s="292" t="s">
        <v>1526</v>
      </c>
      <c r="I189" s="293" t="s">
        <v>1526</v>
      </c>
      <c r="J189" s="340" t="s">
        <v>3168</v>
      </c>
      <c r="K189" s="342" t="s">
        <v>3173</v>
      </c>
      <c r="L189" s="256">
        <f>CONTINUA!BV189</f>
        <v>0</v>
      </c>
      <c r="M189" s="256">
        <f>CONTINUA!BW189</f>
        <v>0</v>
      </c>
      <c r="N189" s="564"/>
      <c r="O189" s="565" t="s">
        <v>3368</v>
      </c>
      <c r="P189" s="566">
        <v>0</v>
      </c>
      <c r="Q189" s="319">
        <v>0</v>
      </c>
      <c r="R189" s="320"/>
      <c r="S189" s="319">
        <v>0</v>
      </c>
      <c r="T189" s="320"/>
      <c r="U189" s="319">
        <v>0</v>
      </c>
      <c r="V189" s="320">
        <v>0</v>
      </c>
      <c r="W189" s="319">
        <v>0</v>
      </c>
      <c r="X189" s="320"/>
      <c r="Y189" s="319">
        <v>0</v>
      </c>
      <c r="Z189" s="320"/>
      <c r="AA189" s="319">
        <v>0</v>
      </c>
      <c r="AB189" s="320">
        <v>0</v>
      </c>
      <c r="AC189" s="319">
        <v>0</v>
      </c>
      <c r="AD189" s="320"/>
      <c r="AE189" s="319">
        <v>0</v>
      </c>
      <c r="AF189" s="320"/>
      <c r="AG189" s="319">
        <v>0</v>
      </c>
      <c r="AH189" s="320">
        <v>0</v>
      </c>
      <c r="AI189" s="319">
        <v>0</v>
      </c>
      <c r="AJ189" s="320"/>
      <c r="AK189" s="319">
        <v>0</v>
      </c>
      <c r="AL189" s="320"/>
      <c r="AM189" s="319">
        <v>0</v>
      </c>
      <c r="AN189" s="320">
        <v>0</v>
      </c>
      <c r="AO189" s="319">
        <v>0</v>
      </c>
      <c r="AP189" s="320"/>
      <c r="AQ189" s="319">
        <v>0</v>
      </c>
      <c r="AR189" s="320"/>
      <c r="AS189" s="319">
        <v>0</v>
      </c>
      <c r="AT189" s="320">
        <v>0</v>
      </c>
      <c r="AU189" s="319">
        <v>0</v>
      </c>
      <c r="AV189" s="320"/>
      <c r="AW189" s="319">
        <v>0</v>
      </c>
      <c r="AX189" s="320"/>
      <c r="AY189" s="319">
        <v>0</v>
      </c>
      <c r="AZ189" s="320">
        <v>0</v>
      </c>
      <c r="BA189" s="319">
        <v>0</v>
      </c>
      <c r="BB189" s="320"/>
      <c r="BC189" s="319">
        <v>0</v>
      </c>
      <c r="BD189" s="320"/>
      <c r="BE189" s="319">
        <v>0</v>
      </c>
      <c r="BF189" s="320">
        <v>0</v>
      </c>
      <c r="BG189" s="319">
        <v>0</v>
      </c>
      <c r="BH189" s="320"/>
      <c r="BI189" s="319">
        <v>0</v>
      </c>
      <c r="BJ189" s="320"/>
      <c r="BK189" s="319">
        <v>0</v>
      </c>
      <c r="BL189" s="320">
        <v>0</v>
      </c>
      <c r="BM189" s="319">
        <v>0</v>
      </c>
      <c r="BN189" s="320"/>
      <c r="BO189" s="319">
        <v>0</v>
      </c>
      <c r="BP189" s="320"/>
      <c r="BQ189" s="319">
        <v>0</v>
      </c>
      <c r="BR189" s="320">
        <v>0</v>
      </c>
      <c r="BS189" s="319">
        <v>0</v>
      </c>
      <c r="BT189" s="320"/>
      <c r="BU189" s="319">
        <v>0</v>
      </c>
      <c r="BV189" s="320"/>
      <c r="BW189" s="319">
        <v>0</v>
      </c>
      <c r="BX189" s="320">
        <v>0</v>
      </c>
      <c r="BY189" s="319">
        <v>0</v>
      </c>
      <c r="BZ189" s="320"/>
      <c r="CA189" s="319">
        <v>0</v>
      </c>
      <c r="CB189" s="320"/>
      <c r="CC189" s="319">
        <v>0</v>
      </c>
      <c r="CD189" s="320">
        <v>0</v>
      </c>
      <c r="CE189" s="319">
        <v>0</v>
      </c>
      <c r="CF189" s="320"/>
      <c r="CG189" s="319">
        <v>0</v>
      </c>
      <c r="CH189" s="320"/>
      <c r="CI189" s="319">
        <v>0</v>
      </c>
      <c r="CJ189" s="320">
        <v>0</v>
      </c>
      <c r="CK189" s="319">
        <v>0</v>
      </c>
      <c r="CL189" s="320"/>
      <c r="CM189" s="319">
        <v>0</v>
      </c>
      <c r="CN189" s="320"/>
      <c r="CO189" s="319">
        <v>0</v>
      </c>
      <c r="CP189" s="320">
        <v>0</v>
      </c>
      <c r="CQ189" s="319">
        <v>0</v>
      </c>
      <c r="CR189" s="320"/>
      <c r="CS189" s="319">
        <v>0</v>
      </c>
      <c r="CT189" s="320"/>
      <c r="CU189" s="319">
        <v>0</v>
      </c>
      <c r="CV189" s="320">
        <v>0</v>
      </c>
      <c r="CW189" s="319">
        <v>0</v>
      </c>
      <c r="CX189" s="320"/>
      <c r="CY189" s="319">
        <v>0</v>
      </c>
      <c r="CZ189" s="320"/>
      <c r="DA189" s="319">
        <v>0</v>
      </c>
      <c r="DB189" s="320">
        <v>0</v>
      </c>
      <c r="DC189" s="319">
        <v>0</v>
      </c>
      <c r="DD189" s="320"/>
      <c r="DE189" s="319">
        <v>0</v>
      </c>
      <c r="DF189" s="320"/>
      <c r="DG189" s="319">
        <v>0</v>
      </c>
      <c r="DH189" s="320">
        <v>0</v>
      </c>
      <c r="DI189" s="319">
        <v>0</v>
      </c>
      <c r="DJ189" s="320"/>
      <c r="DK189" s="319">
        <v>0</v>
      </c>
      <c r="DL189" s="320"/>
      <c r="DM189" s="319">
        <v>0</v>
      </c>
      <c r="DN189" s="320">
        <v>0</v>
      </c>
      <c r="DO189" s="319">
        <v>0</v>
      </c>
      <c r="DP189" s="320"/>
      <c r="DQ189" s="319">
        <v>0</v>
      </c>
      <c r="DR189" s="320"/>
      <c r="DS189" s="319">
        <v>0</v>
      </c>
      <c r="DT189" s="320">
        <v>0</v>
      </c>
      <c r="DU189" s="319">
        <v>0</v>
      </c>
      <c r="DV189" s="320"/>
      <c r="DW189" s="319">
        <v>0</v>
      </c>
      <c r="DX189" s="320"/>
      <c r="DY189" s="319">
        <v>0</v>
      </c>
      <c r="DZ189" s="320">
        <v>0</v>
      </c>
      <c r="EA189" s="319">
        <v>0</v>
      </c>
      <c r="EB189" s="320"/>
      <c r="EC189" s="319">
        <v>0</v>
      </c>
      <c r="ED189" s="320"/>
      <c r="EE189" s="319">
        <v>0</v>
      </c>
      <c r="EF189" s="320">
        <v>0</v>
      </c>
      <c r="EG189" s="319">
        <v>0</v>
      </c>
      <c r="EH189" s="320"/>
      <c r="EI189" s="319">
        <v>0</v>
      </c>
      <c r="EJ189" s="320"/>
      <c r="EK189" s="319">
        <v>0</v>
      </c>
      <c r="EL189" s="320">
        <v>0</v>
      </c>
      <c r="EM189" s="319">
        <v>0</v>
      </c>
      <c r="EN189" s="320"/>
      <c r="EO189" s="319">
        <v>0</v>
      </c>
      <c r="EP189" s="320"/>
      <c r="EQ189" s="319">
        <v>0</v>
      </c>
      <c r="ER189" s="320">
        <v>0</v>
      </c>
      <c r="ES189" s="319">
        <v>0</v>
      </c>
      <c r="ET189" s="320"/>
      <c r="EU189" s="319">
        <v>0</v>
      </c>
      <c r="EV189" s="320"/>
      <c r="EW189" s="319">
        <v>0</v>
      </c>
      <c r="EX189" s="320">
        <v>0</v>
      </c>
      <c r="EY189" s="319">
        <v>0</v>
      </c>
      <c r="EZ189" s="320"/>
      <c r="FA189" s="319">
        <v>0</v>
      </c>
      <c r="FB189" s="320"/>
      <c r="FC189" s="319">
        <v>0</v>
      </c>
      <c r="FD189" s="320">
        <v>0</v>
      </c>
      <c r="FE189" s="319">
        <v>0</v>
      </c>
      <c r="FF189" s="320"/>
      <c r="FG189" s="319">
        <v>0</v>
      </c>
      <c r="FH189" s="320"/>
      <c r="FI189" s="319">
        <v>0</v>
      </c>
      <c r="FJ189" s="320">
        <v>0</v>
      </c>
      <c r="FK189" s="319">
        <v>0</v>
      </c>
      <c r="FL189" s="320"/>
      <c r="FM189" s="319">
        <v>0</v>
      </c>
      <c r="FN189" s="320"/>
      <c r="FO189" s="319">
        <v>0</v>
      </c>
      <c r="FP189" s="320">
        <v>0</v>
      </c>
      <c r="FQ189" s="319">
        <v>0</v>
      </c>
      <c r="FR189" s="320"/>
      <c r="FS189" s="319">
        <v>0</v>
      </c>
      <c r="FT189" s="320"/>
      <c r="FU189" s="319">
        <v>0</v>
      </c>
      <c r="FV189" s="320">
        <v>0</v>
      </c>
      <c r="FW189" s="319">
        <v>0</v>
      </c>
      <c r="FX189" s="320"/>
      <c r="FY189" s="319">
        <v>0</v>
      </c>
      <c r="FZ189" s="320"/>
      <c r="GA189" s="319">
        <v>0</v>
      </c>
      <c r="GB189" s="320">
        <v>0</v>
      </c>
      <c r="GC189" s="319">
        <v>0</v>
      </c>
      <c r="GD189" s="320"/>
      <c r="GE189" s="319">
        <v>0</v>
      </c>
      <c r="GF189" s="320"/>
      <c r="GG189" s="319">
        <v>0</v>
      </c>
      <c r="GH189" s="320">
        <v>0</v>
      </c>
      <c r="GI189" s="319">
        <v>0</v>
      </c>
      <c r="GJ189" s="320"/>
      <c r="GK189" s="319">
        <v>0</v>
      </c>
      <c r="GL189" s="320"/>
      <c r="GM189" s="319">
        <v>0</v>
      </c>
      <c r="GN189" s="320">
        <v>0</v>
      </c>
      <c r="GO189" s="319">
        <v>0</v>
      </c>
      <c r="GP189" s="320"/>
      <c r="GQ189" s="319">
        <v>0</v>
      </c>
      <c r="GR189" s="320"/>
      <c r="GS189" s="319">
        <v>0</v>
      </c>
      <c r="GT189" s="320">
        <v>0</v>
      </c>
      <c r="GU189" s="319">
        <v>0</v>
      </c>
      <c r="GV189" s="320"/>
      <c r="GW189" s="319">
        <v>0</v>
      </c>
      <c r="GX189" s="320"/>
      <c r="GY189" s="319">
        <v>0</v>
      </c>
      <c r="GZ189" s="320">
        <v>0</v>
      </c>
    </row>
    <row r="190" spans="1:208" s="89" customFormat="1" ht="22.5" customHeight="1" thickBot="1" x14ac:dyDescent="0.25">
      <c r="A190" s="296" t="s">
        <v>3320</v>
      </c>
      <c r="B190" s="297" t="s">
        <v>3321</v>
      </c>
      <c r="C190" s="298" t="s">
        <v>3170</v>
      </c>
      <c r="D190" s="299" t="s">
        <v>3322</v>
      </c>
      <c r="E190" s="299" t="s">
        <v>3323</v>
      </c>
      <c r="F190" s="300" t="s">
        <v>3166</v>
      </c>
      <c r="G190" s="300" t="s">
        <v>3167</v>
      </c>
      <c r="H190" s="301" t="s">
        <v>1526</v>
      </c>
      <c r="I190" s="302" t="s">
        <v>1526</v>
      </c>
      <c r="J190" s="340" t="s">
        <v>3168</v>
      </c>
      <c r="K190" s="343" t="s">
        <v>53</v>
      </c>
      <c r="L190" s="256">
        <f>CONTINUA!BV190</f>
        <v>0</v>
      </c>
      <c r="M190" s="256">
        <f>CONTINUA!BW190</f>
        <v>0</v>
      </c>
      <c r="N190" s="564"/>
      <c r="O190" s="565" t="s">
        <v>3368</v>
      </c>
      <c r="P190" s="566">
        <v>0</v>
      </c>
      <c r="Q190" s="319">
        <v>0</v>
      </c>
      <c r="R190" s="320"/>
      <c r="S190" s="319">
        <v>0</v>
      </c>
      <c r="T190" s="320"/>
      <c r="U190" s="321">
        <v>0</v>
      </c>
      <c r="V190" s="322">
        <v>0</v>
      </c>
      <c r="W190" s="319">
        <v>0</v>
      </c>
      <c r="X190" s="320"/>
      <c r="Y190" s="319">
        <v>0</v>
      </c>
      <c r="Z190" s="320"/>
      <c r="AA190" s="321">
        <v>0</v>
      </c>
      <c r="AB190" s="322">
        <v>0</v>
      </c>
      <c r="AC190" s="319">
        <v>0</v>
      </c>
      <c r="AD190" s="320"/>
      <c r="AE190" s="319">
        <v>0</v>
      </c>
      <c r="AF190" s="320"/>
      <c r="AG190" s="321">
        <v>0</v>
      </c>
      <c r="AH190" s="322">
        <v>0</v>
      </c>
      <c r="AI190" s="319">
        <v>0</v>
      </c>
      <c r="AJ190" s="320"/>
      <c r="AK190" s="319">
        <v>0</v>
      </c>
      <c r="AL190" s="320"/>
      <c r="AM190" s="321">
        <v>0</v>
      </c>
      <c r="AN190" s="322">
        <v>0</v>
      </c>
      <c r="AO190" s="319">
        <v>0</v>
      </c>
      <c r="AP190" s="320"/>
      <c r="AQ190" s="319">
        <v>0</v>
      </c>
      <c r="AR190" s="320"/>
      <c r="AS190" s="321">
        <v>0</v>
      </c>
      <c r="AT190" s="322">
        <v>0</v>
      </c>
      <c r="AU190" s="319">
        <v>0</v>
      </c>
      <c r="AV190" s="320"/>
      <c r="AW190" s="319">
        <v>0</v>
      </c>
      <c r="AX190" s="320"/>
      <c r="AY190" s="321">
        <v>0</v>
      </c>
      <c r="AZ190" s="322">
        <v>0</v>
      </c>
      <c r="BA190" s="319">
        <v>0</v>
      </c>
      <c r="BB190" s="320"/>
      <c r="BC190" s="319">
        <v>0</v>
      </c>
      <c r="BD190" s="320"/>
      <c r="BE190" s="321">
        <v>0</v>
      </c>
      <c r="BF190" s="322">
        <v>0</v>
      </c>
      <c r="BG190" s="319">
        <v>0</v>
      </c>
      <c r="BH190" s="320"/>
      <c r="BI190" s="319">
        <v>0</v>
      </c>
      <c r="BJ190" s="320"/>
      <c r="BK190" s="321">
        <v>0</v>
      </c>
      <c r="BL190" s="322">
        <v>0</v>
      </c>
      <c r="BM190" s="319">
        <v>0</v>
      </c>
      <c r="BN190" s="320"/>
      <c r="BO190" s="319">
        <v>0</v>
      </c>
      <c r="BP190" s="320"/>
      <c r="BQ190" s="321">
        <v>0</v>
      </c>
      <c r="BR190" s="322">
        <v>0</v>
      </c>
      <c r="BS190" s="319">
        <v>0</v>
      </c>
      <c r="BT190" s="320"/>
      <c r="BU190" s="319">
        <v>0</v>
      </c>
      <c r="BV190" s="320"/>
      <c r="BW190" s="321">
        <v>0</v>
      </c>
      <c r="BX190" s="322">
        <v>0</v>
      </c>
      <c r="BY190" s="319">
        <v>0</v>
      </c>
      <c r="BZ190" s="320"/>
      <c r="CA190" s="319">
        <v>0</v>
      </c>
      <c r="CB190" s="320"/>
      <c r="CC190" s="321">
        <v>0</v>
      </c>
      <c r="CD190" s="322">
        <v>0</v>
      </c>
      <c r="CE190" s="319">
        <v>0</v>
      </c>
      <c r="CF190" s="320"/>
      <c r="CG190" s="319">
        <v>0</v>
      </c>
      <c r="CH190" s="320"/>
      <c r="CI190" s="321">
        <v>0</v>
      </c>
      <c r="CJ190" s="322">
        <v>0</v>
      </c>
      <c r="CK190" s="319">
        <v>0</v>
      </c>
      <c r="CL190" s="320"/>
      <c r="CM190" s="319">
        <v>0</v>
      </c>
      <c r="CN190" s="320"/>
      <c r="CO190" s="321">
        <v>0</v>
      </c>
      <c r="CP190" s="322">
        <v>0</v>
      </c>
      <c r="CQ190" s="319">
        <v>0</v>
      </c>
      <c r="CR190" s="320"/>
      <c r="CS190" s="319">
        <v>0</v>
      </c>
      <c r="CT190" s="320"/>
      <c r="CU190" s="321">
        <v>0</v>
      </c>
      <c r="CV190" s="322">
        <v>0</v>
      </c>
      <c r="CW190" s="319">
        <v>0</v>
      </c>
      <c r="CX190" s="320"/>
      <c r="CY190" s="319">
        <v>0</v>
      </c>
      <c r="CZ190" s="320"/>
      <c r="DA190" s="321">
        <v>0</v>
      </c>
      <c r="DB190" s="322">
        <v>0</v>
      </c>
      <c r="DC190" s="319">
        <v>0</v>
      </c>
      <c r="DD190" s="320"/>
      <c r="DE190" s="319">
        <v>0</v>
      </c>
      <c r="DF190" s="320"/>
      <c r="DG190" s="321">
        <v>0</v>
      </c>
      <c r="DH190" s="322">
        <v>0</v>
      </c>
      <c r="DI190" s="319">
        <v>0</v>
      </c>
      <c r="DJ190" s="320"/>
      <c r="DK190" s="319">
        <v>0</v>
      </c>
      <c r="DL190" s="320"/>
      <c r="DM190" s="321">
        <v>0</v>
      </c>
      <c r="DN190" s="322">
        <v>0</v>
      </c>
      <c r="DO190" s="319">
        <v>0</v>
      </c>
      <c r="DP190" s="320"/>
      <c r="DQ190" s="319">
        <v>0</v>
      </c>
      <c r="DR190" s="320"/>
      <c r="DS190" s="321">
        <v>0</v>
      </c>
      <c r="DT190" s="322">
        <v>0</v>
      </c>
      <c r="DU190" s="319">
        <v>0</v>
      </c>
      <c r="DV190" s="320"/>
      <c r="DW190" s="319">
        <v>0</v>
      </c>
      <c r="DX190" s="320"/>
      <c r="DY190" s="321">
        <v>0</v>
      </c>
      <c r="DZ190" s="322">
        <v>0</v>
      </c>
      <c r="EA190" s="319">
        <v>0</v>
      </c>
      <c r="EB190" s="320"/>
      <c r="EC190" s="319">
        <v>0</v>
      </c>
      <c r="ED190" s="320"/>
      <c r="EE190" s="321">
        <v>0</v>
      </c>
      <c r="EF190" s="322">
        <v>0</v>
      </c>
      <c r="EG190" s="319">
        <v>0</v>
      </c>
      <c r="EH190" s="320"/>
      <c r="EI190" s="319">
        <v>0</v>
      </c>
      <c r="EJ190" s="320"/>
      <c r="EK190" s="321">
        <v>0</v>
      </c>
      <c r="EL190" s="322">
        <v>0</v>
      </c>
      <c r="EM190" s="319">
        <v>0</v>
      </c>
      <c r="EN190" s="320"/>
      <c r="EO190" s="319">
        <v>0</v>
      </c>
      <c r="EP190" s="320"/>
      <c r="EQ190" s="321">
        <v>0</v>
      </c>
      <c r="ER190" s="322">
        <v>0</v>
      </c>
      <c r="ES190" s="319">
        <v>0</v>
      </c>
      <c r="ET190" s="320"/>
      <c r="EU190" s="319">
        <v>0</v>
      </c>
      <c r="EV190" s="320"/>
      <c r="EW190" s="321">
        <v>0</v>
      </c>
      <c r="EX190" s="322">
        <v>0</v>
      </c>
      <c r="EY190" s="319">
        <v>0</v>
      </c>
      <c r="EZ190" s="320"/>
      <c r="FA190" s="319">
        <v>0</v>
      </c>
      <c r="FB190" s="320"/>
      <c r="FC190" s="321">
        <v>0</v>
      </c>
      <c r="FD190" s="322">
        <v>0</v>
      </c>
      <c r="FE190" s="319">
        <v>0</v>
      </c>
      <c r="FF190" s="320"/>
      <c r="FG190" s="319">
        <v>0</v>
      </c>
      <c r="FH190" s="320"/>
      <c r="FI190" s="321">
        <v>0</v>
      </c>
      <c r="FJ190" s="322">
        <v>0</v>
      </c>
      <c r="FK190" s="319">
        <v>0</v>
      </c>
      <c r="FL190" s="320"/>
      <c r="FM190" s="319">
        <v>0</v>
      </c>
      <c r="FN190" s="320"/>
      <c r="FO190" s="321">
        <v>0</v>
      </c>
      <c r="FP190" s="322">
        <v>0</v>
      </c>
      <c r="FQ190" s="319">
        <v>0</v>
      </c>
      <c r="FR190" s="320"/>
      <c r="FS190" s="319">
        <v>0</v>
      </c>
      <c r="FT190" s="320"/>
      <c r="FU190" s="321">
        <v>0</v>
      </c>
      <c r="FV190" s="322">
        <v>0</v>
      </c>
      <c r="FW190" s="319">
        <v>0</v>
      </c>
      <c r="FX190" s="320"/>
      <c r="FY190" s="319">
        <v>0</v>
      </c>
      <c r="FZ190" s="320"/>
      <c r="GA190" s="321">
        <v>0</v>
      </c>
      <c r="GB190" s="322">
        <v>0</v>
      </c>
      <c r="GC190" s="319">
        <v>0</v>
      </c>
      <c r="GD190" s="320"/>
      <c r="GE190" s="319">
        <v>0</v>
      </c>
      <c r="GF190" s="320"/>
      <c r="GG190" s="321">
        <v>0</v>
      </c>
      <c r="GH190" s="322">
        <v>0</v>
      </c>
      <c r="GI190" s="319">
        <v>0</v>
      </c>
      <c r="GJ190" s="320"/>
      <c r="GK190" s="319">
        <v>0</v>
      </c>
      <c r="GL190" s="320"/>
      <c r="GM190" s="321">
        <v>0</v>
      </c>
      <c r="GN190" s="322">
        <v>0</v>
      </c>
      <c r="GO190" s="319">
        <v>0</v>
      </c>
      <c r="GP190" s="320"/>
      <c r="GQ190" s="319">
        <v>0</v>
      </c>
      <c r="GR190" s="320"/>
      <c r="GS190" s="321">
        <v>0</v>
      </c>
      <c r="GT190" s="322">
        <v>0</v>
      </c>
      <c r="GU190" s="319">
        <v>0</v>
      </c>
      <c r="GV190" s="320"/>
      <c r="GW190" s="319">
        <v>0</v>
      </c>
      <c r="GX190" s="320"/>
      <c r="GY190" s="321">
        <v>0</v>
      </c>
      <c r="GZ190" s="322">
        <v>0</v>
      </c>
    </row>
    <row r="191" spans="1:208" s="89" customFormat="1" ht="22.5" customHeight="1" x14ac:dyDescent="0.2">
      <c r="A191" t="s">
        <v>3324</v>
      </c>
      <c r="B191" s="429" t="s">
        <v>3325</v>
      </c>
      <c r="C191" s="430">
        <v>1</v>
      </c>
      <c r="D191" s="431" t="s">
        <v>3326</v>
      </c>
      <c r="E191" s="431" t="s">
        <v>3327</v>
      </c>
      <c r="F191" s="432" t="s">
        <v>3166</v>
      </c>
      <c r="G191" s="432" t="s">
        <v>3167</v>
      </c>
      <c r="H191" s="270" t="s">
        <v>1527</v>
      </c>
      <c r="I191" s="271" t="s">
        <v>1527</v>
      </c>
      <c r="J191" s="328" t="s">
        <v>3168</v>
      </c>
      <c r="K191" s="329" t="s">
        <v>3169</v>
      </c>
      <c r="L191" s="256">
        <f>CONTINUA!BV191</f>
        <v>0</v>
      </c>
      <c r="M191" s="256">
        <f>CONTINUA!BW191</f>
        <v>0</v>
      </c>
      <c r="N191" s="564"/>
      <c r="O191" s="565" t="s">
        <v>3369</v>
      </c>
      <c r="P191" s="566">
        <v>0</v>
      </c>
      <c r="Q191" s="319">
        <v>22</v>
      </c>
      <c r="R191" s="320"/>
      <c r="S191" s="319">
        <v>0</v>
      </c>
      <c r="T191" s="320"/>
      <c r="U191" s="321">
        <v>0</v>
      </c>
      <c r="V191" s="322">
        <v>0</v>
      </c>
      <c r="W191" s="319">
        <v>22</v>
      </c>
      <c r="X191" s="320"/>
      <c r="Y191" s="319">
        <v>0</v>
      </c>
      <c r="Z191" s="320"/>
      <c r="AA191" s="321">
        <v>0</v>
      </c>
      <c r="AB191" s="322">
        <v>0</v>
      </c>
      <c r="AC191" s="319">
        <v>22</v>
      </c>
      <c r="AD191" s="320"/>
      <c r="AE191" s="319">
        <v>0</v>
      </c>
      <c r="AF191" s="320"/>
      <c r="AG191" s="321">
        <v>0</v>
      </c>
      <c r="AH191" s="322">
        <v>0</v>
      </c>
      <c r="AI191" s="319">
        <v>22</v>
      </c>
      <c r="AJ191" s="320"/>
      <c r="AK191" s="319">
        <v>0</v>
      </c>
      <c r="AL191" s="320"/>
      <c r="AM191" s="321">
        <v>0</v>
      </c>
      <c r="AN191" s="322">
        <v>0</v>
      </c>
      <c r="AO191" s="319">
        <v>22</v>
      </c>
      <c r="AP191" s="320"/>
      <c r="AQ191" s="319">
        <v>0</v>
      </c>
      <c r="AR191" s="320"/>
      <c r="AS191" s="321">
        <v>0</v>
      </c>
      <c r="AT191" s="322">
        <v>0</v>
      </c>
      <c r="AU191" s="319">
        <v>22</v>
      </c>
      <c r="AV191" s="320"/>
      <c r="AW191" s="319">
        <v>0</v>
      </c>
      <c r="AX191" s="320"/>
      <c r="AY191" s="321">
        <v>0</v>
      </c>
      <c r="AZ191" s="322">
        <v>0</v>
      </c>
      <c r="BA191" s="319">
        <v>22</v>
      </c>
      <c r="BB191" s="320"/>
      <c r="BC191" s="319">
        <v>0</v>
      </c>
      <c r="BD191" s="320"/>
      <c r="BE191" s="321">
        <v>0</v>
      </c>
      <c r="BF191" s="322">
        <v>0</v>
      </c>
      <c r="BG191" s="319">
        <v>22</v>
      </c>
      <c r="BH191" s="320"/>
      <c r="BI191" s="319">
        <v>0</v>
      </c>
      <c r="BJ191" s="320"/>
      <c r="BK191" s="321">
        <v>0</v>
      </c>
      <c r="BL191" s="322">
        <v>0</v>
      </c>
      <c r="BM191" s="319">
        <v>22</v>
      </c>
      <c r="BN191" s="320"/>
      <c r="BO191" s="319">
        <v>0</v>
      </c>
      <c r="BP191" s="320"/>
      <c r="BQ191" s="321">
        <v>0</v>
      </c>
      <c r="BR191" s="322">
        <v>0</v>
      </c>
      <c r="BS191" s="319">
        <v>22</v>
      </c>
      <c r="BT191" s="320"/>
      <c r="BU191" s="319">
        <v>0</v>
      </c>
      <c r="BV191" s="320"/>
      <c r="BW191" s="321">
        <v>0</v>
      </c>
      <c r="BX191" s="322">
        <v>0</v>
      </c>
      <c r="BY191" s="319">
        <v>22</v>
      </c>
      <c r="BZ191" s="320"/>
      <c r="CA191" s="319">
        <v>0</v>
      </c>
      <c r="CB191" s="320"/>
      <c r="CC191" s="321">
        <v>0</v>
      </c>
      <c r="CD191" s="322">
        <v>0</v>
      </c>
      <c r="CE191" s="319">
        <v>22</v>
      </c>
      <c r="CF191" s="320"/>
      <c r="CG191" s="319">
        <v>0</v>
      </c>
      <c r="CH191" s="320"/>
      <c r="CI191" s="321">
        <v>0</v>
      </c>
      <c r="CJ191" s="322">
        <v>0</v>
      </c>
      <c r="CK191" s="319">
        <v>22</v>
      </c>
      <c r="CL191" s="320"/>
      <c r="CM191" s="319">
        <v>0</v>
      </c>
      <c r="CN191" s="320"/>
      <c r="CO191" s="321">
        <v>0</v>
      </c>
      <c r="CP191" s="322">
        <v>0</v>
      </c>
      <c r="CQ191" s="319">
        <v>22</v>
      </c>
      <c r="CR191" s="320"/>
      <c r="CS191" s="319">
        <v>0</v>
      </c>
      <c r="CT191" s="320"/>
      <c r="CU191" s="321">
        <v>0</v>
      </c>
      <c r="CV191" s="322">
        <v>0</v>
      </c>
      <c r="CW191" s="319">
        <v>22</v>
      </c>
      <c r="CX191" s="320"/>
      <c r="CY191" s="319">
        <v>0</v>
      </c>
      <c r="CZ191" s="320"/>
      <c r="DA191" s="321">
        <v>0</v>
      </c>
      <c r="DB191" s="322">
        <v>0</v>
      </c>
      <c r="DC191" s="319">
        <v>22</v>
      </c>
      <c r="DD191" s="320"/>
      <c r="DE191" s="319">
        <v>0</v>
      </c>
      <c r="DF191" s="320"/>
      <c r="DG191" s="321">
        <v>0</v>
      </c>
      <c r="DH191" s="322">
        <v>0</v>
      </c>
      <c r="DI191" s="319">
        <v>22</v>
      </c>
      <c r="DJ191" s="320"/>
      <c r="DK191" s="319">
        <v>0</v>
      </c>
      <c r="DL191" s="320"/>
      <c r="DM191" s="321">
        <v>0</v>
      </c>
      <c r="DN191" s="322">
        <v>0</v>
      </c>
      <c r="DO191" s="319">
        <v>22</v>
      </c>
      <c r="DP191" s="320"/>
      <c r="DQ191" s="319">
        <v>0</v>
      </c>
      <c r="DR191" s="320"/>
      <c r="DS191" s="321">
        <v>0</v>
      </c>
      <c r="DT191" s="322">
        <v>0</v>
      </c>
      <c r="DU191" s="319">
        <v>22</v>
      </c>
      <c r="DV191" s="320"/>
      <c r="DW191" s="319">
        <v>0</v>
      </c>
      <c r="DX191" s="320"/>
      <c r="DY191" s="321">
        <v>0</v>
      </c>
      <c r="DZ191" s="322">
        <v>0</v>
      </c>
      <c r="EA191" s="319">
        <v>22</v>
      </c>
      <c r="EB191" s="320"/>
      <c r="EC191" s="319">
        <v>0</v>
      </c>
      <c r="ED191" s="320"/>
      <c r="EE191" s="321">
        <v>0</v>
      </c>
      <c r="EF191" s="322">
        <v>0</v>
      </c>
      <c r="EG191" s="319">
        <v>22</v>
      </c>
      <c r="EH191" s="320"/>
      <c r="EI191" s="319">
        <v>0</v>
      </c>
      <c r="EJ191" s="320"/>
      <c r="EK191" s="321">
        <v>0</v>
      </c>
      <c r="EL191" s="322">
        <v>0</v>
      </c>
      <c r="EM191" s="319">
        <v>22</v>
      </c>
      <c r="EN191" s="320"/>
      <c r="EO191" s="319">
        <v>0</v>
      </c>
      <c r="EP191" s="320"/>
      <c r="EQ191" s="321">
        <v>0</v>
      </c>
      <c r="ER191" s="322">
        <v>0</v>
      </c>
      <c r="ES191" s="319">
        <v>22</v>
      </c>
      <c r="ET191" s="320"/>
      <c r="EU191" s="319">
        <v>0</v>
      </c>
      <c r="EV191" s="320"/>
      <c r="EW191" s="321">
        <v>0</v>
      </c>
      <c r="EX191" s="322">
        <v>0</v>
      </c>
      <c r="EY191" s="319">
        <v>22</v>
      </c>
      <c r="EZ191" s="320"/>
      <c r="FA191" s="319">
        <v>0</v>
      </c>
      <c r="FB191" s="320"/>
      <c r="FC191" s="321">
        <v>0</v>
      </c>
      <c r="FD191" s="322">
        <v>0</v>
      </c>
      <c r="FE191" s="319">
        <v>22</v>
      </c>
      <c r="FF191" s="320"/>
      <c r="FG191" s="319">
        <v>0</v>
      </c>
      <c r="FH191" s="320"/>
      <c r="FI191" s="321">
        <v>0</v>
      </c>
      <c r="FJ191" s="322">
        <v>0</v>
      </c>
      <c r="FK191" s="319">
        <v>22</v>
      </c>
      <c r="FL191" s="320"/>
      <c r="FM191" s="319">
        <v>0</v>
      </c>
      <c r="FN191" s="320"/>
      <c r="FO191" s="321">
        <v>0</v>
      </c>
      <c r="FP191" s="322">
        <v>0</v>
      </c>
      <c r="FQ191" s="319">
        <v>22</v>
      </c>
      <c r="FR191" s="320"/>
      <c r="FS191" s="319">
        <v>0</v>
      </c>
      <c r="FT191" s="320"/>
      <c r="FU191" s="321">
        <v>0</v>
      </c>
      <c r="FV191" s="322">
        <v>0</v>
      </c>
      <c r="FW191" s="319">
        <v>22</v>
      </c>
      <c r="FX191" s="320"/>
      <c r="FY191" s="319">
        <v>0</v>
      </c>
      <c r="FZ191" s="320"/>
      <c r="GA191" s="321">
        <v>0</v>
      </c>
      <c r="GB191" s="322">
        <v>0</v>
      </c>
      <c r="GC191" s="319">
        <v>22</v>
      </c>
      <c r="GD191" s="320"/>
      <c r="GE191" s="319">
        <v>0</v>
      </c>
      <c r="GF191" s="320"/>
      <c r="GG191" s="321">
        <v>0</v>
      </c>
      <c r="GH191" s="322">
        <v>0</v>
      </c>
      <c r="GI191" s="319">
        <v>22</v>
      </c>
      <c r="GJ191" s="320"/>
      <c r="GK191" s="319">
        <v>0</v>
      </c>
      <c r="GL191" s="320"/>
      <c r="GM191" s="321">
        <v>0</v>
      </c>
      <c r="GN191" s="322">
        <v>0</v>
      </c>
      <c r="GO191" s="319">
        <v>22</v>
      </c>
      <c r="GP191" s="320"/>
      <c r="GQ191" s="319">
        <v>0</v>
      </c>
      <c r="GR191" s="320"/>
      <c r="GS191" s="321">
        <v>0</v>
      </c>
      <c r="GT191" s="322">
        <v>0</v>
      </c>
      <c r="GU191" s="319">
        <v>22</v>
      </c>
      <c r="GV191" s="320"/>
      <c r="GW191" s="319">
        <v>0</v>
      </c>
      <c r="GX191" s="320"/>
      <c r="GY191" s="321">
        <v>0</v>
      </c>
      <c r="GZ191" s="322">
        <v>0</v>
      </c>
    </row>
    <row r="192" spans="1:208" s="89" customFormat="1" ht="22.5" customHeight="1" x14ac:dyDescent="0.2">
      <c r="A192" s="287" t="s">
        <v>3324</v>
      </c>
      <c r="B192" s="288" t="s">
        <v>3325</v>
      </c>
      <c r="C192" s="289" t="s">
        <v>3170</v>
      </c>
      <c r="D192" s="290" t="s">
        <v>3326</v>
      </c>
      <c r="E192" s="290" t="s">
        <v>3327</v>
      </c>
      <c r="F192" s="291" t="s">
        <v>3166</v>
      </c>
      <c r="G192" s="291" t="s">
        <v>3167</v>
      </c>
      <c r="H192" s="292" t="s">
        <v>1527</v>
      </c>
      <c r="I192" s="293" t="s">
        <v>1527</v>
      </c>
      <c r="J192" s="340" t="s">
        <v>3168</v>
      </c>
      <c r="K192" s="340" t="s">
        <v>3171</v>
      </c>
      <c r="L192" s="256">
        <f>CONTINUA!BV192</f>
        <v>0</v>
      </c>
      <c r="M192" s="256">
        <f>CONTINUA!BW192</f>
        <v>0</v>
      </c>
      <c r="N192" s="564"/>
      <c r="O192" s="565" t="s">
        <v>3369</v>
      </c>
      <c r="P192" s="566">
        <v>0</v>
      </c>
      <c r="Q192" s="319">
        <v>41</v>
      </c>
      <c r="R192" s="320"/>
      <c r="S192" s="319">
        <v>6</v>
      </c>
      <c r="T192" s="320"/>
      <c r="U192" s="319">
        <v>0</v>
      </c>
      <c r="V192" s="320">
        <v>0</v>
      </c>
      <c r="W192" s="319">
        <v>41</v>
      </c>
      <c r="X192" s="320"/>
      <c r="Y192" s="319">
        <v>6</v>
      </c>
      <c r="Z192" s="320"/>
      <c r="AA192" s="319">
        <v>0</v>
      </c>
      <c r="AB192" s="320">
        <v>0</v>
      </c>
      <c r="AC192" s="319">
        <v>41</v>
      </c>
      <c r="AD192" s="320"/>
      <c r="AE192" s="319">
        <v>6</v>
      </c>
      <c r="AF192" s="320"/>
      <c r="AG192" s="319">
        <v>0</v>
      </c>
      <c r="AH192" s="320">
        <v>0</v>
      </c>
      <c r="AI192" s="319">
        <v>41</v>
      </c>
      <c r="AJ192" s="320"/>
      <c r="AK192" s="319">
        <v>6</v>
      </c>
      <c r="AL192" s="320"/>
      <c r="AM192" s="319">
        <v>0</v>
      </c>
      <c r="AN192" s="320">
        <v>0</v>
      </c>
      <c r="AO192" s="319">
        <v>41</v>
      </c>
      <c r="AP192" s="320"/>
      <c r="AQ192" s="319">
        <v>6</v>
      </c>
      <c r="AR192" s="320"/>
      <c r="AS192" s="319">
        <v>0</v>
      </c>
      <c r="AT192" s="320">
        <v>0</v>
      </c>
      <c r="AU192" s="319">
        <v>41</v>
      </c>
      <c r="AV192" s="320"/>
      <c r="AW192" s="319">
        <v>6</v>
      </c>
      <c r="AX192" s="320"/>
      <c r="AY192" s="319">
        <v>0</v>
      </c>
      <c r="AZ192" s="320">
        <v>0</v>
      </c>
      <c r="BA192" s="319">
        <v>41</v>
      </c>
      <c r="BB192" s="320"/>
      <c r="BC192" s="319">
        <v>6</v>
      </c>
      <c r="BD192" s="320"/>
      <c r="BE192" s="319">
        <v>0</v>
      </c>
      <c r="BF192" s="320">
        <v>0</v>
      </c>
      <c r="BG192" s="319">
        <v>41</v>
      </c>
      <c r="BH192" s="320"/>
      <c r="BI192" s="319">
        <v>6</v>
      </c>
      <c r="BJ192" s="320"/>
      <c r="BK192" s="319">
        <v>0</v>
      </c>
      <c r="BL192" s="320">
        <v>0</v>
      </c>
      <c r="BM192" s="319">
        <v>41</v>
      </c>
      <c r="BN192" s="320"/>
      <c r="BO192" s="319">
        <v>6</v>
      </c>
      <c r="BP192" s="320"/>
      <c r="BQ192" s="319">
        <v>0</v>
      </c>
      <c r="BR192" s="320">
        <v>0</v>
      </c>
      <c r="BS192" s="319">
        <v>41</v>
      </c>
      <c r="BT192" s="320"/>
      <c r="BU192" s="319">
        <v>6</v>
      </c>
      <c r="BV192" s="320"/>
      <c r="BW192" s="319">
        <v>0</v>
      </c>
      <c r="BX192" s="320">
        <v>0</v>
      </c>
      <c r="BY192" s="319">
        <v>41</v>
      </c>
      <c r="BZ192" s="320"/>
      <c r="CA192" s="319">
        <v>6</v>
      </c>
      <c r="CB192" s="320"/>
      <c r="CC192" s="319">
        <v>0</v>
      </c>
      <c r="CD192" s="320">
        <v>0</v>
      </c>
      <c r="CE192" s="319">
        <v>41</v>
      </c>
      <c r="CF192" s="320"/>
      <c r="CG192" s="319">
        <v>6</v>
      </c>
      <c r="CH192" s="320"/>
      <c r="CI192" s="319">
        <v>0</v>
      </c>
      <c r="CJ192" s="320">
        <v>0</v>
      </c>
      <c r="CK192" s="319">
        <v>41</v>
      </c>
      <c r="CL192" s="320"/>
      <c r="CM192" s="319">
        <v>6</v>
      </c>
      <c r="CN192" s="320"/>
      <c r="CO192" s="319">
        <v>0</v>
      </c>
      <c r="CP192" s="320">
        <v>0</v>
      </c>
      <c r="CQ192" s="319">
        <v>41</v>
      </c>
      <c r="CR192" s="320"/>
      <c r="CS192" s="319">
        <v>6</v>
      </c>
      <c r="CT192" s="320"/>
      <c r="CU192" s="319">
        <v>0</v>
      </c>
      <c r="CV192" s="320">
        <v>0</v>
      </c>
      <c r="CW192" s="319">
        <v>41</v>
      </c>
      <c r="CX192" s="320"/>
      <c r="CY192" s="319">
        <v>6</v>
      </c>
      <c r="CZ192" s="320"/>
      <c r="DA192" s="319">
        <v>0</v>
      </c>
      <c r="DB192" s="320">
        <v>0</v>
      </c>
      <c r="DC192" s="319">
        <v>41</v>
      </c>
      <c r="DD192" s="320"/>
      <c r="DE192" s="319">
        <v>6</v>
      </c>
      <c r="DF192" s="320"/>
      <c r="DG192" s="319">
        <v>0</v>
      </c>
      <c r="DH192" s="320">
        <v>0</v>
      </c>
      <c r="DI192" s="319">
        <v>41</v>
      </c>
      <c r="DJ192" s="320"/>
      <c r="DK192" s="319">
        <v>6</v>
      </c>
      <c r="DL192" s="320"/>
      <c r="DM192" s="319">
        <v>0</v>
      </c>
      <c r="DN192" s="320">
        <v>0</v>
      </c>
      <c r="DO192" s="319">
        <v>41</v>
      </c>
      <c r="DP192" s="320"/>
      <c r="DQ192" s="319">
        <v>6</v>
      </c>
      <c r="DR192" s="320"/>
      <c r="DS192" s="319">
        <v>0</v>
      </c>
      <c r="DT192" s="320">
        <v>0</v>
      </c>
      <c r="DU192" s="319">
        <v>41</v>
      </c>
      <c r="DV192" s="320"/>
      <c r="DW192" s="319">
        <v>6</v>
      </c>
      <c r="DX192" s="320"/>
      <c r="DY192" s="319">
        <v>0</v>
      </c>
      <c r="DZ192" s="320">
        <v>0</v>
      </c>
      <c r="EA192" s="319">
        <v>41</v>
      </c>
      <c r="EB192" s="320"/>
      <c r="EC192" s="319">
        <v>6</v>
      </c>
      <c r="ED192" s="320"/>
      <c r="EE192" s="319">
        <v>0</v>
      </c>
      <c r="EF192" s="320">
        <v>0</v>
      </c>
      <c r="EG192" s="319">
        <v>41</v>
      </c>
      <c r="EH192" s="320"/>
      <c r="EI192" s="319">
        <v>6</v>
      </c>
      <c r="EJ192" s="320"/>
      <c r="EK192" s="319">
        <v>0</v>
      </c>
      <c r="EL192" s="320">
        <v>0</v>
      </c>
      <c r="EM192" s="319">
        <v>41</v>
      </c>
      <c r="EN192" s="320"/>
      <c r="EO192" s="319">
        <v>6</v>
      </c>
      <c r="EP192" s="320"/>
      <c r="EQ192" s="319">
        <v>0</v>
      </c>
      <c r="ER192" s="320">
        <v>0</v>
      </c>
      <c r="ES192" s="319">
        <v>41</v>
      </c>
      <c r="ET192" s="320"/>
      <c r="EU192" s="319">
        <v>6</v>
      </c>
      <c r="EV192" s="320"/>
      <c r="EW192" s="319">
        <v>0</v>
      </c>
      <c r="EX192" s="320">
        <v>0</v>
      </c>
      <c r="EY192" s="319">
        <v>41</v>
      </c>
      <c r="EZ192" s="320"/>
      <c r="FA192" s="319">
        <v>6</v>
      </c>
      <c r="FB192" s="320"/>
      <c r="FC192" s="319">
        <v>0</v>
      </c>
      <c r="FD192" s="320">
        <v>0</v>
      </c>
      <c r="FE192" s="319">
        <v>41</v>
      </c>
      <c r="FF192" s="320"/>
      <c r="FG192" s="319">
        <v>6</v>
      </c>
      <c r="FH192" s="320"/>
      <c r="FI192" s="319">
        <v>0</v>
      </c>
      <c r="FJ192" s="320">
        <v>0</v>
      </c>
      <c r="FK192" s="319">
        <v>41</v>
      </c>
      <c r="FL192" s="320"/>
      <c r="FM192" s="319">
        <v>6</v>
      </c>
      <c r="FN192" s="320"/>
      <c r="FO192" s="319">
        <v>0</v>
      </c>
      <c r="FP192" s="320">
        <v>0</v>
      </c>
      <c r="FQ192" s="319">
        <v>41</v>
      </c>
      <c r="FR192" s="320"/>
      <c r="FS192" s="319">
        <v>6</v>
      </c>
      <c r="FT192" s="320"/>
      <c r="FU192" s="319">
        <v>0</v>
      </c>
      <c r="FV192" s="320">
        <v>0</v>
      </c>
      <c r="FW192" s="319">
        <v>41</v>
      </c>
      <c r="FX192" s="320"/>
      <c r="FY192" s="319">
        <v>6</v>
      </c>
      <c r="FZ192" s="320"/>
      <c r="GA192" s="319">
        <v>0</v>
      </c>
      <c r="GB192" s="320">
        <v>0</v>
      </c>
      <c r="GC192" s="319">
        <v>41</v>
      </c>
      <c r="GD192" s="320"/>
      <c r="GE192" s="319">
        <v>6</v>
      </c>
      <c r="GF192" s="320"/>
      <c r="GG192" s="319">
        <v>0</v>
      </c>
      <c r="GH192" s="320">
        <v>0</v>
      </c>
      <c r="GI192" s="319">
        <v>41</v>
      </c>
      <c r="GJ192" s="320"/>
      <c r="GK192" s="319">
        <v>6</v>
      </c>
      <c r="GL192" s="320"/>
      <c r="GM192" s="319">
        <v>0</v>
      </c>
      <c r="GN192" s="320">
        <v>0</v>
      </c>
      <c r="GO192" s="319">
        <v>41</v>
      </c>
      <c r="GP192" s="320"/>
      <c r="GQ192" s="319">
        <v>6</v>
      </c>
      <c r="GR192" s="320"/>
      <c r="GS192" s="319">
        <v>0</v>
      </c>
      <c r="GT192" s="320">
        <v>0</v>
      </c>
      <c r="GU192" s="319">
        <v>41</v>
      </c>
      <c r="GV192" s="320"/>
      <c r="GW192" s="319">
        <v>6</v>
      </c>
      <c r="GX192" s="320"/>
      <c r="GY192" s="319">
        <v>0</v>
      </c>
      <c r="GZ192" s="320">
        <v>0</v>
      </c>
    </row>
    <row r="193" spans="1:208" s="89" customFormat="1" ht="22.5" customHeight="1" x14ac:dyDescent="0.2">
      <c r="A193" s="287" t="s">
        <v>3324</v>
      </c>
      <c r="B193" s="288" t="s">
        <v>3325</v>
      </c>
      <c r="C193" s="294" t="s">
        <v>3170</v>
      </c>
      <c r="D193" s="290" t="s">
        <v>3326</v>
      </c>
      <c r="E193" s="290" t="s">
        <v>3327</v>
      </c>
      <c r="F193" s="295" t="s">
        <v>3166</v>
      </c>
      <c r="G193" s="295" t="s">
        <v>3167</v>
      </c>
      <c r="H193" s="292" t="s">
        <v>1527</v>
      </c>
      <c r="I193" s="293" t="s">
        <v>1527</v>
      </c>
      <c r="J193" s="340" t="s">
        <v>3168</v>
      </c>
      <c r="K193" s="341" t="s">
        <v>3172</v>
      </c>
      <c r="L193" s="256">
        <f>CONTINUA!BV193</f>
        <v>0</v>
      </c>
      <c r="M193" s="256">
        <f>CONTINUA!BW193</f>
        <v>0</v>
      </c>
      <c r="N193" s="564"/>
      <c r="O193" s="565" t="s">
        <v>3369</v>
      </c>
      <c r="P193" s="566">
        <v>0</v>
      </c>
      <c r="Q193" s="319">
        <v>0</v>
      </c>
      <c r="R193" s="320"/>
      <c r="S193" s="319">
        <v>0</v>
      </c>
      <c r="T193" s="320"/>
      <c r="U193" s="319">
        <v>0</v>
      </c>
      <c r="V193" s="320">
        <v>0</v>
      </c>
      <c r="W193" s="319">
        <v>0</v>
      </c>
      <c r="X193" s="320"/>
      <c r="Y193" s="319">
        <v>0</v>
      </c>
      <c r="Z193" s="320"/>
      <c r="AA193" s="319">
        <v>0</v>
      </c>
      <c r="AB193" s="320">
        <v>0</v>
      </c>
      <c r="AC193" s="319">
        <v>0</v>
      </c>
      <c r="AD193" s="320"/>
      <c r="AE193" s="319">
        <v>0</v>
      </c>
      <c r="AF193" s="320"/>
      <c r="AG193" s="319">
        <v>0</v>
      </c>
      <c r="AH193" s="320">
        <v>0</v>
      </c>
      <c r="AI193" s="319">
        <v>0</v>
      </c>
      <c r="AJ193" s="320"/>
      <c r="AK193" s="319">
        <v>0</v>
      </c>
      <c r="AL193" s="320"/>
      <c r="AM193" s="319">
        <v>0</v>
      </c>
      <c r="AN193" s="320">
        <v>0</v>
      </c>
      <c r="AO193" s="319">
        <v>0</v>
      </c>
      <c r="AP193" s="320"/>
      <c r="AQ193" s="319">
        <v>0</v>
      </c>
      <c r="AR193" s="320"/>
      <c r="AS193" s="319">
        <v>0</v>
      </c>
      <c r="AT193" s="320">
        <v>0</v>
      </c>
      <c r="AU193" s="319">
        <v>0</v>
      </c>
      <c r="AV193" s="320"/>
      <c r="AW193" s="319">
        <v>0</v>
      </c>
      <c r="AX193" s="320"/>
      <c r="AY193" s="319">
        <v>0</v>
      </c>
      <c r="AZ193" s="320">
        <v>0</v>
      </c>
      <c r="BA193" s="319">
        <v>0</v>
      </c>
      <c r="BB193" s="320"/>
      <c r="BC193" s="319">
        <v>0</v>
      </c>
      <c r="BD193" s="320"/>
      <c r="BE193" s="319">
        <v>0</v>
      </c>
      <c r="BF193" s="320">
        <v>0</v>
      </c>
      <c r="BG193" s="319">
        <v>0</v>
      </c>
      <c r="BH193" s="320"/>
      <c r="BI193" s="319">
        <v>0</v>
      </c>
      <c r="BJ193" s="320"/>
      <c r="BK193" s="319">
        <v>0</v>
      </c>
      <c r="BL193" s="320">
        <v>0</v>
      </c>
      <c r="BM193" s="319">
        <v>0</v>
      </c>
      <c r="BN193" s="320"/>
      <c r="BO193" s="319">
        <v>0</v>
      </c>
      <c r="BP193" s="320"/>
      <c r="BQ193" s="319">
        <v>0</v>
      </c>
      <c r="BR193" s="320">
        <v>0</v>
      </c>
      <c r="BS193" s="319">
        <v>0</v>
      </c>
      <c r="BT193" s="320"/>
      <c r="BU193" s="319">
        <v>0</v>
      </c>
      <c r="BV193" s="320"/>
      <c r="BW193" s="319">
        <v>0</v>
      </c>
      <c r="BX193" s="320">
        <v>0</v>
      </c>
      <c r="BY193" s="319">
        <v>0</v>
      </c>
      <c r="BZ193" s="320"/>
      <c r="CA193" s="319">
        <v>0</v>
      </c>
      <c r="CB193" s="320"/>
      <c r="CC193" s="319">
        <v>0</v>
      </c>
      <c r="CD193" s="320">
        <v>0</v>
      </c>
      <c r="CE193" s="319">
        <v>0</v>
      </c>
      <c r="CF193" s="320"/>
      <c r="CG193" s="319">
        <v>0</v>
      </c>
      <c r="CH193" s="320"/>
      <c r="CI193" s="319">
        <v>0</v>
      </c>
      <c r="CJ193" s="320">
        <v>0</v>
      </c>
      <c r="CK193" s="319">
        <v>0</v>
      </c>
      <c r="CL193" s="320"/>
      <c r="CM193" s="319">
        <v>0</v>
      </c>
      <c r="CN193" s="320"/>
      <c r="CO193" s="319">
        <v>0</v>
      </c>
      <c r="CP193" s="320">
        <v>0</v>
      </c>
      <c r="CQ193" s="319">
        <v>0</v>
      </c>
      <c r="CR193" s="320"/>
      <c r="CS193" s="319">
        <v>0</v>
      </c>
      <c r="CT193" s="320"/>
      <c r="CU193" s="319">
        <v>0</v>
      </c>
      <c r="CV193" s="320">
        <v>0</v>
      </c>
      <c r="CW193" s="319">
        <v>0</v>
      </c>
      <c r="CX193" s="320"/>
      <c r="CY193" s="319">
        <v>0</v>
      </c>
      <c r="CZ193" s="320"/>
      <c r="DA193" s="319">
        <v>0</v>
      </c>
      <c r="DB193" s="320">
        <v>0</v>
      </c>
      <c r="DC193" s="319">
        <v>0</v>
      </c>
      <c r="DD193" s="320"/>
      <c r="DE193" s="319">
        <v>0</v>
      </c>
      <c r="DF193" s="320"/>
      <c r="DG193" s="319">
        <v>0</v>
      </c>
      <c r="DH193" s="320">
        <v>0</v>
      </c>
      <c r="DI193" s="319">
        <v>0</v>
      </c>
      <c r="DJ193" s="320"/>
      <c r="DK193" s="319">
        <v>0</v>
      </c>
      <c r="DL193" s="320"/>
      <c r="DM193" s="319">
        <v>0</v>
      </c>
      <c r="DN193" s="320">
        <v>0</v>
      </c>
      <c r="DO193" s="319">
        <v>0</v>
      </c>
      <c r="DP193" s="320"/>
      <c r="DQ193" s="319">
        <v>0</v>
      </c>
      <c r="DR193" s="320"/>
      <c r="DS193" s="319">
        <v>0</v>
      </c>
      <c r="DT193" s="320">
        <v>0</v>
      </c>
      <c r="DU193" s="319">
        <v>0</v>
      </c>
      <c r="DV193" s="320"/>
      <c r="DW193" s="319">
        <v>0</v>
      </c>
      <c r="DX193" s="320"/>
      <c r="DY193" s="319">
        <v>0</v>
      </c>
      <c r="DZ193" s="320">
        <v>0</v>
      </c>
      <c r="EA193" s="319">
        <v>0</v>
      </c>
      <c r="EB193" s="320"/>
      <c r="EC193" s="319">
        <v>0</v>
      </c>
      <c r="ED193" s="320"/>
      <c r="EE193" s="319">
        <v>0</v>
      </c>
      <c r="EF193" s="320">
        <v>0</v>
      </c>
      <c r="EG193" s="319">
        <v>0</v>
      </c>
      <c r="EH193" s="320"/>
      <c r="EI193" s="319">
        <v>0</v>
      </c>
      <c r="EJ193" s="320"/>
      <c r="EK193" s="319">
        <v>0</v>
      </c>
      <c r="EL193" s="320">
        <v>0</v>
      </c>
      <c r="EM193" s="319">
        <v>0</v>
      </c>
      <c r="EN193" s="320"/>
      <c r="EO193" s="319">
        <v>0</v>
      </c>
      <c r="EP193" s="320"/>
      <c r="EQ193" s="319">
        <v>0</v>
      </c>
      <c r="ER193" s="320">
        <v>0</v>
      </c>
      <c r="ES193" s="319">
        <v>0</v>
      </c>
      <c r="ET193" s="320"/>
      <c r="EU193" s="319">
        <v>0</v>
      </c>
      <c r="EV193" s="320"/>
      <c r="EW193" s="319">
        <v>0</v>
      </c>
      <c r="EX193" s="320">
        <v>0</v>
      </c>
      <c r="EY193" s="319">
        <v>0</v>
      </c>
      <c r="EZ193" s="320"/>
      <c r="FA193" s="319">
        <v>0</v>
      </c>
      <c r="FB193" s="320"/>
      <c r="FC193" s="319">
        <v>0</v>
      </c>
      <c r="FD193" s="320">
        <v>0</v>
      </c>
      <c r="FE193" s="319">
        <v>0</v>
      </c>
      <c r="FF193" s="320"/>
      <c r="FG193" s="319">
        <v>0</v>
      </c>
      <c r="FH193" s="320"/>
      <c r="FI193" s="319">
        <v>0</v>
      </c>
      <c r="FJ193" s="320">
        <v>0</v>
      </c>
      <c r="FK193" s="319">
        <v>0</v>
      </c>
      <c r="FL193" s="320"/>
      <c r="FM193" s="319">
        <v>0</v>
      </c>
      <c r="FN193" s="320"/>
      <c r="FO193" s="319">
        <v>0</v>
      </c>
      <c r="FP193" s="320">
        <v>0</v>
      </c>
      <c r="FQ193" s="319">
        <v>0</v>
      </c>
      <c r="FR193" s="320"/>
      <c r="FS193" s="319">
        <v>0</v>
      </c>
      <c r="FT193" s="320"/>
      <c r="FU193" s="319">
        <v>0</v>
      </c>
      <c r="FV193" s="320">
        <v>0</v>
      </c>
      <c r="FW193" s="319">
        <v>0</v>
      </c>
      <c r="FX193" s="320"/>
      <c r="FY193" s="319">
        <v>0</v>
      </c>
      <c r="FZ193" s="320"/>
      <c r="GA193" s="319">
        <v>0</v>
      </c>
      <c r="GB193" s="320">
        <v>0</v>
      </c>
      <c r="GC193" s="319">
        <v>0</v>
      </c>
      <c r="GD193" s="320"/>
      <c r="GE193" s="319">
        <v>0</v>
      </c>
      <c r="GF193" s="320"/>
      <c r="GG193" s="319">
        <v>0</v>
      </c>
      <c r="GH193" s="320">
        <v>0</v>
      </c>
      <c r="GI193" s="319">
        <v>0</v>
      </c>
      <c r="GJ193" s="320"/>
      <c r="GK193" s="319">
        <v>0</v>
      </c>
      <c r="GL193" s="320"/>
      <c r="GM193" s="319">
        <v>0</v>
      </c>
      <c r="GN193" s="320">
        <v>0</v>
      </c>
      <c r="GO193" s="319">
        <v>0</v>
      </c>
      <c r="GP193" s="320"/>
      <c r="GQ193" s="319">
        <v>0</v>
      </c>
      <c r="GR193" s="320"/>
      <c r="GS193" s="319">
        <v>0</v>
      </c>
      <c r="GT193" s="320">
        <v>0</v>
      </c>
      <c r="GU193" s="319">
        <v>0</v>
      </c>
      <c r="GV193" s="320"/>
      <c r="GW193" s="319">
        <v>0</v>
      </c>
      <c r="GX193" s="320"/>
      <c r="GY193" s="319">
        <v>0</v>
      </c>
      <c r="GZ193" s="320">
        <v>0</v>
      </c>
    </row>
    <row r="194" spans="1:208" s="89" customFormat="1" ht="22.5" customHeight="1" x14ac:dyDescent="0.2">
      <c r="A194" s="287" t="s">
        <v>3324</v>
      </c>
      <c r="B194" s="288" t="s">
        <v>3325</v>
      </c>
      <c r="C194" s="294" t="s">
        <v>3170</v>
      </c>
      <c r="D194" s="290" t="s">
        <v>3326</v>
      </c>
      <c r="E194" s="290" t="s">
        <v>3327</v>
      </c>
      <c r="F194" s="295" t="s">
        <v>3166</v>
      </c>
      <c r="G194" s="295" t="s">
        <v>3167</v>
      </c>
      <c r="H194" s="292" t="s">
        <v>1527</v>
      </c>
      <c r="I194" s="293" t="s">
        <v>1527</v>
      </c>
      <c r="J194" s="340" t="s">
        <v>3168</v>
      </c>
      <c r="K194" s="342" t="s">
        <v>3173</v>
      </c>
      <c r="L194" s="256">
        <f>CONTINUA!BV194</f>
        <v>0</v>
      </c>
      <c r="M194" s="256">
        <f>CONTINUA!BW194</f>
        <v>0</v>
      </c>
      <c r="N194" s="564"/>
      <c r="O194" s="565" t="s">
        <v>3369</v>
      </c>
      <c r="P194" s="566">
        <v>0</v>
      </c>
      <c r="Q194" s="319">
        <v>0</v>
      </c>
      <c r="R194" s="320"/>
      <c r="S194" s="319">
        <v>0</v>
      </c>
      <c r="T194" s="320"/>
      <c r="U194" s="319">
        <v>0</v>
      </c>
      <c r="V194" s="320">
        <v>0</v>
      </c>
      <c r="W194" s="319">
        <v>0</v>
      </c>
      <c r="X194" s="320"/>
      <c r="Y194" s="319">
        <v>0</v>
      </c>
      <c r="Z194" s="320"/>
      <c r="AA194" s="319">
        <v>0</v>
      </c>
      <c r="AB194" s="320">
        <v>0</v>
      </c>
      <c r="AC194" s="319">
        <v>0</v>
      </c>
      <c r="AD194" s="320"/>
      <c r="AE194" s="319">
        <v>0</v>
      </c>
      <c r="AF194" s="320"/>
      <c r="AG194" s="319">
        <v>0</v>
      </c>
      <c r="AH194" s="320">
        <v>0</v>
      </c>
      <c r="AI194" s="319">
        <v>0</v>
      </c>
      <c r="AJ194" s="320"/>
      <c r="AK194" s="319">
        <v>0</v>
      </c>
      <c r="AL194" s="320"/>
      <c r="AM194" s="319">
        <v>0</v>
      </c>
      <c r="AN194" s="320">
        <v>0</v>
      </c>
      <c r="AO194" s="319">
        <v>0</v>
      </c>
      <c r="AP194" s="320"/>
      <c r="AQ194" s="319">
        <v>0</v>
      </c>
      <c r="AR194" s="320"/>
      <c r="AS194" s="319">
        <v>0</v>
      </c>
      <c r="AT194" s="320">
        <v>0</v>
      </c>
      <c r="AU194" s="319">
        <v>0</v>
      </c>
      <c r="AV194" s="320"/>
      <c r="AW194" s="319">
        <v>0</v>
      </c>
      <c r="AX194" s="320"/>
      <c r="AY194" s="319">
        <v>0</v>
      </c>
      <c r="AZ194" s="320">
        <v>0</v>
      </c>
      <c r="BA194" s="319">
        <v>0</v>
      </c>
      <c r="BB194" s="320"/>
      <c r="BC194" s="319">
        <v>0</v>
      </c>
      <c r="BD194" s="320"/>
      <c r="BE194" s="319">
        <v>0</v>
      </c>
      <c r="BF194" s="320">
        <v>0</v>
      </c>
      <c r="BG194" s="319">
        <v>0</v>
      </c>
      <c r="BH194" s="320"/>
      <c r="BI194" s="319">
        <v>0</v>
      </c>
      <c r="BJ194" s="320"/>
      <c r="BK194" s="319">
        <v>0</v>
      </c>
      <c r="BL194" s="320">
        <v>0</v>
      </c>
      <c r="BM194" s="319">
        <v>0</v>
      </c>
      <c r="BN194" s="320"/>
      <c r="BO194" s="319">
        <v>0</v>
      </c>
      <c r="BP194" s="320"/>
      <c r="BQ194" s="319">
        <v>0</v>
      </c>
      <c r="BR194" s="320">
        <v>0</v>
      </c>
      <c r="BS194" s="319">
        <v>0</v>
      </c>
      <c r="BT194" s="320"/>
      <c r="BU194" s="319">
        <v>0</v>
      </c>
      <c r="BV194" s="320"/>
      <c r="BW194" s="319">
        <v>0</v>
      </c>
      <c r="BX194" s="320">
        <v>0</v>
      </c>
      <c r="BY194" s="319">
        <v>0</v>
      </c>
      <c r="BZ194" s="320"/>
      <c r="CA194" s="319">
        <v>0</v>
      </c>
      <c r="CB194" s="320"/>
      <c r="CC194" s="319">
        <v>0</v>
      </c>
      <c r="CD194" s="320">
        <v>0</v>
      </c>
      <c r="CE194" s="319">
        <v>0</v>
      </c>
      <c r="CF194" s="320"/>
      <c r="CG194" s="319">
        <v>0</v>
      </c>
      <c r="CH194" s="320"/>
      <c r="CI194" s="319">
        <v>0</v>
      </c>
      <c r="CJ194" s="320">
        <v>0</v>
      </c>
      <c r="CK194" s="319">
        <v>0</v>
      </c>
      <c r="CL194" s="320"/>
      <c r="CM194" s="319">
        <v>0</v>
      </c>
      <c r="CN194" s="320"/>
      <c r="CO194" s="319">
        <v>0</v>
      </c>
      <c r="CP194" s="320">
        <v>0</v>
      </c>
      <c r="CQ194" s="319">
        <v>0</v>
      </c>
      <c r="CR194" s="320"/>
      <c r="CS194" s="319">
        <v>0</v>
      </c>
      <c r="CT194" s="320"/>
      <c r="CU194" s="319">
        <v>0</v>
      </c>
      <c r="CV194" s="320">
        <v>0</v>
      </c>
      <c r="CW194" s="319">
        <v>0</v>
      </c>
      <c r="CX194" s="320"/>
      <c r="CY194" s="319">
        <v>0</v>
      </c>
      <c r="CZ194" s="320"/>
      <c r="DA194" s="319">
        <v>0</v>
      </c>
      <c r="DB194" s="320">
        <v>0</v>
      </c>
      <c r="DC194" s="319">
        <v>0</v>
      </c>
      <c r="DD194" s="320"/>
      <c r="DE194" s="319">
        <v>0</v>
      </c>
      <c r="DF194" s="320"/>
      <c r="DG194" s="319">
        <v>0</v>
      </c>
      <c r="DH194" s="320">
        <v>0</v>
      </c>
      <c r="DI194" s="319">
        <v>0</v>
      </c>
      <c r="DJ194" s="320"/>
      <c r="DK194" s="319">
        <v>0</v>
      </c>
      <c r="DL194" s="320"/>
      <c r="DM194" s="319">
        <v>0</v>
      </c>
      <c r="DN194" s="320">
        <v>0</v>
      </c>
      <c r="DO194" s="319">
        <v>0</v>
      </c>
      <c r="DP194" s="320"/>
      <c r="DQ194" s="319">
        <v>0</v>
      </c>
      <c r="DR194" s="320"/>
      <c r="DS194" s="319">
        <v>0</v>
      </c>
      <c r="DT194" s="320">
        <v>0</v>
      </c>
      <c r="DU194" s="319">
        <v>0</v>
      </c>
      <c r="DV194" s="320"/>
      <c r="DW194" s="319">
        <v>0</v>
      </c>
      <c r="DX194" s="320"/>
      <c r="DY194" s="319">
        <v>0</v>
      </c>
      <c r="DZ194" s="320">
        <v>0</v>
      </c>
      <c r="EA194" s="319">
        <v>0</v>
      </c>
      <c r="EB194" s="320"/>
      <c r="EC194" s="319">
        <v>0</v>
      </c>
      <c r="ED194" s="320"/>
      <c r="EE194" s="319">
        <v>0</v>
      </c>
      <c r="EF194" s="320">
        <v>0</v>
      </c>
      <c r="EG194" s="319">
        <v>0</v>
      </c>
      <c r="EH194" s="320"/>
      <c r="EI194" s="319">
        <v>0</v>
      </c>
      <c r="EJ194" s="320"/>
      <c r="EK194" s="319">
        <v>0</v>
      </c>
      <c r="EL194" s="320">
        <v>0</v>
      </c>
      <c r="EM194" s="319">
        <v>0</v>
      </c>
      <c r="EN194" s="320"/>
      <c r="EO194" s="319">
        <v>0</v>
      </c>
      <c r="EP194" s="320"/>
      <c r="EQ194" s="319">
        <v>0</v>
      </c>
      <c r="ER194" s="320">
        <v>0</v>
      </c>
      <c r="ES194" s="319">
        <v>0</v>
      </c>
      <c r="ET194" s="320"/>
      <c r="EU194" s="319">
        <v>0</v>
      </c>
      <c r="EV194" s="320"/>
      <c r="EW194" s="319">
        <v>0</v>
      </c>
      <c r="EX194" s="320">
        <v>0</v>
      </c>
      <c r="EY194" s="319">
        <v>0</v>
      </c>
      <c r="EZ194" s="320"/>
      <c r="FA194" s="319">
        <v>0</v>
      </c>
      <c r="FB194" s="320"/>
      <c r="FC194" s="319">
        <v>0</v>
      </c>
      <c r="FD194" s="320">
        <v>0</v>
      </c>
      <c r="FE194" s="319">
        <v>0</v>
      </c>
      <c r="FF194" s="320"/>
      <c r="FG194" s="319">
        <v>0</v>
      </c>
      <c r="FH194" s="320"/>
      <c r="FI194" s="319">
        <v>0</v>
      </c>
      <c r="FJ194" s="320">
        <v>0</v>
      </c>
      <c r="FK194" s="319">
        <v>0</v>
      </c>
      <c r="FL194" s="320"/>
      <c r="FM194" s="319">
        <v>0</v>
      </c>
      <c r="FN194" s="320"/>
      <c r="FO194" s="319">
        <v>0</v>
      </c>
      <c r="FP194" s="320">
        <v>0</v>
      </c>
      <c r="FQ194" s="319">
        <v>0</v>
      </c>
      <c r="FR194" s="320"/>
      <c r="FS194" s="319">
        <v>0</v>
      </c>
      <c r="FT194" s="320"/>
      <c r="FU194" s="319">
        <v>0</v>
      </c>
      <c r="FV194" s="320">
        <v>0</v>
      </c>
      <c r="FW194" s="319">
        <v>0</v>
      </c>
      <c r="FX194" s="320"/>
      <c r="FY194" s="319">
        <v>0</v>
      </c>
      <c r="FZ194" s="320"/>
      <c r="GA194" s="319">
        <v>0</v>
      </c>
      <c r="GB194" s="320">
        <v>0</v>
      </c>
      <c r="GC194" s="319">
        <v>0</v>
      </c>
      <c r="GD194" s="320"/>
      <c r="GE194" s="319">
        <v>0</v>
      </c>
      <c r="GF194" s="320"/>
      <c r="GG194" s="319">
        <v>0</v>
      </c>
      <c r="GH194" s="320">
        <v>0</v>
      </c>
      <c r="GI194" s="319">
        <v>0</v>
      </c>
      <c r="GJ194" s="320"/>
      <c r="GK194" s="319">
        <v>0</v>
      </c>
      <c r="GL194" s="320"/>
      <c r="GM194" s="319">
        <v>0</v>
      </c>
      <c r="GN194" s="320">
        <v>0</v>
      </c>
      <c r="GO194" s="319">
        <v>0</v>
      </c>
      <c r="GP194" s="320"/>
      <c r="GQ194" s="319">
        <v>0</v>
      </c>
      <c r="GR194" s="320"/>
      <c r="GS194" s="319">
        <v>0</v>
      </c>
      <c r="GT194" s="320">
        <v>0</v>
      </c>
      <c r="GU194" s="319">
        <v>0</v>
      </c>
      <c r="GV194" s="320"/>
      <c r="GW194" s="319">
        <v>0</v>
      </c>
      <c r="GX194" s="320"/>
      <c r="GY194" s="319">
        <v>0</v>
      </c>
      <c r="GZ194" s="320">
        <v>0</v>
      </c>
    </row>
    <row r="195" spans="1:208" s="89" customFormat="1" ht="22.5" customHeight="1" thickBot="1" x14ac:dyDescent="0.25">
      <c r="A195" s="296" t="s">
        <v>3324</v>
      </c>
      <c r="B195" s="297" t="s">
        <v>3325</v>
      </c>
      <c r="C195" s="298" t="s">
        <v>3170</v>
      </c>
      <c r="D195" s="299" t="s">
        <v>3326</v>
      </c>
      <c r="E195" s="299" t="s">
        <v>3327</v>
      </c>
      <c r="F195" s="300" t="s">
        <v>3166</v>
      </c>
      <c r="G195" s="300" t="s">
        <v>3167</v>
      </c>
      <c r="H195" s="301" t="s">
        <v>1527</v>
      </c>
      <c r="I195" s="302" t="s">
        <v>1527</v>
      </c>
      <c r="J195" s="340" t="s">
        <v>3168</v>
      </c>
      <c r="K195" s="343" t="s">
        <v>53</v>
      </c>
      <c r="L195" s="256">
        <f>CONTINUA!BV195</f>
        <v>0</v>
      </c>
      <c r="M195" s="256">
        <f>CONTINUA!BW195</f>
        <v>0</v>
      </c>
      <c r="N195" s="564"/>
      <c r="O195" s="565" t="s">
        <v>3369</v>
      </c>
      <c r="P195" s="566">
        <v>0</v>
      </c>
      <c r="Q195" s="319">
        <v>0</v>
      </c>
      <c r="R195" s="320"/>
      <c r="S195" s="319">
        <v>0</v>
      </c>
      <c r="T195" s="320"/>
      <c r="U195" s="321">
        <v>0</v>
      </c>
      <c r="V195" s="322">
        <v>0</v>
      </c>
      <c r="W195" s="319">
        <v>0</v>
      </c>
      <c r="X195" s="320"/>
      <c r="Y195" s="319">
        <v>0</v>
      </c>
      <c r="Z195" s="320"/>
      <c r="AA195" s="321">
        <v>0</v>
      </c>
      <c r="AB195" s="322">
        <v>0</v>
      </c>
      <c r="AC195" s="319">
        <v>0</v>
      </c>
      <c r="AD195" s="320"/>
      <c r="AE195" s="319">
        <v>0</v>
      </c>
      <c r="AF195" s="320"/>
      <c r="AG195" s="321">
        <v>0</v>
      </c>
      <c r="AH195" s="322">
        <v>0</v>
      </c>
      <c r="AI195" s="319">
        <v>0</v>
      </c>
      <c r="AJ195" s="320"/>
      <c r="AK195" s="319">
        <v>0</v>
      </c>
      <c r="AL195" s="320"/>
      <c r="AM195" s="321">
        <v>0</v>
      </c>
      <c r="AN195" s="322">
        <v>0</v>
      </c>
      <c r="AO195" s="319">
        <v>0</v>
      </c>
      <c r="AP195" s="320"/>
      <c r="AQ195" s="319">
        <v>0</v>
      </c>
      <c r="AR195" s="320"/>
      <c r="AS195" s="321">
        <v>0</v>
      </c>
      <c r="AT195" s="322">
        <v>0</v>
      </c>
      <c r="AU195" s="319">
        <v>0</v>
      </c>
      <c r="AV195" s="320"/>
      <c r="AW195" s="319">
        <v>0</v>
      </c>
      <c r="AX195" s="320"/>
      <c r="AY195" s="321">
        <v>0</v>
      </c>
      <c r="AZ195" s="322">
        <v>0</v>
      </c>
      <c r="BA195" s="319">
        <v>0</v>
      </c>
      <c r="BB195" s="320"/>
      <c r="BC195" s="319">
        <v>0</v>
      </c>
      <c r="BD195" s="320"/>
      <c r="BE195" s="321">
        <v>0</v>
      </c>
      <c r="BF195" s="322">
        <v>0</v>
      </c>
      <c r="BG195" s="319">
        <v>0</v>
      </c>
      <c r="BH195" s="320"/>
      <c r="BI195" s="319">
        <v>0</v>
      </c>
      <c r="BJ195" s="320"/>
      <c r="BK195" s="321">
        <v>0</v>
      </c>
      <c r="BL195" s="322">
        <v>0</v>
      </c>
      <c r="BM195" s="319">
        <v>0</v>
      </c>
      <c r="BN195" s="320"/>
      <c r="BO195" s="319">
        <v>0</v>
      </c>
      <c r="BP195" s="320"/>
      <c r="BQ195" s="321">
        <v>0</v>
      </c>
      <c r="BR195" s="322">
        <v>0</v>
      </c>
      <c r="BS195" s="319">
        <v>0</v>
      </c>
      <c r="BT195" s="320"/>
      <c r="BU195" s="319">
        <v>0</v>
      </c>
      <c r="BV195" s="320"/>
      <c r="BW195" s="321">
        <v>0</v>
      </c>
      <c r="BX195" s="322">
        <v>0</v>
      </c>
      <c r="BY195" s="319">
        <v>0</v>
      </c>
      <c r="BZ195" s="320"/>
      <c r="CA195" s="319">
        <v>0</v>
      </c>
      <c r="CB195" s="320"/>
      <c r="CC195" s="321">
        <v>0</v>
      </c>
      <c r="CD195" s="322">
        <v>0</v>
      </c>
      <c r="CE195" s="319">
        <v>0</v>
      </c>
      <c r="CF195" s="320"/>
      <c r="CG195" s="319">
        <v>0</v>
      </c>
      <c r="CH195" s="320"/>
      <c r="CI195" s="321">
        <v>0</v>
      </c>
      <c r="CJ195" s="322">
        <v>0</v>
      </c>
      <c r="CK195" s="319">
        <v>0</v>
      </c>
      <c r="CL195" s="320"/>
      <c r="CM195" s="319">
        <v>0</v>
      </c>
      <c r="CN195" s="320"/>
      <c r="CO195" s="321">
        <v>0</v>
      </c>
      <c r="CP195" s="322">
        <v>0</v>
      </c>
      <c r="CQ195" s="319">
        <v>0</v>
      </c>
      <c r="CR195" s="320"/>
      <c r="CS195" s="319">
        <v>0</v>
      </c>
      <c r="CT195" s="320"/>
      <c r="CU195" s="321">
        <v>0</v>
      </c>
      <c r="CV195" s="322">
        <v>0</v>
      </c>
      <c r="CW195" s="319">
        <v>0</v>
      </c>
      <c r="CX195" s="320"/>
      <c r="CY195" s="319">
        <v>0</v>
      </c>
      <c r="CZ195" s="320"/>
      <c r="DA195" s="321">
        <v>0</v>
      </c>
      <c r="DB195" s="322">
        <v>0</v>
      </c>
      <c r="DC195" s="319">
        <v>0</v>
      </c>
      <c r="DD195" s="320"/>
      <c r="DE195" s="319">
        <v>0</v>
      </c>
      <c r="DF195" s="320"/>
      <c r="DG195" s="321">
        <v>0</v>
      </c>
      <c r="DH195" s="322">
        <v>0</v>
      </c>
      <c r="DI195" s="319">
        <v>0</v>
      </c>
      <c r="DJ195" s="320"/>
      <c r="DK195" s="319">
        <v>0</v>
      </c>
      <c r="DL195" s="320"/>
      <c r="DM195" s="321">
        <v>0</v>
      </c>
      <c r="DN195" s="322">
        <v>0</v>
      </c>
      <c r="DO195" s="319">
        <v>0</v>
      </c>
      <c r="DP195" s="320"/>
      <c r="DQ195" s="319">
        <v>0</v>
      </c>
      <c r="DR195" s="320"/>
      <c r="DS195" s="321">
        <v>0</v>
      </c>
      <c r="DT195" s="322">
        <v>0</v>
      </c>
      <c r="DU195" s="319">
        <v>0</v>
      </c>
      <c r="DV195" s="320"/>
      <c r="DW195" s="319">
        <v>0</v>
      </c>
      <c r="DX195" s="320"/>
      <c r="DY195" s="321">
        <v>0</v>
      </c>
      <c r="DZ195" s="322">
        <v>0</v>
      </c>
      <c r="EA195" s="319">
        <v>0</v>
      </c>
      <c r="EB195" s="320"/>
      <c r="EC195" s="319">
        <v>0</v>
      </c>
      <c r="ED195" s="320"/>
      <c r="EE195" s="321">
        <v>0</v>
      </c>
      <c r="EF195" s="322">
        <v>0</v>
      </c>
      <c r="EG195" s="319">
        <v>0</v>
      </c>
      <c r="EH195" s="320"/>
      <c r="EI195" s="319">
        <v>0</v>
      </c>
      <c r="EJ195" s="320"/>
      <c r="EK195" s="321">
        <v>0</v>
      </c>
      <c r="EL195" s="322">
        <v>0</v>
      </c>
      <c r="EM195" s="319">
        <v>0</v>
      </c>
      <c r="EN195" s="320"/>
      <c r="EO195" s="319">
        <v>0</v>
      </c>
      <c r="EP195" s="320"/>
      <c r="EQ195" s="321">
        <v>0</v>
      </c>
      <c r="ER195" s="322">
        <v>0</v>
      </c>
      <c r="ES195" s="319">
        <v>0</v>
      </c>
      <c r="ET195" s="320"/>
      <c r="EU195" s="319">
        <v>0</v>
      </c>
      <c r="EV195" s="320"/>
      <c r="EW195" s="321">
        <v>0</v>
      </c>
      <c r="EX195" s="322">
        <v>0</v>
      </c>
      <c r="EY195" s="319">
        <v>0</v>
      </c>
      <c r="EZ195" s="320"/>
      <c r="FA195" s="319">
        <v>0</v>
      </c>
      <c r="FB195" s="320"/>
      <c r="FC195" s="321">
        <v>0</v>
      </c>
      <c r="FD195" s="322">
        <v>0</v>
      </c>
      <c r="FE195" s="319">
        <v>0</v>
      </c>
      <c r="FF195" s="320"/>
      <c r="FG195" s="319">
        <v>0</v>
      </c>
      <c r="FH195" s="320"/>
      <c r="FI195" s="321">
        <v>0</v>
      </c>
      <c r="FJ195" s="322">
        <v>0</v>
      </c>
      <c r="FK195" s="319">
        <v>0</v>
      </c>
      <c r="FL195" s="320"/>
      <c r="FM195" s="319">
        <v>0</v>
      </c>
      <c r="FN195" s="320"/>
      <c r="FO195" s="321">
        <v>0</v>
      </c>
      <c r="FP195" s="322">
        <v>0</v>
      </c>
      <c r="FQ195" s="319">
        <v>0</v>
      </c>
      <c r="FR195" s="320"/>
      <c r="FS195" s="319">
        <v>0</v>
      </c>
      <c r="FT195" s="320"/>
      <c r="FU195" s="321">
        <v>0</v>
      </c>
      <c r="FV195" s="322">
        <v>0</v>
      </c>
      <c r="FW195" s="319">
        <v>0</v>
      </c>
      <c r="FX195" s="320"/>
      <c r="FY195" s="319">
        <v>0</v>
      </c>
      <c r="FZ195" s="320"/>
      <c r="GA195" s="321">
        <v>0</v>
      </c>
      <c r="GB195" s="322">
        <v>0</v>
      </c>
      <c r="GC195" s="319">
        <v>0</v>
      </c>
      <c r="GD195" s="320"/>
      <c r="GE195" s="319">
        <v>0</v>
      </c>
      <c r="GF195" s="320"/>
      <c r="GG195" s="321">
        <v>0</v>
      </c>
      <c r="GH195" s="322">
        <v>0</v>
      </c>
      <c r="GI195" s="319">
        <v>0</v>
      </c>
      <c r="GJ195" s="320"/>
      <c r="GK195" s="319">
        <v>0</v>
      </c>
      <c r="GL195" s="320"/>
      <c r="GM195" s="321">
        <v>0</v>
      </c>
      <c r="GN195" s="322">
        <v>0</v>
      </c>
      <c r="GO195" s="319">
        <v>0</v>
      </c>
      <c r="GP195" s="320"/>
      <c r="GQ195" s="319">
        <v>0</v>
      </c>
      <c r="GR195" s="320"/>
      <c r="GS195" s="321">
        <v>0</v>
      </c>
      <c r="GT195" s="322">
        <v>0</v>
      </c>
      <c r="GU195" s="319">
        <v>0</v>
      </c>
      <c r="GV195" s="320"/>
      <c r="GW195" s="319">
        <v>0</v>
      </c>
      <c r="GX195" s="320"/>
      <c r="GY195" s="321">
        <v>0</v>
      </c>
      <c r="GZ195" s="322">
        <v>0</v>
      </c>
    </row>
    <row r="196" spans="1:208" s="89" customFormat="1" ht="22.5" customHeight="1" x14ac:dyDescent="0.2">
      <c r="A196" t="s">
        <v>3328</v>
      </c>
      <c r="B196" s="429" t="s">
        <v>3329</v>
      </c>
      <c r="C196" s="430">
        <v>1</v>
      </c>
      <c r="D196" s="431" t="s">
        <v>3330</v>
      </c>
      <c r="E196" s="431" t="s">
        <v>3331</v>
      </c>
      <c r="F196" s="432" t="s">
        <v>3166</v>
      </c>
      <c r="G196" s="432" t="s">
        <v>3167</v>
      </c>
      <c r="H196" s="270" t="s">
        <v>1528</v>
      </c>
      <c r="I196" s="271" t="s">
        <v>1528</v>
      </c>
      <c r="J196" s="328" t="s">
        <v>3168</v>
      </c>
      <c r="K196" s="329" t="s">
        <v>3169</v>
      </c>
      <c r="L196" s="256">
        <f>CONTINUA!BV196</f>
        <v>0</v>
      </c>
      <c r="M196" s="256">
        <f>CONTINUA!BW196</f>
        <v>0</v>
      </c>
      <c r="N196" s="564"/>
      <c r="O196" s="565" t="s">
        <v>3370</v>
      </c>
      <c r="P196" s="566">
        <v>0</v>
      </c>
      <c r="Q196" s="319">
        <v>0</v>
      </c>
      <c r="R196" s="320"/>
      <c r="S196" s="319">
        <v>0</v>
      </c>
      <c r="T196" s="320"/>
      <c r="U196" s="321">
        <v>0</v>
      </c>
      <c r="V196" s="322">
        <v>0</v>
      </c>
      <c r="W196" s="319">
        <v>0</v>
      </c>
      <c r="X196" s="320"/>
      <c r="Y196" s="319">
        <v>0</v>
      </c>
      <c r="Z196" s="320"/>
      <c r="AA196" s="321">
        <v>0</v>
      </c>
      <c r="AB196" s="322">
        <v>0</v>
      </c>
      <c r="AC196" s="319">
        <v>0</v>
      </c>
      <c r="AD196" s="320"/>
      <c r="AE196" s="319">
        <v>0</v>
      </c>
      <c r="AF196" s="320"/>
      <c r="AG196" s="321">
        <v>0</v>
      </c>
      <c r="AH196" s="322">
        <v>0</v>
      </c>
      <c r="AI196" s="319">
        <v>0</v>
      </c>
      <c r="AJ196" s="320"/>
      <c r="AK196" s="319">
        <v>0</v>
      </c>
      <c r="AL196" s="320"/>
      <c r="AM196" s="321">
        <v>0</v>
      </c>
      <c r="AN196" s="322">
        <v>0</v>
      </c>
      <c r="AO196" s="319">
        <v>0</v>
      </c>
      <c r="AP196" s="320"/>
      <c r="AQ196" s="319">
        <v>0</v>
      </c>
      <c r="AR196" s="320"/>
      <c r="AS196" s="321">
        <v>0</v>
      </c>
      <c r="AT196" s="322">
        <v>0</v>
      </c>
      <c r="AU196" s="319">
        <v>0</v>
      </c>
      <c r="AV196" s="320"/>
      <c r="AW196" s="319">
        <v>0</v>
      </c>
      <c r="AX196" s="320"/>
      <c r="AY196" s="321">
        <v>0</v>
      </c>
      <c r="AZ196" s="322">
        <v>0</v>
      </c>
      <c r="BA196" s="319">
        <v>0</v>
      </c>
      <c r="BB196" s="320"/>
      <c r="BC196" s="319">
        <v>0</v>
      </c>
      <c r="BD196" s="320"/>
      <c r="BE196" s="321">
        <v>0</v>
      </c>
      <c r="BF196" s="322">
        <v>0</v>
      </c>
      <c r="BG196" s="319">
        <v>0</v>
      </c>
      <c r="BH196" s="320"/>
      <c r="BI196" s="319">
        <v>0</v>
      </c>
      <c r="BJ196" s="320"/>
      <c r="BK196" s="321">
        <v>0</v>
      </c>
      <c r="BL196" s="322">
        <v>0</v>
      </c>
      <c r="BM196" s="319">
        <v>0</v>
      </c>
      <c r="BN196" s="320"/>
      <c r="BO196" s="319">
        <v>0</v>
      </c>
      <c r="BP196" s="320"/>
      <c r="BQ196" s="321">
        <v>0</v>
      </c>
      <c r="BR196" s="322">
        <v>0</v>
      </c>
      <c r="BS196" s="319">
        <v>0</v>
      </c>
      <c r="BT196" s="320"/>
      <c r="BU196" s="319">
        <v>0</v>
      </c>
      <c r="BV196" s="320"/>
      <c r="BW196" s="321">
        <v>0</v>
      </c>
      <c r="BX196" s="322">
        <v>0</v>
      </c>
      <c r="BY196" s="319">
        <v>0</v>
      </c>
      <c r="BZ196" s="320"/>
      <c r="CA196" s="319">
        <v>0</v>
      </c>
      <c r="CB196" s="320"/>
      <c r="CC196" s="321">
        <v>0</v>
      </c>
      <c r="CD196" s="322">
        <v>0</v>
      </c>
      <c r="CE196" s="319">
        <v>0</v>
      </c>
      <c r="CF196" s="320"/>
      <c r="CG196" s="319">
        <v>0</v>
      </c>
      <c r="CH196" s="320"/>
      <c r="CI196" s="321">
        <v>0</v>
      </c>
      <c r="CJ196" s="322">
        <v>0</v>
      </c>
      <c r="CK196" s="319">
        <v>0</v>
      </c>
      <c r="CL196" s="320"/>
      <c r="CM196" s="319">
        <v>0</v>
      </c>
      <c r="CN196" s="320"/>
      <c r="CO196" s="321">
        <v>0</v>
      </c>
      <c r="CP196" s="322">
        <v>0</v>
      </c>
      <c r="CQ196" s="319">
        <v>0</v>
      </c>
      <c r="CR196" s="320"/>
      <c r="CS196" s="319">
        <v>0</v>
      </c>
      <c r="CT196" s="320"/>
      <c r="CU196" s="321">
        <v>0</v>
      </c>
      <c r="CV196" s="322">
        <v>0</v>
      </c>
      <c r="CW196" s="319">
        <v>0</v>
      </c>
      <c r="CX196" s="320"/>
      <c r="CY196" s="319">
        <v>0</v>
      </c>
      <c r="CZ196" s="320"/>
      <c r="DA196" s="321">
        <v>0</v>
      </c>
      <c r="DB196" s="322">
        <v>0</v>
      </c>
      <c r="DC196" s="319">
        <v>0</v>
      </c>
      <c r="DD196" s="320"/>
      <c r="DE196" s="319">
        <v>0</v>
      </c>
      <c r="DF196" s="320"/>
      <c r="DG196" s="321">
        <v>0</v>
      </c>
      <c r="DH196" s="322">
        <v>0</v>
      </c>
      <c r="DI196" s="319">
        <v>0</v>
      </c>
      <c r="DJ196" s="320"/>
      <c r="DK196" s="319">
        <v>0</v>
      </c>
      <c r="DL196" s="320"/>
      <c r="DM196" s="321">
        <v>0</v>
      </c>
      <c r="DN196" s="322">
        <v>0</v>
      </c>
      <c r="DO196" s="319">
        <v>0</v>
      </c>
      <c r="DP196" s="320"/>
      <c r="DQ196" s="319">
        <v>0</v>
      </c>
      <c r="DR196" s="320"/>
      <c r="DS196" s="321">
        <v>0</v>
      </c>
      <c r="DT196" s="322">
        <v>0</v>
      </c>
      <c r="DU196" s="319">
        <v>0</v>
      </c>
      <c r="DV196" s="320"/>
      <c r="DW196" s="319">
        <v>0</v>
      </c>
      <c r="DX196" s="320"/>
      <c r="DY196" s="321">
        <v>0</v>
      </c>
      <c r="DZ196" s="322">
        <v>0</v>
      </c>
      <c r="EA196" s="319">
        <v>0</v>
      </c>
      <c r="EB196" s="320"/>
      <c r="EC196" s="319">
        <v>0</v>
      </c>
      <c r="ED196" s="320"/>
      <c r="EE196" s="321">
        <v>0</v>
      </c>
      <c r="EF196" s="322">
        <v>0</v>
      </c>
      <c r="EG196" s="319">
        <v>0</v>
      </c>
      <c r="EH196" s="320"/>
      <c r="EI196" s="319">
        <v>0</v>
      </c>
      <c r="EJ196" s="320"/>
      <c r="EK196" s="321">
        <v>0</v>
      </c>
      <c r="EL196" s="322">
        <v>0</v>
      </c>
      <c r="EM196" s="319">
        <v>0</v>
      </c>
      <c r="EN196" s="320"/>
      <c r="EO196" s="319">
        <v>0</v>
      </c>
      <c r="EP196" s="320"/>
      <c r="EQ196" s="321">
        <v>0</v>
      </c>
      <c r="ER196" s="322">
        <v>0</v>
      </c>
      <c r="ES196" s="319">
        <v>0</v>
      </c>
      <c r="ET196" s="320"/>
      <c r="EU196" s="319">
        <v>0</v>
      </c>
      <c r="EV196" s="320"/>
      <c r="EW196" s="321">
        <v>0</v>
      </c>
      <c r="EX196" s="322">
        <v>0</v>
      </c>
      <c r="EY196" s="319">
        <v>0</v>
      </c>
      <c r="EZ196" s="320"/>
      <c r="FA196" s="319">
        <v>0</v>
      </c>
      <c r="FB196" s="320"/>
      <c r="FC196" s="321">
        <v>0</v>
      </c>
      <c r="FD196" s="322">
        <v>0</v>
      </c>
      <c r="FE196" s="319">
        <v>0</v>
      </c>
      <c r="FF196" s="320"/>
      <c r="FG196" s="319">
        <v>0</v>
      </c>
      <c r="FH196" s="320"/>
      <c r="FI196" s="321">
        <v>0</v>
      </c>
      <c r="FJ196" s="322">
        <v>0</v>
      </c>
      <c r="FK196" s="319">
        <v>0</v>
      </c>
      <c r="FL196" s="320"/>
      <c r="FM196" s="319">
        <v>0</v>
      </c>
      <c r="FN196" s="320"/>
      <c r="FO196" s="321">
        <v>0</v>
      </c>
      <c r="FP196" s="322">
        <v>0</v>
      </c>
      <c r="FQ196" s="319">
        <v>0</v>
      </c>
      <c r="FR196" s="320"/>
      <c r="FS196" s="319">
        <v>0</v>
      </c>
      <c r="FT196" s="320"/>
      <c r="FU196" s="321">
        <v>0</v>
      </c>
      <c r="FV196" s="322">
        <v>0</v>
      </c>
      <c r="FW196" s="319">
        <v>0</v>
      </c>
      <c r="FX196" s="320"/>
      <c r="FY196" s="319">
        <v>0</v>
      </c>
      <c r="FZ196" s="320"/>
      <c r="GA196" s="321">
        <v>0</v>
      </c>
      <c r="GB196" s="322">
        <v>0</v>
      </c>
      <c r="GC196" s="319">
        <v>0</v>
      </c>
      <c r="GD196" s="320"/>
      <c r="GE196" s="319">
        <v>0</v>
      </c>
      <c r="GF196" s="320"/>
      <c r="GG196" s="321">
        <v>0</v>
      </c>
      <c r="GH196" s="322">
        <v>0</v>
      </c>
      <c r="GI196" s="319">
        <v>0</v>
      </c>
      <c r="GJ196" s="320"/>
      <c r="GK196" s="319">
        <v>0</v>
      </c>
      <c r="GL196" s="320"/>
      <c r="GM196" s="321">
        <v>0</v>
      </c>
      <c r="GN196" s="322">
        <v>0</v>
      </c>
      <c r="GO196" s="319">
        <v>0</v>
      </c>
      <c r="GP196" s="320"/>
      <c r="GQ196" s="319">
        <v>0</v>
      </c>
      <c r="GR196" s="320"/>
      <c r="GS196" s="321">
        <v>0</v>
      </c>
      <c r="GT196" s="322">
        <v>0</v>
      </c>
      <c r="GU196" s="319">
        <v>0</v>
      </c>
      <c r="GV196" s="320"/>
      <c r="GW196" s="319">
        <v>0</v>
      </c>
      <c r="GX196" s="320"/>
      <c r="GY196" s="321">
        <v>0</v>
      </c>
      <c r="GZ196" s="322">
        <v>0</v>
      </c>
    </row>
    <row r="197" spans="1:208" s="89" customFormat="1" ht="22.5" customHeight="1" x14ac:dyDescent="0.2">
      <c r="A197" s="287" t="s">
        <v>3328</v>
      </c>
      <c r="B197" s="288" t="s">
        <v>3329</v>
      </c>
      <c r="C197" s="289" t="s">
        <v>3170</v>
      </c>
      <c r="D197" s="290" t="s">
        <v>3330</v>
      </c>
      <c r="E197" s="290" t="s">
        <v>3331</v>
      </c>
      <c r="F197" s="291" t="s">
        <v>3166</v>
      </c>
      <c r="G197" s="291" t="s">
        <v>3167</v>
      </c>
      <c r="H197" s="292" t="s">
        <v>1528</v>
      </c>
      <c r="I197" s="293" t="s">
        <v>1528</v>
      </c>
      <c r="J197" s="340" t="s">
        <v>3168</v>
      </c>
      <c r="K197" s="340" t="s">
        <v>3171</v>
      </c>
      <c r="L197" s="256">
        <f>CONTINUA!BV197</f>
        <v>20</v>
      </c>
      <c r="M197" s="256">
        <f>CONTINUA!BW197</f>
        <v>0</v>
      </c>
      <c r="N197" s="564"/>
      <c r="O197" s="565" t="s">
        <v>3370</v>
      </c>
      <c r="P197" s="566">
        <v>0</v>
      </c>
      <c r="Q197" s="319">
        <v>36</v>
      </c>
      <c r="R197" s="320"/>
      <c r="S197" s="319">
        <v>2</v>
      </c>
      <c r="T197" s="320"/>
      <c r="U197" s="319">
        <v>0</v>
      </c>
      <c r="V197" s="320">
        <v>0</v>
      </c>
      <c r="W197" s="319">
        <v>36</v>
      </c>
      <c r="X197" s="320"/>
      <c r="Y197" s="319">
        <v>2</v>
      </c>
      <c r="Z197" s="320"/>
      <c r="AA197" s="319">
        <v>0</v>
      </c>
      <c r="AB197" s="320">
        <v>0</v>
      </c>
      <c r="AC197" s="319">
        <v>36</v>
      </c>
      <c r="AD197" s="320"/>
      <c r="AE197" s="319">
        <v>2</v>
      </c>
      <c r="AF197" s="320"/>
      <c r="AG197" s="319">
        <v>0</v>
      </c>
      <c r="AH197" s="320">
        <v>0</v>
      </c>
      <c r="AI197" s="319">
        <v>36</v>
      </c>
      <c r="AJ197" s="320"/>
      <c r="AK197" s="319">
        <v>2</v>
      </c>
      <c r="AL197" s="320"/>
      <c r="AM197" s="319">
        <v>0</v>
      </c>
      <c r="AN197" s="320">
        <v>0</v>
      </c>
      <c r="AO197" s="319">
        <v>36</v>
      </c>
      <c r="AP197" s="320"/>
      <c r="AQ197" s="319">
        <v>2</v>
      </c>
      <c r="AR197" s="320"/>
      <c r="AS197" s="319">
        <v>0</v>
      </c>
      <c r="AT197" s="320">
        <v>0</v>
      </c>
      <c r="AU197" s="319">
        <v>36</v>
      </c>
      <c r="AV197" s="320"/>
      <c r="AW197" s="319">
        <v>2</v>
      </c>
      <c r="AX197" s="320"/>
      <c r="AY197" s="319">
        <v>0</v>
      </c>
      <c r="AZ197" s="320">
        <v>0</v>
      </c>
      <c r="BA197" s="319">
        <v>36</v>
      </c>
      <c r="BB197" s="320"/>
      <c r="BC197" s="319">
        <v>2</v>
      </c>
      <c r="BD197" s="320"/>
      <c r="BE197" s="319">
        <v>0</v>
      </c>
      <c r="BF197" s="320">
        <v>0</v>
      </c>
      <c r="BG197" s="319">
        <v>36</v>
      </c>
      <c r="BH197" s="320"/>
      <c r="BI197" s="319">
        <v>2</v>
      </c>
      <c r="BJ197" s="320"/>
      <c r="BK197" s="319">
        <v>0</v>
      </c>
      <c r="BL197" s="320">
        <v>0</v>
      </c>
      <c r="BM197" s="319">
        <v>36</v>
      </c>
      <c r="BN197" s="320"/>
      <c r="BO197" s="319">
        <v>2</v>
      </c>
      <c r="BP197" s="320"/>
      <c r="BQ197" s="319">
        <v>0</v>
      </c>
      <c r="BR197" s="320">
        <v>0</v>
      </c>
      <c r="BS197" s="319">
        <v>36</v>
      </c>
      <c r="BT197" s="320"/>
      <c r="BU197" s="319">
        <v>2</v>
      </c>
      <c r="BV197" s="320"/>
      <c r="BW197" s="319">
        <v>0</v>
      </c>
      <c r="BX197" s="320">
        <v>0</v>
      </c>
      <c r="BY197" s="319">
        <v>36</v>
      </c>
      <c r="BZ197" s="320"/>
      <c r="CA197" s="319">
        <v>2</v>
      </c>
      <c r="CB197" s="320"/>
      <c r="CC197" s="319">
        <v>0</v>
      </c>
      <c r="CD197" s="320">
        <v>0</v>
      </c>
      <c r="CE197" s="319">
        <v>36</v>
      </c>
      <c r="CF197" s="320"/>
      <c r="CG197" s="319">
        <v>2</v>
      </c>
      <c r="CH197" s="320"/>
      <c r="CI197" s="319">
        <v>0</v>
      </c>
      <c r="CJ197" s="320">
        <v>0</v>
      </c>
      <c r="CK197" s="319">
        <v>36</v>
      </c>
      <c r="CL197" s="320"/>
      <c r="CM197" s="319">
        <v>2</v>
      </c>
      <c r="CN197" s="320"/>
      <c r="CO197" s="319">
        <v>0</v>
      </c>
      <c r="CP197" s="320">
        <v>0</v>
      </c>
      <c r="CQ197" s="319">
        <v>36</v>
      </c>
      <c r="CR197" s="320"/>
      <c r="CS197" s="319">
        <v>2</v>
      </c>
      <c r="CT197" s="320"/>
      <c r="CU197" s="319">
        <v>0</v>
      </c>
      <c r="CV197" s="320">
        <v>0</v>
      </c>
      <c r="CW197" s="319">
        <v>36</v>
      </c>
      <c r="CX197" s="320"/>
      <c r="CY197" s="319">
        <v>2</v>
      </c>
      <c r="CZ197" s="320"/>
      <c r="DA197" s="319">
        <v>0</v>
      </c>
      <c r="DB197" s="320">
        <v>0</v>
      </c>
      <c r="DC197" s="319">
        <v>36</v>
      </c>
      <c r="DD197" s="320"/>
      <c r="DE197" s="319">
        <v>2</v>
      </c>
      <c r="DF197" s="320"/>
      <c r="DG197" s="319">
        <v>0</v>
      </c>
      <c r="DH197" s="320">
        <v>0</v>
      </c>
      <c r="DI197" s="319">
        <v>36</v>
      </c>
      <c r="DJ197" s="320"/>
      <c r="DK197" s="319">
        <v>2</v>
      </c>
      <c r="DL197" s="320"/>
      <c r="DM197" s="319">
        <v>0</v>
      </c>
      <c r="DN197" s="320">
        <v>0</v>
      </c>
      <c r="DO197" s="319">
        <v>36</v>
      </c>
      <c r="DP197" s="320"/>
      <c r="DQ197" s="319">
        <v>2</v>
      </c>
      <c r="DR197" s="320"/>
      <c r="DS197" s="319">
        <v>0</v>
      </c>
      <c r="DT197" s="320">
        <v>0</v>
      </c>
      <c r="DU197" s="319">
        <v>36</v>
      </c>
      <c r="DV197" s="320"/>
      <c r="DW197" s="319">
        <v>2</v>
      </c>
      <c r="DX197" s="320"/>
      <c r="DY197" s="319">
        <v>0</v>
      </c>
      <c r="DZ197" s="320">
        <v>0</v>
      </c>
      <c r="EA197" s="319">
        <v>36</v>
      </c>
      <c r="EB197" s="320"/>
      <c r="EC197" s="319">
        <v>2</v>
      </c>
      <c r="ED197" s="320"/>
      <c r="EE197" s="319">
        <v>0</v>
      </c>
      <c r="EF197" s="320">
        <v>0</v>
      </c>
      <c r="EG197" s="319">
        <v>36</v>
      </c>
      <c r="EH197" s="320"/>
      <c r="EI197" s="319">
        <v>2</v>
      </c>
      <c r="EJ197" s="320"/>
      <c r="EK197" s="319">
        <v>0</v>
      </c>
      <c r="EL197" s="320">
        <v>0</v>
      </c>
      <c r="EM197" s="319">
        <v>36</v>
      </c>
      <c r="EN197" s="320"/>
      <c r="EO197" s="319">
        <v>2</v>
      </c>
      <c r="EP197" s="320"/>
      <c r="EQ197" s="319">
        <v>0</v>
      </c>
      <c r="ER197" s="320">
        <v>0</v>
      </c>
      <c r="ES197" s="319">
        <v>36</v>
      </c>
      <c r="ET197" s="320"/>
      <c r="EU197" s="319">
        <v>2</v>
      </c>
      <c r="EV197" s="320"/>
      <c r="EW197" s="319">
        <v>0</v>
      </c>
      <c r="EX197" s="320">
        <v>0</v>
      </c>
      <c r="EY197" s="319">
        <v>36</v>
      </c>
      <c r="EZ197" s="320"/>
      <c r="FA197" s="319">
        <v>2</v>
      </c>
      <c r="FB197" s="320"/>
      <c r="FC197" s="319">
        <v>0</v>
      </c>
      <c r="FD197" s="320">
        <v>0</v>
      </c>
      <c r="FE197" s="319">
        <v>36</v>
      </c>
      <c r="FF197" s="320"/>
      <c r="FG197" s="319">
        <v>2</v>
      </c>
      <c r="FH197" s="320"/>
      <c r="FI197" s="319">
        <v>0</v>
      </c>
      <c r="FJ197" s="320">
        <v>0</v>
      </c>
      <c r="FK197" s="319">
        <v>36</v>
      </c>
      <c r="FL197" s="320"/>
      <c r="FM197" s="319">
        <v>2</v>
      </c>
      <c r="FN197" s="320"/>
      <c r="FO197" s="319">
        <v>0</v>
      </c>
      <c r="FP197" s="320">
        <v>0</v>
      </c>
      <c r="FQ197" s="319">
        <v>36</v>
      </c>
      <c r="FR197" s="320"/>
      <c r="FS197" s="319">
        <v>2</v>
      </c>
      <c r="FT197" s="320"/>
      <c r="FU197" s="319">
        <v>0</v>
      </c>
      <c r="FV197" s="320">
        <v>0</v>
      </c>
      <c r="FW197" s="319">
        <v>36</v>
      </c>
      <c r="FX197" s="320"/>
      <c r="FY197" s="319">
        <v>2</v>
      </c>
      <c r="FZ197" s="320"/>
      <c r="GA197" s="319">
        <v>0</v>
      </c>
      <c r="GB197" s="320">
        <v>0</v>
      </c>
      <c r="GC197" s="319">
        <v>36</v>
      </c>
      <c r="GD197" s="320"/>
      <c r="GE197" s="319">
        <v>2</v>
      </c>
      <c r="GF197" s="320"/>
      <c r="GG197" s="319">
        <v>0</v>
      </c>
      <c r="GH197" s="320">
        <v>0</v>
      </c>
      <c r="GI197" s="319">
        <v>36</v>
      </c>
      <c r="GJ197" s="320"/>
      <c r="GK197" s="319">
        <v>2</v>
      </c>
      <c r="GL197" s="320"/>
      <c r="GM197" s="319">
        <v>0</v>
      </c>
      <c r="GN197" s="320">
        <v>0</v>
      </c>
      <c r="GO197" s="319">
        <v>36</v>
      </c>
      <c r="GP197" s="320"/>
      <c r="GQ197" s="319">
        <v>2</v>
      </c>
      <c r="GR197" s="320"/>
      <c r="GS197" s="319">
        <v>0</v>
      </c>
      <c r="GT197" s="320">
        <v>0</v>
      </c>
      <c r="GU197" s="319">
        <v>36</v>
      </c>
      <c r="GV197" s="320"/>
      <c r="GW197" s="319">
        <v>2</v>
      </c>
      <c r="GX197" s="320"/>
      <c r="GY197" s="319">
        <v>0</v>
      </c>
      <c r="GZ197" s="320">
        <v>0</v>
      </c>
    </row>
    <row r="198" spans="1:208" s="89" customFormat="1" ht="22.5" customHeight="1" x14ac:dyDescent="0.2">
      <c r="A198" s="287" t="s">
        <v>3328</v>
      </c>
      <c r="B198" s="288" t="s">
        <v>3329</v>
      </c>
      <c r="C198" s="294" t="s">
        <v>3170</v>
      </c>
      <c r="D198" s="290" t="s">
        <v>3330</v>
      </c>
      <c r="E198" s="290" t="s">
        <v>3331</v>
      </c>
      <c r="F198" s="295" t="s">
        <v>3166</v>
      </c>
      <c r="G198" s="295" t="s">
        <v>3167</v>
      </c>
      <c r="H198" s="292" t="s">
        <v>1528</v>
      </c>
      <c r="I198" s="293" t="s">
        <v>1528</v>
      </c>
      <c r="J198" s="340" t="s">
        <v>3168</v>
      </c>
      <c r="K198" s="341" t="s">
        <v>3172</v>
      </c>
      <c r="L198" s="256">
        <f>CONTINUA!BV198</f>
        <v>0</v>
      </c>
      <c r="M198" s="256">
        <f>CONTINUA!BW198</f>
        <v>0</v>
      </c>
      <c r="N198" s="564"/>
      <c r="O198" s="565" t="s">
        <v>3370</v>
      </c>
      <c r="P198" s="566">
        <v>0</v>
      </c>
      <c r="Q198" s="319">
        <v>0</v>
      </c>
      <c r="R198" s="320"/>
      <c r="S198" s="319">
        <v>0</v>
      </c>
      <c r="T198" s="320"/>
      <c r="U198" s="319">
        <v>0</v>
      </c>
      <c r="V198" s="320">
        <v>0</v>
      </c>
      <c r="W198" s="319">
        <v>0</v>
      </c>
      <c r="X198" s="320"/>
      <c r="Y198" s="319">
        <v>0</v>
      </c>
      <c r="Z198" s="320"/>
      <c r="AA198" s="319">
        <v>0</v>
      </c>
      <c r="AB198" s="320">
        <v>0</v>
      </c>
      <c r="AC198" s="319">
        <v>0</v>
      </c>
      <c r="AD198" s="320"/>
      <c r="AE198" s="319">
        <v>0</v>
      </c>
      <c r="AF198" s="320"/>
      <c r="AG198" s="319">
        <v>0</v>
      </c>
      <c r="AH198" s="320">
        <v>0</v>
      </c>
      <c r="AI198" s="319">
        <v>0</v>
      </c>
      <c r="AJ198" s="320"/>
      <c r="AK198" s="319">
        <v>0</v>
      </c>
      <c r="AL198" s="320"/>
      <c r="AM198" s="319">
        <v>0</v>
      </c>
      <c r="AN198" s="320">
        <v>0</v>
      </c>
      <c r="AO198" s="319">
        <v>0</v>
      </c>
      <c r="AP198" s="320"/>
      <c r="AQ198" s="319">
        <v>0</v>
      </c>
      <c r="AR198" s="320"/>
      <c r="AS198" s="319">
        <v>0</v>
      </c>
      <c r="AT198" s="320">
        <v>0</v>
      </c>
      <c r="AU198" s="319">
        <v>0</v>
      </c>
      <c r="AV198" s="320"/>
      <c r="AW198" s="319">
        <v>0</v>
      </c>
      <c r="AX198" s="320"/>
      <c r="AY198" s="319">
        <v>0</v>
      </c>
      <c r="AZ198" s="320">
        <v>0</v>
      </c>
      <c r="BA198" s="319">
        <v>0</v>
      </c>
      <c r="BB198" s="320"/>
      <c r="BC198" s="319">
        <v>0</v>
      </c>
      <c r="BD198" s="320"/>
      <c r="BE198" s="319">
        <v>0</v>
      </c>
      <c r="BF198" s="320">
        <v>0</v>
      </c>
      <c r="BG198" s="319">
        <v>0</v>
      </c>
      <c r="BH198" s="320"/>
      <c r="BI198" s="319">
        <v>0</v>
      </c>
      <c r="BJ198" s="320"/>
      <c r="BK198" s="319">
        <v>0</v>
      </c>
      <c r="BL198" s="320">
        <v>0</v>
      </c>
      <c r="BM198" s="319">
        <v>0</v>
      </c>
      <c r="BN198" s="320"/>
      <c r="BO198" s="319">
        <v>0</v>
      </c>
      <c r="BP198" s="320"/>
      <c r="BQ198" s="319">
        <v>0</v>
      </c>
      <c r="BR198" s="320">
        <v>0</v>
      </c>
      <c r="BS198" s="319">
        <v>0</v>
      </c>
      <c r="BT198" s="320"/>
      <c r="BU198" s="319">
        <v>0</v>
      </c>
      <c r="BV198" s="320"/>
      <c r="BW198" s="319">
        <v>0</v>
      </c>
      <c r="BX198" s="320">
        <v>0</v>
      </c>
      <c r="BY198" s="319">
        <v>0</v>
      </c>
      <c r="BZ198" s="320"/>
      <c r="CA198" s="319">
        <v>0</v>
      </c>
      <c r="CB198" s="320"/>
      <c r="CC198" s="319">
        <v>0</v>
      </c>
      <c r="CD198" s="320">
        <v>0</v>
      </c>
      <c r="CE198" s="319">
        <v>0</v>
      </c>
      <c r="CF198" s="320"/>
      <c r="CG198" s="319">
        <v>0</v>
      </c>
      <c r="CH198" s="320"/>
      <c r="CI198" s="319">
        <v>0</v>
      </c>
      <c r="CJ198" s="320">
        <v>0</v>
      </c>
      <c r="CK198" s="319">
        <v>0</v>
      </c>
      <c r="CL198" s="320"/>
      <c r="CM198" s="319">
        <v>0</v>
      </c>
      <c r="CN198" s="320"/>
      <c r="CO198" s="319">
        <v>0</v>
      </c>
      <c r="CP198" s="320">
        <v>0</v>
      </c>
      <c r="CQ198" s="319">
        <v>0</v>
      </c>
      <c r="CR198" s="320"/>
      <c r="CS198" s="319">
        <v>0</v>
      </c>
      <c r="CT198" s="320"/>
      <c r="CU198" s="319">
        <v>0</v>
      </c>
      <c r="CV198" s="320">
        <v>0</v>
      </c>
      <c r="CW198" s="319">
        <v>0</v>
      </c>
      <c r="CX198" s="320"/>
      <c r="CY198" s="319">
        <v>0</v>
      </c>
      <c r="CZ198" s="320"/>
      <c r="DA198" s="319">
        <v>0</v>
      </c>
      <c r="DB198" s="320">
        <v>0</v>
      </c>
      <c r="DC198" s="319">
        <v>0</v>
      </c>
      <c r="DD198" s="320"/>
      <c r="DE198" s="319">
        <v>0</v>
      </c>
      <c r="DF198" s="320"/>
      <c r="DG198" s="319">
        <v>0</v>
      </c>
      <c r="DH198" s="320">
        <v>0</v>
      </c>
      <c r="DI198" s="319">
        <v>0</v>
      </c>
      <c r="DJ198" s="320"/>
      <c r="DK198" s="319">
        <v>0</v>
      </c>
      <c r="DL198" s="320"/>
      <c r="DM198" s="319">
        <v>0</v>
      </c>
      <c r="DN198" s="320">
        <v>0</v>
      </c>
      <c r="DO198" s="319">
        <v>0</v>
      </c>
      <c r="DP198" s="320"/>
      <c r="DQ198" s="319">
        <v>0</v>
      </c>
      <c r="DR198" s="320"/>
      <c r="DS198" s="319">
        <v>0</v>
      </c>
      <c r="DT198" s="320">
        <v>0</v>
      </c>
      <c r="DU198" s="319">
        <v>0</v>
      </c>
      <c r="DV198" s="320"/>
      <c r="DW198" s="319">
        <v>0</v>
      </c>
      <c r="DX198" s="320"/>
      <c r="DY198" s="319">
        <v>0</v>
      </c>
      <c r="DZ198" s="320">
        <v>0</v>
      </c>
      <c r="EA198" s="319">
        <v>0</v>
      </c>
      <c r="EB198" s="320"/>
      <c r="EC198" s="319">
        <v>0</v>
      </c>
      <c r="ED198" s="320"/>
      <c r="EE198" s="319">
        <v>0</v>
      </c>
      <c r="EF198" s="320">
        <v>0</v>
      </c>
      <c r="EG198" s="319">
        <v>0</v>
      </c>
      <c r="EH198" s="320"/>
      <c r="EI198" s="319">
        <v>0</v>
      </c>
      <c r="EJ198" s="320"/>
      <c r="EK198" s="319">
        <v>0</v>
      </c>
      <c r="EL198" s="320">
        <v>0</v>
      </c>
      <c r="EM198" s="319">
        <v>0</v>
      </c>
      <c r="EN198" s="320"/>
      <c r="EO198" s="319">
        <v>0</v>
      </c>
      <c r="EP198" s="320"/>
      <c r="EQ198" s="319">
        <v>0</v>
      </c>
      <c r="ER198" s="320">
        <v>0</v>
      </c>
      <c r="ES198" s="319">
        <v>0</v>
      </c>
      <c r="ET198" s="320"/>
      <c r="EU198" s="319">
        <v>0</v>
      </c>
      <c r="EV198" s="320"/>
      <c r="EW198" s="319">
        <v>0</v>
      </c>
      <c r="EX198" s="320">
        <v>0</v>
      </c>
      <c r="EY198" s="319">
        <v>0</v>
      </c>
      <c r="EZ198" s="320"/>
      <c r="FA198" s="319">
        <v>0</v>
      </c>
      <c r="FB198" s="320"/>
      <c r="FC198" s="319">
        <v>0</v>
      </c>
      <c r="FD198" s="320">
        <v>0</v>
      </c>
      <c r="FE198" s="319">
        <v>0</v>
      </c>
      <c r="FF198" s="320"/>
      <c r="FG198" s="319">
        <v>0</v>
      </c>
      <c r="FH198" s="320"/>
      <c r="FI198" s="319">
        <v>0</v>
      </c>
      <c r="FJ198" s="320">
        <v>0</v>
      </c>
      <c r="FK198" s="319">
        <v>0</v>
      </c>
      <c r="FL198" s="320"/>
      <c r="FM198" s="319">
        <v>0</v>
      </c>
      <c r="FN198" s="320"/>
      <c r="FO198" s="319">
        <v>0</v>
      </c>
      <c r="FP198" s="320">
        <v>0</v>
      </c>
      <c r="FQ198" s="319">
        <v>0</v>
      </c>
      <c r="FR198" s="320"/>
      <c r="FS198" s="319">
        <v>0</v>
      </c>
      <c r="FT198" s="320"/>
      <c r="FU198" s="319">
        <v>0</v>
      </c>
      <c r="FV198" s="320">
        <v>0</v>
      </c>
      <c r="FW198" s="319">
        <v>0</v>
      </c>
      <c r="FX198" s="320"/>
      <c r="FY198" s="319">
        <v>0</v>
      </c>
      <c r="FZ198" s="320"/>
      <c r="GA198" s="319">
        <v>0</v>
      </c>
      <c r="GB198" s="320">
        <v>0</v>
      </c>
      <c r="GC198" s="319">
        <v>0</v>
      </c>
      <c r="GD198" s="320"/>
      <c r="GE198" s="319">
        <v>0</v>
      </c>
      <c r="GF198" s="320"/>
      <c r="GG198" s="319">
        <v>0</v>
      </c>
      <c r="GH198" s="320">
        <v>0</v>
      </c>
      <c r="GI198" s="319">
        <v>0</v>
      </c>
      <c r="GJ198" s="320"/>
      <c r="GK198" s="319">
        <v>0</v>
      </c>
      <c r="GL198" s="320"/>
      <c r="GM198" s="319">
        <v>0</v>
      </c>
      <c r="GN198" s="320">
        <v>0</v>
      </c>
      <c r="GO198" s="319">
        <v>0</v>
      </c>
      <c r="GP198" s="320"/>
      <c r="GQ198" s="319">
        <v>0</v>
      </c>
      <c r="GR198" s="320"/>
      <c r="GS198" s="319">
        <v>0</v>
      </c>
      <c r="GT198" s="320">
        <v>0</v>
      </c>
      <c r="GU198" s="319">
        <v>0</v>
      </c>
      <c r="GV198" s="320"/>
      <c r="GW198" s="319">
        <v>0</v>
      </c>
      <c r="GX198" s="320"/>
      <c r="GY198" s="319">
        <v>0</v>
      </c>
      <c r="GZ198" s="320">
        <v>0</v>
      </c>
    </row>
    <row r="199" spans="1:208" s="89" customFormat="1" ht="22.5" customHeight="1" x14ac:dyDescent="0.2">
      <c r="A199" s="287" t="s">
        <v>3328</v>
      </c>
      <c r="B199" s="288" t="s">
        <v>3329</v>
      </c>
      <c r="C199" s="294" t="s">
        <v>3170</v>
      </c>
      <c r="D199" s="290" t="s">
        <v>3330</v>
      </c>
      <c r="E199" s="290" t="s">
        <v>3331</v>
      </c>
      <c r="F199" s="295" t="s">
        <v>3166</v>
      </c>
      <c r="G199" s="295" t="s">
        <v>3167</v>
      </c>
      <c r="H199" s="292" t="s">
        <v>1528</v>
      </c>
      <c r="I199" s="293" t="s">
        <v>1528</v>
      </c>
      <c r="J199" s="340" t="s">
        <v>3168</v>
      </c>
      <c r="K199" s="342" t="s">
        <v>3173</v>
      </c>
      <c r="L199" s="256">
        <f>CONTINUA!BV199</f>
        <v>0</v>
      </c>
      <c r="M199" s="256">
        <f>CONTINUA!BW199</f>
        <v>0</v>
      </c>
      <c r="N199" s="564"/>
      <c r="O199" s="565" t="s">
        <v>3370</v>
      </c>
      <c r="P199" s="566">
        <v>0</v>
      </c>
      <c r="Q199" s="319">
        <v>0</v>
      </c>
      <c r="R199" s="320"/>
      <c r="S199" s="319">
        <v>0</v>
      </c>
      <c r="T199" s="320"/>
      <c r="U199" s="319">
        <v>0</v>
      </c>
      <c r="V199" s="320">
        <v>0</v>
      </c>
      <c r="W199" s="319">
        <v>0</v>
      </c>
      <c r="X199" s="320"/>
      <c r="Y199" s="319">
        <v>0</v>
      </c>
      <c r="Z199" s="320"/>
      <c r="AA199" s="319">
        <v>0</v>
      </c>
      <c r="AB199" s="320">
        <v>0</v>
      </c>
      <c r="AC199" s="319">
        <v>0</v>
      </c>
      <c r="AD199" s="320"/>
      <c r="AE199" s="319">
        <v>0</v>
      </c>
      <c r="AF199" s="320"/>
      <c r="AG199" s="319">
        <v>0</v>
      </c>
      <c r="AH199" s="320">
        <v>0</v>
      </c>
      <c r="AI199" s="319">
        <v>0</v>
      </c>
      <c r="AJ199" s="320"/>
      <c r="AK199" s="319">
        <v>0</v>
      </c>
      <c r="AL199" s="320"/>
      <c r="AM199" s="319">
        <v>0</v>
      </c>
      <c r="AN199" s="320">
        <v>0</v>
      </c>
      <c r="AO199" s="319">
        <v>0</v>
      </c>
      <c r="AP199" s="320"/>
      <c r="AQ199" s="319">
        <v>0</v>
      </c>
      <c r="AR199" s="320"/>
      <c r="AS199" s="319">
        <v>0</v>
      </c>
      <c r="AT199" s="320">
        <v>0</v>
      </c>
      <c r="AU199" s="319">
        <v>0</v>
      </c>
      <c r="AV199" s="320"/>
      <c r="AW199" s="319">
        <v>0</v>
      </c>
      <c r="AX199" s="320"/>
      <c r="AY199" s="319">
        <v>0</v>
      </c>
      <c r="AZ199" s="320">
        <v>0</v>
      </c>
      <c r="BA199" s="319">
        <v>0</v>
      </c>
      <c r="BB199" s="320"/>
      <c r="BC199" s="319">
        <v>0</v>
      </c>
      <c r="BD199" s="320"/>
      <c r="BE199" s="319">
        <v>0</v>
      </c>
      <c r="BF199" s="320">
        <v>0</v>
      </c>
      <c r="BG199" s="319">
        <v>0</v>
      </c>
      <c r="BH199" s="320"/>
      <c r="BI199" s="319">
        <v>0</v>
      </c>
      <c r="BJ199" s="320"/>
      <c r="BK199" s="319">
        <v>0</v>
      </c>
      <c r="BL199" s="320">
        <v>0</v>
      </c>
      <c r="BM199" s="319">
        <v>0</v>
      </c>
      <c r="BN199" s="320"/>
      <c r="BO199" s="319">
        <v>0</v>
      </c>
      <c r="BP199" s="320"/>
      <c r="BQ199" s="319">
        <v>0</v>
      </c>
      <c r="BR199" s="320">
        <v>0</v>
      </c>
      <c r="BS199" s="319">
        <v>0</v>
      </c>
      <c r="BT199" s="320"/>
      <c r="BU199" s="319">
        <v>0</v>
      </c>
      <c r="BV199" s="320"/>
      <c r="BW199" s="319">
        <v>0</v>
      </c>
      <c r="BX199" s="320">
        <v>0</v>
      </c>
      <c r="BY199" s="319">
        <v>0</v>
      </c>
      <c r="BZ199" s="320"/>
      <c r="CA199" s="319">
        <v>0</v>
      </c>
      <c r="CB199" s="320"/>
      <c r="CC199" s="319">
        <v>0</v>
      </c>
      <c r="CD199" s="320">
        <v>0</v>
      </c>
      <c r="CE199" s="319">
        <v>0</v>
      </c>
      <c r="CF199" s="320"/>
      <c r="CG199" s="319">
        <v>0</v>
      </c>
      <c r="CH199" s="320"/>
      <c r="CI199" s="319">
        <v>0</v>
      </c>
      <c r="CJ199" s="320">
        <v>0</v>
      </c>
      <c r="CK199" s="319">
        <v>0</v>
      </c>
      <c r="CL199" s="320"/>
      <c r="CM199" s="319">
        <v>0</v>
      </c>
      <c r="CN199" s="320"/>
      <c r="CO199" s="319">
        <v>0</v>
      </c>
      <c r="CP199" s="320">
        <v>0</v>
      </c>
      <c r="CQ199" s="319">
        <v>0</v>
      </c>
      <c r="CR199" s="320"/>
      <c r="CS199" s="319">
        <v>0</v>
      </c>
      <c r="CT199" s="320"/>
      <c r="CU199" s="319">
        <v>0</v>
      </c>
      <c r="CV199" s="320">
        <v>0</v>
      </c>
      <c r="CW199" s="319">
        <v>0</v>
      </c>
      <c r="CX199" s="320"/>
      <c r="CY199" s="319">
        <v>0</v>
      </c>
      <c r="CZ199" s="320"/>
      <c r="DA199" s="319">
        <v>0</v>
      </c>
      <c r="DB199" s="320">
        <v>0</v>
      </c>
      <c r="DC199" s="319">
        <v>0</v>
      </c>
      <c r="DD199" s="320"/>
      <c r="DE199" s="319">
        <v>0</v>
      </c>
      <c r="DF199" s="320"/>
      <c r="DG199" s="319">
        <v>0</v>
      </c>
      <c r="DH199" s="320">
        <v>0</v>
      </c>
      <c r="DI199" s="319">
        <v>0</v>
      </c>
      <c r="DJ199" s="320"/>
      <c r="DK199" s="319">
        <v>0</v>
      </c>
      <c r="DL199" s="320"/>
      <c r="DM199" s="319">
        <v>0</v>
      </c>
      <c r="DN199" s="320">
        <v>0</v>
      </c>
      <c r="DO199" s="319">
        <v>0</v>
      </c>
      <c r="DP199" s="320"/>
      <c r="DQ199" s="319">
        <v>0</v>
      </c>
      <c r="DR199" s="320"/>
      <c r="DS199" s="319">
        <v>0</v>
      </c>
      <c r="DT199" s="320">
        <v>0</v>
      </c>
      <c r="DU199" s="319">
        <v>0</v>
      </c>
      <c r="DV199" s="320"/>
      <c r="DW199" s="319">
        <v>0</v>
      </c>
      <c r="DX199" s="320"/>
      <c r="DY199" s="319">
        <v>0</v>
      </c>
      <c r="DZ199" s="320">
        <v>0</v>
      </c>
      <c r="EA199" s="319">
        <v>0</v>
      </c>
      <c r="EB199" s="320"/>
      <c r="EC199" s="319">
        <v>0</v>
      </c>
      <c r="ED199" s="320"/>
      <c r="EE199" s="319">
        <v>0</v>
      </c>
      <c r="EF199" s="320">
        <v>0</v>
      </c>
      <c r="EG199" s="319">
        <v>0</v>
      </c>
      <c r="EH199" s="320"/>
      <c r="EI199" s="319">
        <v>0</v>
      </c>
      <c r="EJ199" s="320"/>
      <c r="EK199" s="319">
        <v>0</v>
      </c>
      <c r="EL199" s="320">
        <v>0</v>
      </c>
      <c r="EM199" s="319">
        <v>0</v>
      </c>
      <c r="EN199" s="320"/>
      <c r="EO199" s="319">
        <v>0</v>
      </c>
      <c r="EP199" s="320"/>
      <c r="EQ199" s="319">
        <v>0</v>
      </c>
      <c r="ER199" s="320">
        <v>0</v>
      </c>
      <c r="ES199" s="319">
        <v>0</v>
      </c>
      <c r="ET199" s="320"/>
      <c r="EU199" s="319">
        <v>0</v>
      </c>
      <c r="EV199" s="320"/>
      <c r="EW199" s="319">
        <v>0</v>
      </c>
      <c r="EX199" s="320">
        <v>0</v>
      </c>
      <c r="EY199" s="319">
        <v>0</v>
      </c>
      <c r="EZ199" s="320"/>
      <c r="FA199" s="319">
        <v>0</v>
      </c>
      <c r="FB199" s="320"/>
      <c r="FC199" s="319">
        <v>0</v>
      </c>
      <c r="FD199" s="320">
        <v>0</v>
      </c>
      <c r="FE199" s="319">
        <v>0</v>
      </c>
      <c r="FF199" s="320"/>
      <c r="FG199" s="319">
        <v>0</v>
      </c>
      <c r="FH199" s="320"/>
      <c r="FI199" s="319">
        <v>0</v>
      </c>
      <c r="FJ199" s="320">
        <v>0</v>
      </c>
      <c r="FK199" s="319">
        <v>0</v>
      </c>
      <c r="FL199" s="320"/>
      <c r="FM199" s="319">
        <v>0</v>
      </c>
      <c r="FN199" s="320"/>
      <c r="FO199" s="319">
        <v>0</v>
      </c>
      <c r="FP199" s="320">
        <v>0</v>
      </c>
      <c r="FQ199" s="319">
        <v>0</v>
      </c>
      <c r="FR199" s="320"/>
      <c r="FS199" s="319">
        <v>0</v>
      </c>
      <c r="FT199" s="320"/>
      <c r="FU199" s="319">
        <v>0</v>
      </c>
      <c r="FV199" s="320">
        <v>0</v>
      </c>
      <c r="FW199" s="319">
        <v>0</v>
      </c>
      <c r="FX199" s="320"/>
      <c r="FY199" s="319">
        <v>0</v>
      </c>
      <c r="FZ199" s="320"/>
      <c r="GA199" s="319">
        <v>0</v>
      </c>
      <c r="GB199" s="320">
        <v>0</v>
      </c>
      <c r="GC199" s="319">
        <v>0</v>
      </c>
      <c r="GD199" s="320"/>
      <c r="GE199" s="319">
        <v>0</v>
      </c>
      <c r="GF199" s="320"/>
      <c r="GG199" s="319">
        <v>0</v>
      </c>
      <c r="GH199" s="320">
        <v>0</v>
      </c>
      <c r="GI199" s="319">
        <v>0</v>
      </c>
      <c r="GJ199" s="320"/>
      <c r="GK199" s="319">
        <v>0</v>
      </c>
      <c r="GL199" s="320"/>
      <c r="GM199" s="319">
        <v>0</v>
      </c>
      <c r="GN199" s="320">
        <v>0</v>
      </c>
      <c r="GO199" s="319">
        <v>0</v>
      </c>
      <c r="GP199" s="320"/>
      <c r="GQ199" s="319">
        <v>0</v>
      </c>
      <c r="GR199" s="320"/>
      <c r="GS199" s="319">
        <v>0</v>
      </c>
      <c r="GT199" s="320">
        <v>0</v>
      </c>
      <c r="GU199" s="319">
        <v>0</v>
      </c>
      <c r="GV199" s="320"/>
      <c r="GW199" s="319">
        <v>0</v>
      </c>
      <c r="GX199" s="320"/>
      <c r="GY199" s="319">
        <v>0</v>
      </c>
      <c r="GZ199" s="320">
        <v>0</v>
      </c>
    </row>
    <row r="200" spans="1:208" s="89" customFormat="1" ht="22.5" customHeight="1" thickBot="1" x14ac:dyDescent="0.25">
      <c r="A200" s="296" t="s">
        <v>3328</v>
      </c>
      <c r="B200" s="297" t="s">
        <v>3329</v>
      </c>
      <c r="C200" s="298" t="s">
        <v>3170</v>
      </c>
      <c r="D200" s="299" t="s">
        <v>3330</v>
      </c>
      <c r="E200" s="299" t="s">
        <v>3331</v>
      </c>
      <c r="F200" s="300" t="s">
        <v>3166</v>
      </c>
      <c r="G200" s="300" t="s">
        <v>3167</v>
      </c>
      <c r="H200" s="301" t="s">
        <v>1528</v>
      </c>
      <c r="I200" s="302" t="s">
        <v>1528</v>
      </c>
      <c r="J200" s="340" t="s">
        <v>3168</v>
      </c>
      <c r="K200" s="343" t="s">
        <v>53</v>
      </c>
      <c r="L200" s="256">
        <f>CONTINUA!BV200</f>
        <v>0</v>
      </c>
      <c r="M200" s="256">
        <f>CONTINUA!BW200</f>
        <v>0</v>
      </c>
      <c r="N200" s="564"/>
      <c r="O200" s="565" t="s">
        <v>3370</v>
      </c>
      <c r="P200" s="566">
        <v>0</v>
      </c>
      <c r="Q200" s="319">
        <v>0</v>
      </c>
      <c r="R200" s="320"/>
      <c r="S200" s="319">
        <v>0</v>
      </c>
      <c r="T200" s="320"/>
      <c r="U200" s="321">
        <v>0</v>
      </c>
      <c r="V200" s="322">
        <v>0</v>
      </c>
      <c r="W200" s="319">
        <v>0</v>
      </c>
      <c r="X200" s="320"/>
      <c r="Y200" s="319">
        <v>0</v>
      </c>
      <c r="Z200" s="320"/>
      <c r="AA200" s="321">
        <v>0</v>
      </c>
      <c r="AB200" s="322">
        <v>0</v>
      </c>
      <c r="AC200" s="319">
        <v>0</v>
      </c>
      <c r="AD200" s="320"/>
      <c r="AE200" s="319">
        <v>0</v>
      </c>
      <c r="AF200" s="320"/>
      <c r="AG200" s="321">
        <v>0</v>
      </c>
      <c r="AH200" s="322">
        <v>0</v>
      </c>
      <c r="AI200" s="319">
        <v>0</v>
      </c>
      <c r="AJ200" s="320"/>
      <c r="AK200" s="319">
        <v>0</v>
      </c>
      <c r="AL200" s="320"/>
      <c r="AM200" s="321">
        <v>0</v>
      </c>
      <c r="AN200" s="322">
        <v>0</v>
      </c>
      <c r="AO200" s="319">
        <v>0</v>
      </c>
      <c r="AP200" s="320"/>
      <c r="AQ200" s="319">
        <v>0</v>
      </c>
      <c r="AR200" s="320"/>
      <c r="AS200" s="321">
        <v>0</v>
      </c>
      <c r="AT200" s="322">
        <v>0</v>
      </c>
      <c r="AU200" s="319">
        <v>0</v>
      </c>
      <c r="AV200" s="320"/>
      <c r="AW200" s="319">
        <v>0</v>
      </c>
      <c r="AX200" s="320"/>
      <c r="AY200" s="321">
        <v>0</v>
      </c>
      <c r="AZ200" s="322">
        <v>0</v>
      </c>
      <c r="BA200" s="319">
        <v>0</v>
      </c>
      <c r="BB200" s="320"/>
      <c r="BC200" s="319">
        <v>0</v>
      </c>
      <c r="BD200" s="320"/>
      <c r="BE200" s="321">
        <v>0</v>
      </c>
      <c r="BF200" s="322">
        <v>0</v>
      </c>
      <c r="BG200" s="319">
        <v>0</v>
      </c>
      <c r="BH200" s="320"/>
      <c r="BI200" s="319">
        <v>0</v>
      </c>
      <c r="BJ200" s="320"/>
      <c r="BK200" s="321">
        <v>0</v>
      </c>
      <c r="BL200" s="322">
        <v>0</v>
      </c>
      <c r="BM200" s="319">
        <v>0</v>
      </c>
      <c r="BN200" s="320"/>
      <c r="BO200" s="319">
        <v>0</v>
      </c>
      <c r="BP200" s="320"/>
      <c r="BQ200" s="321">
        <v>0</v>
      </c>
      <c r="BR200" s="322">
        <v>0</v>
      </c>
      <c r="BS200" s="319">
        <v>0</v>
      </c>
      <c r="BT200" s="320"/>
      <c r="BU200" s="319">
        <v>0</v>
      </c>
      <c r="BV200" s="320"/>
      <c r="BW200" s="321">
        <v>0</v>
      </c>
      <c r="BX200" s="322">
        <v>0</v>
      </c>
      <c r="BY200" s="319">
        <v>0</v>
      </c>
      <c r="BZ200" s="320"/>
      <c r="CA200" s="319">
        <v>0</v>
      </c>
      <c r="CB200" s="320"/>
      <c r="CC200" s="321">
        <v>0</v>
      </c>
      <c r="CD200" s="322">
        <v>0</v>
      </c>
      <c r="CE200" s="319">
        <v>0</v>
      </c>
      <c r="CF200" s="320"/>
      <c r="CG200" s="319">
        <v>0</v>
      </c>
      <c r="CH200" s="320"/>
      <c r="CI200" s="321">
        <v>0</v>
      </c>
      <c r="CJ200" s="322">
        <v>0</v>
      </c>
      <c r="CK200" s="319">
        <v>0</v>
      </c>
      <c r="CL200" s="320"/>
      <c r="CM200" s="319">
        <v>0</v>
      </c>
      <c r="CN200" s="320"/>
      <c r="CO200" s="321">
        <v>0</v>
      </c>
      <c r="CP200" s="322">
        <v>0</v>
      </c>
      <c r="CQ200" s="319">
        <v>0</v>
      </c>
      <c r="CR200" s="320"/>
      <c r="CS200" s="319">
        <v>0</v>
      </c>
      <c r="CT200" s="320"/>
      <c r="CU200" s="321">
        <v>0</v>
      </c>
      <c r="CV200" s="322">
        <v>0</v>
      </c>
      <c r="CW200" s="319">
        <v>0</v>
      </c>
      <c r="CX200" s="320"/>
      <c r="CY200" s="319">
        <v>0</v>
      </c>
      <c r="CZ200" s="320"/>
      <c r="DA200" s="321">
        <v>0</v>
      </c>
      <c r="DB200" s="322">
        <v>0</v>
      </c>
      <c r="DC200" s="319">
        <v>0</v>
      </c>
      <c r="DD200" s="320"/>
      <c r="DE200" s="319">
        <v>0</v>
      </c>
      <c r="DF200" s="320"/>
      <c r="DG200" s="321">
        <v>0</v>
      </c>
      <c r="DH200" s="322">
        <v>0</v>
      </c>
      <c r="DI200" s="319">
        <v>0</v>
      </c>
      <c r="DJ200" s="320"/>
      <c r="DK200" s="319">
        <v>0</v>
      </c>
      <c r="DL200" s="320"/>
      <c r="DM200" s="321">
        <v>0</v>
      </c>
      <c r="DN200" s="322">
        <v>0</v>
      </c>
      <c r="DO200" s="319">
        <v>0</v>
      </c>
      <c r="DP200" s="320"/>
      <c r="DQ200" s="319">
        <v>0</v>
      </c>
      <c r="DR200" s="320"/>
      <c r="DS200" s="321">
        <v>0</v>
      </c>
      <c r="DT200" s="322">
        <v>0</v>
      </c>
      <c r="DU200" s="319">
        <v>0</v>
      </c>
      <c r="DV200" s="320"/>
      <c r="DW200" s="319">
        <v>0</v>
      </c>
      <c r="DX200" s="320"/>
      <c r="DY200" s="321">
        <v>0</v>
      </c>
      <c r="DZ200" s="322">
        <v>0</v>
      </c>
      <c r="EA200" s="319">
        <v>0</v>
      </c>
      <c r="EB200" s="320"/>
      <c r="EC200" s="319">
        <v>0</v>
      </c>
      <c r="ED200" s="320"/>
      <c r="EE200" s="321">
        <v>0</v>
      </c>
      <c r="EF200" s="322">
        <v>0</v>
      </c>
      <c r="EG200" s="319">
        <v>0</v>
      </c>
      <c r="EH200" s="320"/>
      <c r="EI200" s="319">
        <v>0</v>
      </c>
      <c r="EJ200" s="320"/>
      <c r="EK200" s="321">
        <v>0</v>
      </c>
      <c r="EL200" s="322">
        <v>0</v>
      </c>
      <c r="EM200" s="319">
        <v>0</v>
      </c>
      <c r="EN200" s="320"/>
      <c r="EO200" s="319">
        <v>0</v>
      </c>
      <c r="EP200" s="320"/>
      <c r="EQ200" s="321">
        <v>0</v>
      </c>
      <c r="ER200" s="322">
        <v>0</v>
      </c>
      <c r="ES200" s="319">
        <v>0</v>
      </c>
      <c r="ET200" s="320"/>
      <c r="EU200" s="319">
        <v>0</v>
      </c>
      <c r="EV200" s="320"/>
      <c r="EW200" s="321">
        <v>0</v>
      </c>
      <c r="EX200" s="322">
        <v>0</v>
      </c>
      <c r="EY200" s="319">
        <v>0</v>
      </c>
      <c r="EZ200" s="320"/>
      <c r="FA200" s="319">
        <v>0</v>
      </c>
      <c r="FB200" s="320"/>
      <c r="FC200" s="321">
        <v>0</v>
      </c>
      <c r="FD200" s="322">
        <v>0</v>
      </c>
      <c r="FE200" s="319">
        <v>0</v>
      </c>
      <c r="FF200" s="320"/>
      <c r="FG200" s="319">
        <v>0</v>
      </c>
      <c r="FH200" s="320"/>
      <c r="FI200" s="321">
        <v>0</v>
      </c>
      <c r="FJ200" s="322">
        <v>0</v>
      </c>
      <c r="FK200" s="319">
        <v>0</v>
      </c>
      <c r="FL200" s="320"/>
      <c r="FM200" s="319">
        <v>0</v>
      </c>
      <c r="FN200" s="320"/>
      <c r="FO200" s="321">
        <v>0</v>
      </c>
      <c r="FP200" s="322">
        <v>0</v>
      </c>
      <c r="FQ200" s="319">
        <v>0</v>
      </c>
      <c r="FR200" s="320"/>
      <c r="FS200" s="319">
        <v>0</v>
      </c>
      <c r="FT200" s="320"/>
      <c r="FU200" s="321">
        <v>0</v>
      </c>
      <c r="FV200" s="322">
        <v>0</v>
      </c>
      <c r="FW200" s="319">
        <v>0</v>
      </c>
      <c r="FX200" s="320"/>
      <c r="FY200" s="319">
        <v>0</v>
      </c>
      <c r="FZ200" s="320"/>
      <c r="GA200" s="321">
        <v>0</v>
      </c>
      <c r="GB200" s="322">
        <v>0</v>
      </c>
      <c r="GC200" s="319">
        <v>0</v>
      </c>
      <c r="GD200" s="320"/>
      <c r="GE200" s="319">
        <v>0</v>
      </c>
      <c r="GF200" s="320"/>
      <c r="GG200" s="321">
        <v>0</v>
      </c>
      <c r="GH200" s="322">
        <v>0</v>
      </c>
      <c r="GI200" s="319">
        <v>0</v>
      </c>
      <c r="GJ200" s="320"/>
      <c r="GK200" s="319">
        <v>0</v>
      </c>
      <c r="GL200" s="320"/>
      <c r="GM200" s="321">
        <v>0</v>
      </c>
      <c r="GN200" s="322">
        <v>0</v>
      </c>
      <c r="GO200" s="319">
        <v>0</v>
      </c>
      <c r="GP200" s="320"/>
      <c r="GQ200" s="319">
        <v>0</v>
      </c>
      <c r="GR200" s="320"/>
      <c r="GS200" s="321">
        <v>0</v>
      </c>
      <c r="GT200" s="322">
        <v>0</v>
      </c>
      <c r="GU200" s="319">
        <v>0</v>
      </c>
      <c r="GV200" s="320"/>
      <c r="GW200" s="319">
        <v>0</v>
      </c>
      <c r="GX200" s="320"/>
      <c r="GY200" s="321">
        <v>0</v>
      </c>
      <c r="GZ200" s="322">
        <v>0</v>
      </c>
    </row>
    <row r="201" spans="1:208" ht="14.25" x14ac:dyDescent="0.2">
      <c r="G201" s="6"/>
      <c r="H201" s="6"/>
      <c r="I201" s="6"/>
      <c r="J201" s="6"/>
      <c r="K201" s="6"/>
      <c r="L201" s="6">
        <f t="shared" ref="L201:P202" si="1">K201+1</f>
        <v>1</v>
      </c>
      <c r="M201" s="6">
        <f t="shared" si="1"/>
        <v>2</v>
      </c>
      <c r="N201" s="6">
        <f t="shared" si="1"/>
        <v>3</v>
      </c>
      <c r="O201" s="6">
        <f t="shared" si="1"/>
        <v>4</v>
      </c>
      <c r="P201" s="6">
        <f t="shared" si="1"/>
        <v>5</v>
      </c>
      <c r="Q201" s="6"/>
      <c r="R201" s="6"/>
      <c r="S201" s="6"/>
      <c r="T201" s="6"/>
      <c r="U201" s="262"/>
      <c r="V201" s="263"/>
      <c r="W201" s="6"/>
      <c r="X201" s="6"/>
      <c r="Y201" s="6"/>
      <c r="Z201" s="6"/>
      <c r="AA201" s="262"/>
      <c r="AB201" s="263"/>
      <c r="AC201" s="6"/>
      <c r="AD201" s="6"/>
      <c r="AE201" s="6"/>
      <c r="AF201" s="6"/>
      <c r="AG201" s="262"/>
      <c r="AH201" s="263"/>
      <c r="AI201" s="6"/>
      <c r="AJ201" s="6"/>
      <c r="AK201" s="6"/>
      <c r="AL201" s="6"/>
      <c r="AM201" s="262"/>
      <c r="AN201" s="263"/>
      <c r="AO201" s="6"/>
      <c r="AP201" s="6"/>
      <c r="AQ201" s="6"/>
      <c r="AR201" s="6"/>
      <c r="AS201" s="262"/>
      <c r="AT201" s="263"/>
      <c r="AU201" s="6"/>
      <c r="AV201" s="6"/>
      <c r="AW201" s="6"/>
      <c r="AX201" s="6"/>
      <c r="AY201" s="262"/>
      <c r="AZ201" s="263"/>
      <c r="BA201" s="6"/>
      <c r="BB201" s="6"/>
      <c r="BC201" s="6"/>
      <c r="BD201" s="6"/>
      <c r="BE201" s="262"/>
      <c r="BF201" s="263"/>
      <c r="BG201" s="6"/>
      <c r="BH201" s="6"/>
      <c r="BI201" s="6"/>
      <c r="BJ201" s="6"/>
      <c r="BK201" s="262"/>
      <c r="BL201" s="263"/>
      <c r="BM201" s="6"/>
      <c r="BN201" s="6"/>
      <c r="BO201" s="6"/>
      <c r="BP201" s="6"/>
      <c r="BQ201" s="262"/>
      <c r="BR201" s="263"/>
      <c r="BS201" s="6"/>
      <c r="BT201" s="6"/>
      <c r="BU201" s="6"/>
      <c r="BV201" s="6"/>
      <c r="BW201" s="262"/>
      <c r="BX201" s="263"/>
      <c r="BY201" s="6"/>
      <c r="BZ201" s="6"/>
      <c r="CA201" s="6"/>
      <c r="CB201" s="6"/>
      <c r="CC201" s="262"/>
      <c r="CD201" s="263"/>
      <c r="CE201" s="6"/>
      <c r="CF201" s="6"/>
      <c r="CG201" s="6"/>
      <c r="CH201" s="6"/>
      <c r="CI201" s="262"/>
      <c r="CJ201" s="263"/>
      <c r="CK201" s="6"/>
      <c r="CL201" s="6"/>
      <c r="CM201" s="6"/>
      <c r="CN201" s="6"/>
      <c r="CO201" s="262"/>
      <c r="CP201" s="263"/>
      <c r="CQ201" s="6"/>
      <c r="CR201" s="6"/>
      <c r="CS201" s="6"/>
      <c r="CT201" s="6"/>
      <c r="CU201" s="262"/>
      <c r="CV201" s="263"/>
      <c r="CW201" s="6"/>
      <c r="CX201" s="6"/>
      <c r="CY201" s="6"/>
      <c r="CZ201" s="6"/>
      <c r="DA201" s="262"/>
      <c r="DB201" s="263"/>
      <c r="DC201" s="6"/>
      <c r="DD201" s="6"/>
      <c r="DE201" s="6"/>
      <c r="DF201" s="6"/>
      <c r="DG201" s="262"/>
      <c r="DH201" s="263"/>
      <c r="DI201" s="6"/>
      <c r="DJ201" s="6"/>
      <c r="DK201" s="6"/>
      <c r="DL201" s="6"/>
      <c r="DM201" s="262"/>
      <c r="DN201" s="263"/>
      <c r="DO201" s="6"/>
      <c r="DP201" s="6"/>
      <c r="DQ201" s="6"/>
      <c r="DR201" s="6"/>
      <c r="DS201" s="262"/>
      <c r="DT201" s="263"/>
      <c r="DU201" s="6"/>
      <c r="DV201" s="6"/>
      <c r="DW201" s="6"/>
      <c r="DX201" s="6"/>
      <c r="DY201" s="262"/>
      <c r="DZ201" s="263"/>
      <c r="EA201" s="6"/>
      <c r="EB201" s="6"/>
      <c r="EC201" s="6"/>
      <c r="ED201" s="6"/>
      <c r="EE201" s="262"/>
      <c r="EF201" s="263"/>
      <c r="EG201" s="6"/>
      <c r="EH201" s="6"/>
      <c r="EI201" s="6"/>
      <c r="EJ201" s="6"/>
      <c r="EK201" s="262"/>
      <c r="EL201" s="263"/>
      <c r="EM201" s="6"/>
      <c r="EN201" s="6"/>
      <c r="EO201" s="6"/>
      <c r="EP201" s="6"/>
      <c r="EQ201" s="262"/>
      <c r="ER201" s="263"/>
      <c r="ES201" s="6"/>
      <c r="ET201" s="6"/>
      <c r="EU201" s="6"/>
      <c r="EV201" s="6"/>
      <c r="EW201" s="262"/>
      <c r="EX201" s="263"/>
      <c r="EY201" s="6"/>
      <c r="EZ201" s="6"/>
      <c r="FA201" s="6"/>
      <c r="FB201" s="6"/>
      <c r="FC201" s="262"/>
      <c r="FD201" s="263"/>
      <c r="FE201" s="6"/>
      <c r="FF201" s="6"/>
      <c r="FG201" s="6"/>
      <c r="FH201" s="6"/>
      <c r="FI201" s="262"/>
      <c r="FJ201" s="263"/>
      <c r="FK201" s="6"/>
      <c r="FL201" s="6"/>
      <c r="FM201" s="6"/>
      <c r="FN201" s="6"/>
      <c r="FO201" s="262"/>
      <c r="FP201" s="263"/>
      <c r="FQ201" s="6"/>
      <c r="FR201" s="6"/>
      <c r="FS201" s="6"/>
      <c r="FT201" s="6"/>
      <c r="FU201" s="262"/>
      <c r="FV201" s="263"/>
      <c r="FW201" s="6"/>
      <c r="FX201" s="6"/>
      <c r="FY201" s="6"/>
      <c r="FZ201" s="6"/>
      <c r="GA201" s="262"/>
      <c r="GB201" s="263"/>
      <c r="GC201" s="6"/>
      <c r="GD201" s="6"/>
      <c r="GE201" s="6"/>
      <c r="GF201" s="6"/>
      <c r="GG201" s="262"/>
      <c r="GH201" s="263"/>
      <c r="GI201" s="6"/>
      <c r="GJ201" s="6"/>
      <c r="GK201" s="6"/>
      <c r="GL201" s="6"/>
      <c r="GM201" s="262"/>
      <c r="GN201" s="263"/>
      <c r="GO201" s="6"/>
      <c r="GP201" s="6"/>
      <c r="GQ201" s="6"/>
      <c r="GR201" s="6"/>
      <c r="GS201" s="262"/>
      <c r="GT201" s="263"/>
      <c r="GU201" s="6"/>
      <c r="GV201" s="6"/>
      <c r="GW201" s="6"/>
      <c r="GX201" s="6"/>
      <c r="GY201" s="262"/>
      <c r="GZ201" s="263"/>
    </row>
    <row r="202" spans="1:208" ht="14.25" x14ac:dyDescent="0.2">
      <c r="G202" s="6"/>
      <c r="H202" s="6"/>
      <c r="I202" s="6"/>
      <c r="J202" s="6"/>
      <c r="K202" s="6"/>
      <c r="L202" s="6">
        <f t="shared" si="1"/>
        <v>1</v>
      </c>
      <c r="M202" s="6">
        <f t="shared" si="1"/>
        <v>2</v>
      </c>
      <c r="N202" s="6">
        <f t="shared" si="1"/>
        <v>3</v>
      </c>
      <c r="O202" s="6">
        <f t="shared" si="1"/>
        <v>4</v>
      </c>
      <c r="P202" s="6">
        <f t="shared" si="1"/>
        <v>5</v>
      </c>
      <c r="Q202" s="6">
        <f t="shared" ref="Q202" si="2">P202+1</f>
        <v>6</v>
      </c>
      <c r="R202" s="6">
        <f t="shared" ref="R202" si="3">Q202+1</f>
        <v>7</v>
      </c>
      <c r="S202" s="6">
        <f t="shared" ref="S202" si="4">R202+1</f>
        <v>8</v>
      </c>
      <c r="T202" s="6">
        <f t="shared" ref="T202" si="5">S202+1</f>
        <v>9</v>
      </c>
      <c r="U202" s="262">
        <f t="shared" ref="U202:V202" si="6">SUM(U6:U201)</f>
        <v>0</v>
      </c>
      <c r="V202" s="262">
        <f t="shared" si="6"/>
        <v>0</v>
      </c>
      <c r="W202" s="6">
        <f t="shared" ref="W202" si="7">V202+1</f>
        <v>1</v>
      </c>
      <c r="X202" s="6">
        <f t="shared" ref="X202" si="8">W202+1</f>
        <v>2</v>
      </c>
      <c r="Y202" s="6">
        <f t="shared" ref="Y202" si="9">X202+1</f>
        <v>3</v>
      </c>
      <c r="Z202" s="6">
        <f t="shared" ref="Z202" si="10">Y202+1</f>
        <v>4</v>
      </c>
      <c r="AA202" s="262">
        <f t="shared" ref="AA202:AB202" si="11">SUM(AA6:AA201)</f>
        <v>0</v>
      </c>
      <c r="AB202" s="262">
        <f t="shared" si="11"/>
        <v>0</v>
      </c>
      <c r="AC202" s="6">
        <f t="shared" ref="AC202" si="12">AB202+1</f>
        <v>1</v>
      </c>
      <c r="AD202" s="6">
        <f t="shared" ref="AD202" si="13">AC202+1</f>
        <v>2</v>
      </c>
      <c r="AE202" s="6">
        <f t="shared" ref="AE202" si="14">AD202+1</f>
        <v>3</v>
      </c>
      <c r="AF202" s="6">
        <f t="shared" ref="AF202" si="15">AE202+1</f>
        <v>4</v>
      </c>
      <c r="AG202" s="262">
        <f t="shared" ref="AG202:AH202" si="16">SUM(AG6:AG201)</f>
        <v>0</v>
      </c>
      <c r="AH202" s="262">
        <f t="shared" si="16"/>
        <v>0</v>
      </c>
      <c r="AI202" s="6">
        <f t="shared" ref="AI202" si="17">AH202+1</f>
        <v>1</v>
      </c>
      <c r="AJ202" s="6">
        <f t="shared" ref="AJ202" si="18">AI202+1</f>
        <v>2</v>
      </c>
      <c r="AK202" s="6">
        <f t="shared" ref="AK202" si="19">AJ202+1</f>
        <v>3</v>
      </c>
      <c r="AL202" s="6">
        <f t="shared" ref="AL202" si="20">AK202+1</f>
        <v>4</v>
      </c>
      <c r="AM202" s="262">
        <f t="shared" ref="AM202:AN202" si="21">SUM(AM6:AM201)</f>
        <v>0</v>
      </c>
      <c r="AN202" s="262">
        <f t="shared" si="21"/>
        <v>0</v>
      </c>
      <c r="AO202" s="6">
        <f t="shared" ref="AO202" si="22">AN202+1</f>
        <v>1</v>
      </c>
      <c r="AP202" s="6">
        <f t="shared" ref="AP202" si="23">AO202+1</f>
        <v>2</v>
      </c>
      <c r="AQ202" s="6">
        <f t="shared" ref="AQ202" si="24">AP202+1</f>
        <v>3</v>
      </c>
      <c r="AR202" s="6">
        <f t="shared" ref="AR202" si="25">AQ202+1</f>
        <v>4</v>
      </c>
      <c r="AS202" s="262">
        <f t="shared" ref="AS202:AT202" si="26">SUM(AS6:AS201)</f>
        <v>0</v>
      </c>
      <c r="AT202" s="262">
        <f t="shared" si="26"/>
        <v>0</v>
      </c>
      <c r="AU202" s="6">
        <f t="shared" ref="AU202" si="27">AT202+1</f>
        <v>1</v>
      </c>
      <c r="AV202" s="6">
        <f t="shared" ref="AV202" si="28">AU202+1</f>
        <v>2</v>
      </c>
      <c r="AW202" s="6">
        <f t="shared" ref="AW202" si="29">AV202+1</f>
        <v>3</v>
      </c>
      <c r="AX202" s="6">
        <f t="shared" ref="AX202" si="30">AW202+1</f>
        <v>4</v>
      </c>
      <c r="AY202" s="262">
        <f t="shared" ref="AY202:AZ202" si="31">SUM(AY6:AY201)</f>
        <v>0</v>
      </c>
      <c r="AZ202" s="262">
        <f t="shared" si="31"/>
        <v>0</v>
      </c>
      <c r="BA202" s="6">
        <f t="shared" ref="BA202" si="32">AZ202+1</f>
        <v>1</v>
      </c>
      <c r="BB202" s="6">
        <f t="shared" ref="BB202" si="33">BA202+1</f>
        <v>2</v>
      </c>
      <c r="BC202" s="6">
        <f t="shared" ref="BC202" si="34">BB202+1</f>
        <v>3</v>
      </c>
      <c r="BD202" s="6">
        <f t="shared" ref="BD202" si="35">BC202+1</f>
        <v>4</v>
      </c>
      <c r="BE202" s="262">
        <f t="shared" ref="BE202:BF202" si="36">SUM(BE6:BE201)</f>
        <v>0</v>
      </c>
      <c r="BF202" s="262">
        <f t="shared" si="36"/>
        <v>0</v>
      </c>
      <c r="BG202" s="6">
        <f t="shared" ref="BG202" si="37">BF202+1</f>
        <v>1</v>
      </c>
      <c r="BH202" s="6">
        <f t="shared" ref="BH202" si="38">BG202+1</f>
        <v>2</v>
      </c>
      <c r="BI202" s="6">
        <f t="shared" ref="BI202" si="39">BH202+1</f>
        <v>3</v>
      </c>
      <c r="BJ202" s="6">
        <f t="shared" ref="BJ202" si="40">BI202+1</f>
        <v>4</v>
      </c>
      <c r="BK202" s="262">
        <f t="shared" ref="BK202:BL202" si="41">SUM(BK6:BK201)</f>
        <v>0</v>
      </c>
      <c r="BL202" s="262">
        <f t="shared" si="41"/>
        <v>0</v>
      </c>
      <c r="BM202" s="6">
        <f t="shared" ref="BM202" si="42">BL202+1</f>
        <v>1</v>
      </c>
      <c r="BN202" s="6">
        <f t="shared" ref="BN202" si="43">BM202+1</f>
        <v>2</v>
      </c>
      <c r="BO202" s="6">
        <f t="shared" ref="BO202" si="44">BN202+1</f>
        <v>3</v>
      </c>
      <c r="BP202" s="6">
        <f t="shared" ref="BP202" si="45">BO202+1</f>
        <v>4</v>
      </c>
      <c r="BQ202" s="262">
        <f t="shared" ref="BQ202:BR202" si="46">SUM(BQ6:BQ201)</f>
        <v>0</v>
      </c>
      <c r="BR202" s="262">
        <f t="shared" si="46"/>
        <v>0</v>
      </c>
      <c r="BS202" s="6">
        <f t="shared" ref="BS202" si="47">BR202+1</f>
        <v>1</v>
      </c>
      <c r="BT202" s="6">
        <f t="shared" ref="BT202" si="48">BS202+1</f>
        <v>2</v>
      </c>
      <c r="BU202" s="6">
        <f t="shared" ref="BU202" si="49">BT202+1</f>
        <v>3</v>
      </c>
      <c r="BV202" s="6">
        <f t="shared" ref="BV202" si="50">BU202+1</f>
        <v>4</v>
      </c>
      <c r="BW202" s="262">
        <f t="shared" ref="BW202:BX202" si="51">SUM(BW6:BW201)</f>
        <v>0</v>
      </c>
      <c r="BX202" s="262">
        <f t="shared" si="51"/>
        <v>0</v>
      </c>
      <c r="BY202" s="6">
        <f t="shared" ref="BY202" si="52">BX202+1</f>
        <v>1</v>
      </c>
      <c r="BZ202" s="6">
        <f t="shared" ref="BZ202" si="53">BY202+1</f>
        <v>2</v>
      </c>
      <c r="CA202" s="6">
        <f t="shared" ref="CA202" si="54">BZ202+1</f>
        <v>3</v>
      </c>
      <c r="CB202" s="6">
        <f t="shared" ref="CB202" si="55">CA202+1</f>
        <v>4</v>
      </c>
      <c r="CC202" s="262">
        <f t="shared" ref="CC202:CD202" si="56">SUM(CC6:CC201)</f>
        <v>0</v>
      </c>
      <c r="CD202" s="262">
        <f t="shared" si="56"/>
        <v>0</v>
      </c>
      <c r="CE202" s="6">
        <f t="shared" ref="CE202" si="57">CD202+1</f>
        <v>1</v>
      </c>
      <c r="CF202" s="6">
        <f t="shared" ref="CF202" si="58">CE202+1</f>
        <v>2</v>
      </c>
      <c r="CG202" s="6">
        <f t="shared" ref="CG202" si="59">CF202+1</f>
        <v>3</v>
      </c>
      <c r="CH202" s="6">
        <f t="shared" ref="CH202" si="60">CG202+1</f>
        <v>4</v>
      </c>
      <c r="CI202" s="262">
        <f t="shared" ref="CI202:CJ202" si="61">SUM(CI6:CI201)</f>
        <v>0</v>
      </c>
      <c r="CJ202" s="262">
        <f t="shared" si="61"/>
        <v>0</v>
      </c>
      <c r="CK202" s="6">
        <f t="shared" ref="CK202" si="62">CJ202+1</f>
        <v>1</v>
      </c>
      <c r="CL202" s="6">
        <f t="shared" ref="CL202" si="63">CK202+1</f>
        <v>2</v>
      </c>
      <c r="CM202" s="6">
        <f t="shared" ref="CM202" si="64">CL202+1</f>
        <v>3</v>
      </c>
      <c r="CN202" s="6">
        <f t="shared" ref="CN202" si="65">CM202+1</f>
        <v>4</v>
      </c>
      <c r="CO202" s="262">
        <f t="shared" ref="CO202:CP202" si="66">SUM(CO6:CO201)</f>
        <v>0</v>
      </c>
      <c r="CP202" s="262">
        <f t="shared" si="66"/>
        <v>0</v>
      </c>
      <c r="CQ202" s="6">
        <f t="shared" ref="CQ202" si="67">CP202+1</f>
        <v>1</v>
      </c>
      <c r="CR202" s="6">
        <f t="shared" ref="CR202" si="68">CQ202+1</f>
        <v>2</v>
      </c>
      <c r="CS202" s="6">
        <f t="shared" ref="CS202" si="69">CR202+1</f>
        <v>3</v>
      </c>
      <c r="CT202" s="6">
        <f t="shared" ref="CT202" si="70">CS202+1</f>
        <v>4</v>
      </c>
      <c r="CU202" s="262">
        <f t="shared" ref="CU202:CV202" si="71">SUM(CU6:CU201)</f>
        <v>0</v>
      </c>
      <c r="CV202" s="262">
        <f t="shared" si="71"/>
        <v>0</v>
      </c>
      <c r="CW202" s="6">
        <f t="shared" ref="CW202" si="72">CV202+1</f>
        <v>1</v>
      </c>
      <c r="CX202" s="6">
        <f t="shared" ref="CX202" si="73">CW202+1</f>
        <v>2</v>
      </c>
      <c r="CY202" s="6">
        <f t="shared" ref="CY202" si="74">CX202+1</f>
        <v>3</v>
      </c>
      <c r="CZ202" s="6">
        <f t="shared" ref="CZ202" si="75">CY202+1</f>
        <v>4</v>
      </c>
      <c r="DA202" s="262">
        <f t="shared" ref="DA202:DB202" si="76">SUM(DA6:DA201)</f>
        <v>0</v>
      </c>
      <c r="DB202" s="262">
        <f t="shared" si="76"/>
        <v>0</v>
      </c>
      <c r="DC202" s="6">
        <f t="shared" ref="DC202" si="77">DB202+1</f>
        <v>1</v>
      </c>
      <c r="DD202" s="6">
        <f t="shared" ref="DD202" si="78">DC202+1</f>
        <v>2</v>
      </c>
      <c r="DE202" s="6">
        <f t="shared" ref="DE202" si="79">DD202+1</f>
        <v>3</v>
      </c>
      <c r="DF202" s="6">
        <f t="shared" ref="DF202" si="80">DE202+1</f>
        <v>4</v>
      </c>
      <c r="DG202" s="262">
        <f t="shared" ref="DG202:DH202" si="81">SUM(DG6:DG201)</f>
        <v>0</v>
      </c>
      <c r="DH202" s="262">
        <f t="shared" si="81"/>
        <v>0</v>
      </c>
      <c r="DI202" s="6">
        <f t="shared" ref="DI202" si="82">DH202+1</f>
        <v>1</v>
      </c>
      <c r="DJ202" s="6">
        <f t="shared" ref="DJ202" si="83">DI202+1</f>
        <v>2</v>
      </c>
      <c r="DK202" s="6">
        <f t="shared" ref="DK202" si="84">DJ202+1</f>
        <v>3</v>
      </c>
      <c r="DL202" s="6">
        <f t="shared" ref="DL202" si="85">DK202+1</f>
        <v>4</v>
      </c>
      <c r="DM202" s="262">
        <f t="shared" ref="DM202:DN202" si="86">SUM(DM6:DM201)</f>
        <v>0</v>
      </c>
      <c r="DN202" s="262">
        <f t="shared" si="86"/>
        <v>0</v>
      </c>
      <c r="DO202" s="6">
        <f t="shared" ref="DO202" si="87">DN202+1</f>
        <v>1</v>
      </c>
      <c r="DP202" s="6">
        <f t="shared" ref="DP202" si="88">DO202+1</f>
        <v>2</v>
      </c>
      <c r="DQ202" s="6">
        <f t="shared" ref="DQ202" si="89">DP202+1</f>
        <v>3</v>
      </c>
      <c r="DR202" s="6">
        <f t="shared" ref="DR202" si="90">DQ202+1</f>
        <v>4</v>
      </c>
      <c r="DS202" s="262">
        <f t="shared" ref="DS202:DT202" si="91">SUM(DS6:DS201)</f>
        <v>0</v>
      </c>
      <c r="DT202" s="262">
        <f t="shared" si="91"/>
        <v>0</v>
      </c>
      <c r="DU202" s="6">
        <f t="shared" ref="DU202" si="92">DT202+1</f>
        <v>1</v>
      </c>
      <c r="DV202" s="6">
        <f t="shared" ref="DV202" si="93">DU202+1</f>
        <v>2</v>
      </c>
      <c r="DW202" s="6">
        <f t="shared" ref="DW202" si="94">DV202+1</f>
        <v>3</v>
      </c>
      <c r="DX202" s="6">
        <f t="shared" ref="DX202" si="95">DW202+1</f>
        <v>4</v>
      </c>
      <c r="DY202" s="262">
        <f t="shared" ref="DY202:DZ202" si="96">SUM(DY6:DY201)</f>
        <v>0</v>
      </c>
      <c r="DZ202" s="262">
        <f t="shared" si="96"/>
        <v>0</v>
      </c>
      <c r="EA202" s="6">
        <f t="shared" ref="EA202" si="97">DZ202+1</f>
        <v>1</v>
      </c>
      <c r="EB202" s="6">
        <f t="shared" ref="EB202" si="98">EA202+1</f>
        <v>2</v>
      </c>
      <c r="EC202" s="6">
        <f t="shared" ref="EC202" si="99">EB202+1</f>
        <v>3</v>
      </c>
      <c r="ED202" s="6">
        <f t="shared" ref="ED202" si="100">EC202+1</f>
        <v>4</v>
      </c>
      <c r="EE202" s="262">
        <f t="shared" ref="EE202:EF202" si="101">SUM(EE6:EE201)</f>
        <v>0</v>
      </c>
      <c r="EF202" s="262">
        <f t="shared" si="101"/>
        <v>0</v>
      </c>
      <c r="EG202" s="6">
        <f t="shared" ref="EG202" si="102">EF202+1</f>
        <v>1</v>
      </c>
      <c r="EH202" s="6">
        <f t="shared" ref="EH202" si="103">EG202+1</f>
        <v>2</v>
      </c>
      <c r="EI202" s="6">
        <f t="shared" ref="EI202" si="104">EH202+1</f>
        <v>3</v>
      </c>
      <c r="EJ202" s="6">
        <f t="shared" ref="EJ202" si="105">EI202+1</f>
        <v>4</v>
      </c>
      <c r="EK202" s="262">
        <f t="shared" ref="EK202:EL202" si="106">SUM(EK6:EK201)</f>
        <v>0</v>
      </c>
      <c r="EL202" s="262">
        <f t="shared" si="106"/>
        <v>0</v>
      </c>
      <c r="EM202" s="6">
        <f t="shared" ref="EM202" si="107">EL202+1</f>
        <v>1</v>
      </c>
      <c r="EN202" s="6">
        <f t="shared" ref="EN202" si="108">EM202+1</f>
        <v>2</v>
      </c>
      <c r="EO202" s="6">
        <f t="shared" ref="EO202" si="109">EN202+1</f>
        <v>3</v>
      </c>
      <c r="EP202" s="6">
        <f t="shared" ref="EP202" si="110">EO202+1</f>
        <v>4</v>
      </c>
      <c r="EQ202" s="262">
        <f t="shared" ref="EQ202:ER202" si="111">SUM(EQ6:EQ201)</f>
        <v>0</v>
      </c>
      <c r="ER202" s="262">
        <f t="shared" si="111"/>
        <v>0</v>
      </c>
      <c r="ES202" s="6">
        <f t="shared" ref="ES202" si="112">ER202+1</f>
        <v>1</v>
      </c>
      <c r="ET202" s="6">
        <f t="shared" ref="ET202" si="113">ES202+1</f>
        <v>2</v>
      </c>
      <c r="EU202" s="6">
        <f t="shared" ref="EU202" si="114">ET202+1</f>
        <v>3</v>
      </c>
      <c r="EV202" s="6">
        <f t="shared" ref="EV202" si="115">EU202+1</f>
        <v>4</v>
      </c>
      <c r="EW202" s="262">
        <f t="shared" ref="EW202:EX202" si="116">SUM(EW6:EW201)</f>
        <v>0</v>
      </c>
      <c r="EX202" s="262">
        <f t="shared" si="116"/>
        <v>0</v>
      </c>
      <c r="EY202" s="6">
        <f t="shared" ref="EY202" si="117">EX202+1</f>
        <v>1</v>
      </c>
      <c r="EZ202" s="6">
        <f t="shared" ref="EZ202" si="118">EY202+1</f>
        <v>2</v>
      </c>
      <c r="FA202" s="6">
        <f t="shared" ref="FA202" si="119">EZ202+1</f>
        <v>3</v>
      </c>
      <c r="FB202" s="6">
        <f t="shared" ref="FB202" si="120">FA202+1</f>
        <v>4</v>
      </c>
      <c r="FC202" s="262">
        <f t="shared" ref="FC202:FD202" si="121">SUM(FC6:FC201)</f>
        <v>0</v>
      </c>
      <c r="FD202" s="262">
        <f t="shared" si="121"/>
        <v>0</v>
      </c>
      <c r="FE202" s="6">
        <f t="shared" ref="FE202" si="122">FD202+1</f>
        <v>1</v>
      </c>
      <c r="FF202" s="6">
        <f t="shared" ref="FF202" si="123">FE202+1</f>
        <v>2</v>
      </c>
      <c r="FG202" s="6">
        <f t="shared" ref="FG202" si="124">FF202+1</f>
        <v>3</v>
      </c>
      <c r="FH202" s="6">
        <f t="shared" ref="FH202" si="125">FG202+1</f>
        <v>4</v>
      </c>
      <c r="FI202" s="262">
        <f t="shared" ref="FI202:FJ202" si="126">SUM(FI6:FI201)</f>
        <v>0</v>
      </c>
      <c r="FJ202" s="262">
        <f t="shared" si="126"/>
        <v>0</v>
      </c>
      <c r="FK202" s="6">
        <f t="shared" ref="FK202" si="127">FJ202+1</f>
        <v>1</v>
      </c>
      <c r="FL202" s="6">
        <f t="shared" ref="FL202" si="128">FK202+1</f>
        <v>2</v>
      </c>
      <c r="FM202" s="6">
        <f t="shared" ref="FM202" si="129">FL202+1</f>
        <v>3</v>
      </c>
      <c r="FN202" s="6">
        <f t="shared" ref="FN202" si="130">FM202+1</f>
        <v>4</v>
      </c>
      <c r="FO202" s="262">
        <f t="shared" ref="FO202:FP202" si="131">SUM(FO6:FO201)</f>
        <v>0</v>
      </c>
      <c r="FP202" s="262">
        <f t="shared" si="131"/>
        <v>0</v>
      </c>
      <c r="FQ202" s="6">
        <f t="shared" ref="FQ202" si="132">FP202+1</f>
        <v>1</v>
      </c>
      <c r="FR202" s="6">
        <f t="shared" ref="FR202" si="133">FQ202+1</f>
        <v>2</v>
      </c>
      <c r="FS202" s="6">
        <f t="shared" ref="FS202" si="134">FR202+1</f>
        <v>3</v>
      </c>
      <c r="FT202" s="6">
        <f t="shared" ref="FT202" si="135">FS202+1</f>
        <v>4</v>
      </c>
      <c r="FU202" s="262">
        <f t="shared" ref="FU202:FV202" si="136">SUM(FU6:FU201)</f>
        <v>0</v>
      </c>
      <c r="FV202" s="262">
        <f t="shared" si="136"/>
        <v>0</v>
      </c>
      <c r="FW202" s="6">
        <f t="shared" ref="FW202" si="137">FV202+1</f>
        <v>1</v>
      </c>
      <c r="FX202" s="6">
        <f t="shared" ref="FX202" si="138">FW202+1</f>
        <v>2</v>
      </c>
      <c r="FY202" s="6">
        <f t="shared" ref="FY202" si="139">FX202+1</f>
        <v>3</v>
      </c>
      <c r="FZ202" s="6">
        <f t="shared" ref="FZ202" si="140">FY202+1</f>
        <v>4</v>
      </c>
      <c r="GA202" s="262">
        <f t="shared" ref="GA202:GB202" si="141">SUM(GA6:GA201)</f>
        <v>0</v>
      </c>
      <c r="GB202" s="262">
        <f t="shared" si="141"/>
        <v>0</v>
      </c>
      <c r="GC202" s="6">
        <f t="shared" ref="GC202" si="142">GB202+1</f>
        <v>1</v>
      </c>
      <c r="GD202" s="6">
        <f t="shared" ref="GD202" si="143">GC202+1</f>
        <v>2</v>
      </c>
      <c r="GE202" s="6">
        <f t="shared" ref="GE202" si="144">GD202+1</f>
        <v>3</v>
      </c>
      <c r="GF202" s="6">
        <f t="shared" ref="GF202" si="145">GE202+1</f>
        <v>4</v>
      </c>
      <c r="GG202" s="262">
        <f t="shared" ref="GG202:GH202" si="146">SUM(GG6:GG201)</f>
        <v>0</v>
      </c>
      <c r="GH202" s="262">
        <f t="shared" si="146"/>
        <v>0</v>
      </c>
      <c r="GI202" s="6">
        <f t="shared" ref="GI202" si="147">GH202+1</f>
        <v>1</v>
      </c>
      <c r="GJ202" s="6">
        <f t="shared" ref="GJ202" si="148">GI202+1</f>
        <v>2</v>
      </c>
      <c r="GK202" s="6">
        <f t="shared" ref="GK202" si="149">GJ202+1</f>
        <v>3</v>
      </c>
      <c r="GL202" s="6">
        <f t="shared" ref="GL202" si="150">GK202+1</f>
        <v>4</v>
      </c>
      <c r="GM202" s="262">
        <f t="shared" ref="GM202:GN202" si="151">SUM(GM6:GM201)</f>
        <v>0</v>
      </c>
      <c r="GN202" s="262">
        <f t="shared" si="151"/>
        <v>0</v>
      </c>
      <c r="GO202" s="6">
        <f t="shared" ref="GO202" si="152">GN202+1</f>
        <v>1</v>
      </c>
      <c r="GP202" s="6">
        <f t="shared" ref="GP202" si="153">GO202+1</f>
        <v>2</v>
      </c>
      <c r="GQ202" s="6">
        <f t="shared" ref="GQ202" si="154">GP202+1</f>
        <v>3</v>
      </c>
      <c r="GR202" s="6">
        <f t="shared" ref="GR202" si="155">GQ202+1</f>
        <v>4</v>
      </c>
      <c r="GS202" s="262">
        <f t="shared" ref="GS202:GT202" si="156">SUM(GS6:GS201)</f>
        <v>0</v>
      </c>
      <c r="GT202" s="262">
        <f t="shared" si="156"/>
        <v>0</v>
      </c>
      <c r="GU202" s="6">
        <f t="shared" ref="GU202" si="157">GT202+1</f>
        <v>1</v>
      </c>
      <c r="GV202" s="6">
        <f t="shared" ref="GV202" si="158">GU202+1</f>
        <v>2</v>
      </c>
      <c r="GW202" s="6">
        <f t="shared" ref="GW202" si="159">GV202+1</f>
        <v>3</v>
      </c>
      <c r="GX202" s="6">
        <f t="shared" ref="GX202" si="160">GW202+1</f>
        <v>4</v>
      </c>
      <c r="GY202" s="262">
        <f t="shared" ref="GY202:GZ202" si="161">SUM(GY6:GY201)</f>
        <v>0</v>
      </c>
      <c r="GZ202" s="262">
        <f t="shared" si="161"/>
        <v>0</v>
      </c>
    </row>
    <row r="203" spans="1:208" x14ac:dyDescent="0.2">
      <c r="N203"/>
      <c r="P203" s="81"/>
      <c r="AO203" s="81"/>
      <c r="AP203" s="81"/>
      <c r="AQ203" s="81"/>
      <c r="AR203" s="81"/>
      <c r="BM203" s="81"/>
      <c r="BN203" s="81"/>
      <c r="BO203" s="81"/>
      <c r="BP203" s="81"/>
      <c r="CK203" s="81"/>
      <c r="CL203" s="81"/>
      <c r="CM203" s="81"/>
      <c r="CN203" s="81"/>
      <c r="DI203" s="81"/>
      <c r="DJ203" s="81"/>
      <c r="DK203" s="81"/>
      <c r="DL203" s="81"/>
      <c r="EG203" s="81"/>
      <c r="EH203" s="81"/>
      <c r="EI203" s="81"/>
      <c r="EJ203" s="81"/>
      <c r="FE203" s="81"/>
      <c r="FF203" s="81"/>
      <c r="FG203" s="81"/>
      <c r="FH203" s="81"/>
      <c r="GC203" s="81"/>
      <c r="GD203" s="81"/>
      <c r="GE203" s="81"/>
      <c r="GF203" s="81"/>
    </row>
    <row r="204" spans="1:208" x14ac:dyDescent="0.2">
      <c r="P204" s="81"/>
    </row>
    <row r="205" spans="1:208" x14ac:dyDescent="0.2">
      <c r="P205" s="81"/>
    </row>
    <row r="206" spans="1:208" x14ac:dyDescent="0.2">
      <c r="P206" s="81"/>
    </row>
    <row r="207" spans="1:208" x14ac:dyDescent="0.2">
      <c r="P207" s="81"/>
    </row>
    <row r="208" spans="1:208" x14ac:dyDescent="0.2">
      <c r="P208" s="81"/>
    </row>
    <row r="209" spans="16:16" x14ac:dyDescent="0.2">
      <c r="P209" s="81"/>
    </row>
    <row r="210" spans="16:16" x14ac:dyDescent="0.2">
      <c r="P210" s="81"/>
    </row>
    <row r="211" spans="16:16" x14ac:dyDescent="0.2">
      <c r="P211" s="81"/>
    </row>
    <row r="212" spans="16:16" x14ac:dyDescent="0.2">
      <c r="P212" s="81"/>
    </row>
    <row r="213" spans="16:16" x14ac:dyDescent="0.2">
      <c r="P213" s="81"/>
    </row>
    <row r="214" spans="16:16" x14ac:dyDescent="0.2">
      <c r="P214" s="81"/>
    </row>
    <row r="215" spans="16:16" x14ac:dyDescent="0.2">
      <c r="P215" s="81"/>
    </row>
    <row r="216" spans="16:16" x14ac:dyDescent="0.2">
      <c r="P216" s="81"/>
    </row>
    <row r="217" spans="16:16" x14ac:dyDescent="0.2">
      <c r="P217" s="81"/>
    </row>
    <row r="218" spans="16:16" x14ac:dyDescent="0.2">
      <c r="P218" s="81"/>
    </row>
    <row r="219" spans="16:16" x14ac:dyDescent="0.2">
      <c r="P219" s="81"/>
    </row>
    <row r="220" spans="16:16" x14ac:dyDescent="0.2">
      <c r="P220" s="81"/>
    </row>
    <row r="221" spans="16:16" x14ac:dyDescent="0.2">
      <c r="P221" s="81"/>
    </row>
    <row r="222" spans="16:16" x14ac:dyDescent="0.2">
      <c r="P222" s="81"/>
    </row>
    <row r="223" spans="16:16" x14ac:dyDescent="0.2">
      <c r="P223" s="81"/>
    </row>
    <row r="224" spans="16:16" x14ac:dyDescent="0.2">
      <c r="P224" s="81"/>
    </row>
    <row r="225" spans="16:16" x14ac:dyDescent="0.2">
      <c r="P225" s="81"/>
    </row>
    <row r="226" spans="16:16" x14ac:dyDescent="0.2">
      <c r="P226" s="81"/>
    </row>
    <row r="227" spans="16:16" x14ac:dyDescent="0.2">
      <c r="P227" s="81"/>
    </row>
    <row r="228" spans="16:16" x14ac:dyDescent="0.2">
      <c r="P228" s="81"/>
    </row>
    <row r="229" spans="16:16" x14ac:dyDescent="0.2">
      <c r="P229" s="81"/>
    </row>
    <row r="230" spans="16:16" x14ac:dyDescent="0.2">
      <c r="P230" s="81"/>
    </row>
    <row r="231" spans="16:16" x14ac:dyDescent="0.2">
      <c r="P231" s="81"/>
    </row>
    <row r="232" spans="16:16" x14ac:dyDescent="0.2">
      <c r="P232" s="81"/>
    </row>
    <row r="233" spans="16:16" x14ac:dyDescent="0.2">
      <c r="P233" s="81"/>
    </row>
    <row r="234" spans="16:16" x14ac:dyDescent="0.2">
      <c r="P234" s="81"/>
    </row>
    <row r="235" spans="16:16" x14ac:dyDescent="0.2">
      <c r="P235" s="81"/>
    </row>
    <row r="236" spans="16:16" x14ac:dyDescent="0.2">
      <c r="P236" s="81"/>
    </row>
    <row r="237" spans="16:16" x14ac:dyDescent="0.2">
      <c r="P237" s="81"/>
    </row>
    <row r="238" spans="16:16" x14ac:dyDescent="0.2">
      <c r="P238" s="81"/>
    </row>
    <row r="239" spans="16:16" x14ac:dyDescent="0.2">
      <c r="P239" s="81"/>
    </row>
    <row r="240" spans="16:16" x14ac:dyDescent="0.2">
      <c r="P240" s="81"/>
    </row>
    <row r="241" spans="16:16" x14ac:dyDescent="0.2">
      <c r="P241" s="81"/>
    </row>
    <row r="242" spans="16:16" x14ac:dyDescent="0.2">
      <c r="P242" s="81"/>
    </row>
    <row r="243" spans="16:16" x14ac:dyDescent="0.2">
      <c r="P243" s="81"/>
    </row>
    <row r="244" spans="16:16" x14ac:dyDescent="0.2">
      <c r="P244" s="81"/>
    </row>
    <row r="245" spans="16:16" x14ac:dyDescent="0.2">
      <c r="P245" s="81"/>
    </row>
    <row r="246" spans="16:16" x14ac:dyDescent="0.2">
      <c r="P246" s="81"/>
    </row>
    <row r="247" spans="16:16" x14ac:dyDescent="0.2">
      <c r="P247" s="81"/>
    </row>
    <row r="248" spans="16:16" x14ac:dyDescent="0.2">
      <c r="P248" s="81"/>
    </row>
    <row r="249" spans="16:16" x14ac:dyDescent="0.2">
      <c r="P249" s="81"/>
    </row>
    <row r="250" spans="16:16" x14ac:dyDescent="0.2">
      <c r="P250" s="81"/>
    </row>
    <row r="251" spans="16:16" x14ac:dyDescent="0.2">
      <c r="P251" s="81"/>
    </row>
    <row r="252" spans="16:16" x14ac:dyDescent="0.2">
      <c r="P252" s="81"/>
    </row>
    <row r="253" spans="16:16" x14ac:dyDescent="0.2">
      <c r="P253" s="81"/>
    </row>
    <row r="254" spans="16:16" x14ac:dyDescent="0.2">
      <c r="P254" s="81"/>
    </row>
    <row r="255" spans="16:16" x14ac:dyDescent="0.2">
      <c r="P255" s="81"/>
    </row>
    <row r="256" spans="16:16" x14ac:dyDescent="0.2">
      <c r="P256" s="81"/>
    </row>
    <row r="257" spans="16:16" x14ac:dyDescent="0.2">
      <c r="P257" s="81"/>
    </row>
    <row r="258" spans="16:16" x14ac:dyDescent="0.2">
      <c r="P258" s="81"/>
    </row>
    <row r="259" spans="16:16" x14ac:dyDescent="0.2">
      <c r="P259" s="81"/>
    </row>
    <row r="260" spans="16:16" x14ac:dyDescent="0.2">
      <c r="P260" s="81"/>
    </row>
    <row r="261" spans="16:16" x14ac:dyDescent="0.2">
      <c r="P261" s="81"/>
    </row>
    <row r="262" spans="16:16" x14ac:dyDescent="0.2">
      <c r="P262" s="81"/>
    </row>
    <row r="263" spans="16:16" x14ac:dyDescent="0.2">
      <c r="P263" s="81"/>
    </row>
  </sheetData>
  <sheetProtection autoFilter="0"/>
  <dataConsolidate/>
  <mergeCells count="34">
    <mergeCell ref="GU4:GZ4"/>
    <mergeCell ref="FQ4:FV4"/>
    <mergeCell ref="FW4:GB4"/>
    <mergeCell ref="GC4:GH4"/>
    <mergeCell ref="GI4:GN4"/>
    <mergeCell ref="GO4:GT4"/>
    <mergeCell ref="EM4:ER4"/>
    <mergeCell ref="ES4:EX4"/>
    <mergeCell ref="EY4:FD4"/>
    <mergeCell ref="FE4:FJ4"/>
    <mergeCell ref="FK4:FP4"/>
    <mergeCell ref="W4:AB4"/>
    <mergeCell ref="AC4:AH4"/>
    <mergeCell ref="AI4:AN4"/>
    <mergeCell ref="AO4:AT4"/>
    <mergeCell ref="AU4:AZ4"/>
    <mergeCell ref="A1:F2"/>
    <mergeCell ref="I1:J2"/>
    <mergeCell ref="Q4:V4"/>
    <mergeCell ref="BA4:BF4"/>
    <mergeCell ref="BG4:BL4"/>
    <mergeCell ref="BM4:BR4"/>
    <mergeCell ref="BS4:BX4"/>
    <mergeCell ref="BY4:CD4"/>
    <mergeCell ref="CE4:CJ4"/>
    <mergeCell ref="CK4:CP4"/>
    <mergeCell ref="CQ4:CV4"/>
    <mergeCell ref="CW4:DB4"/>
    <mergeCell ref="DC4:DH4"/>
    <mergeCell ref="DI4:DN4"/>
    <mergeCell ref="DO4:DT4"/>
    <mergeCell ref="DU4:DZ4"/>
    <mergeCell ref="EA4:EF4"/>
    <mergeCell ref="EG4:EL4"/>
  </mergeCells>
  <phoneticPr fontId="37" type="noConversion"/>
  <conditionalFormatting sqref="J6:J200">
    <cfRule type="cellIs" dxfId="593" priority="129" operator="equal">
      <formula>"CRECHE"</formula>
    </cfRule>
    <cfRule type="cellIs" dxfId="592" priority="130" operator="equal">
      <formula>"ADAPTADO"</formula>
    </cfRule>
  </conditionalFormatting>
  <conditionalFormatting sqref="U6:V6 U10:V11 U15:V16 U20:V21 U25:V26 U30:V31 U35:V36 U40:V41 U45:V46 U50:V51 U55:V56 U60:V61 U65:V66 U70:V71 U75:V76 U80:V81 U85:V86 U90:V91 U95:V96 U100:V101 U105:V106 U110:V111 U115:V116 U120:V121 U125:V126 U130:V131 U135:V136 U140:V141 U145:V146 U150:V151 U155:V156 U160:V161 U165:V166 U170:V171 U175:V176 U180:V181 U185:V186 U190:V191 U195:V196 U200:V200">
    <cfRule type="cellIs" dxfId="127" priority="127" operator="lessThan">
      <formula>0</formula>
    </cfRule>
    <cfRule type="cellIs" dxfId="126" priority="128" operator="greaterThan">
      <formula>0</formula>
    </cfRule>
  </conditionalFormatting>
  <conditionalFormatting sqref="U201:V201">
    <cfRule type="cellIs" dxfId="125" priority="125" operator="lessThan">
      <formula>0</formula>
    </cfRule>
    <cfRule type="cellIs" dxfId="124" priority="126" operator="greaterThan">
      <formula>0</formula>
    </cfRule>
  </conditionalFormatting>
  <conditionalFormatting sqref="AA6:AB6 AA10:AB11 AA15:AB16 AA20:AB21 AA25:AB26 AA30:AB31 AA35:AB36 AA40:AB41 AA45:AB46 AA50:AB51 AA55:AB56 AA60:AB61 AA65:AB66 AA70:AB71 AA75:AB76 AA80:AB81 AA85:AB86 AA90:AB91 AA95:AB96 AA100:AB101 AA105:AB106 AA110:AB111 AA115:AB116 AA120:AB121 AA125:AB126 AA130:AB131 AA135:AB136 AA140:AB141 AA145:AB146 AA150:AB151 AA155:AB156 AA160:AB161 AA165:AB166 AA170:AB171 AA175:AB176 AA180:AB181 AA185:AB186 AA190:AB191 AA195:AB196 AA200:AB200">
    <cfRule type="cellIs" dxfId="123" priority="123" operator="lessThan">
      <formula>0</formula>
    </cfRule>
    <cfRule type="cellIs" dxfId="122" priority="124" operator="greaterThan">
      <formula>0</formula>
    </cfRule>
  </conditionalFormatting>
  <conditionalFormatting sqref="AA201:AB201">
    <cfRule type="cellIs" dxfId="121" priority="121" operator="lessThan">
      <formula>0</formula>
    </cfRule>
    <cfRule type="cellIs" dxfId="120" priority="122" operator="greaterThan">
      <formula>0</formula>
    </cfRule>
  </conditionalFormatting>
  <conditionalFormatting sqref="AG6:AH6 AG10:AH11 AG15:AH16 AG20:AH21 AG25:AH26 AG30:AH31 AG35:AH36 AG40:AH41 AG45:AH46 AG50:AH51 AG55:AH56 AG60:AH61 AG65:AH66 AG70:AH71 AG75:AH76 AG80:AH81 AG85:AH86 AG90:AH91 AG95:AH96 AG100:AH101 AG105:AH106 AG110:AH111 AG115:AH116 AG120:AH121 AG125:AH126 AG130:AH131 AG135:AH136 AG140:AH141 AG145:AH146 AG150:AH151 AG155:AH156 AG160:AH161 AG165:AH166 AG170:AH171 AG175:AH176 AG180:AH181 AG185:AH186 AG190:AH191 AG195:AH196 AG200:AH200">
    <cfRule type="cellIs" dxfId="119" priority="119" operator="lessThan">
      <formula>0</formula>
    </cfRule>
    <cfRule type="cellIs" dxfId="118" priority="120" operator="greaterThan">
      <formula>0</formula>
    </cfRule>
  </conditionalFormatting>
  <conditionalFormatting sqref="AG201:AH201">
    <cfRule type="cellIs" dxfId="117" priority="117" operator="lessThan">
      <formula>0</formula>
    </cfRule>
    <cfRule type="cellIs" dxfId="116" priority="118" operator="greaterThan">
      <formula>0</formula>
    </cfRule>
  </conditionalFormatting>
  <conditionalFormatting sqref="AM6:AN6 AM10:AN11 AM15:AN16 AM20:AN21 AM25:AN26 AM30:AN31 AM35:AN36 AM40:AN41 AM45:AN46 AM50:AN51 AM55:AN56 AM60:AN61 AM65:AN66 AM70:AN71 AM75:AN76 AM80:AN81 AM85:AN86 AM90:AN91 AM95:AN96 AM100:AN101 AM105:AN106 AM110:AN111 AM115:AN116 AM120:AN121 AM125:AN126 AM130:AN131 AM135:AN136 AM140:AN141 AM145:AN146 AM150:AN151 AM155:AN156 AM160:AN161 AM165:AN166 AM170:AN171 AM175:AN176 AM180:AN181 AM185:AN186 AM190:AN191 AM195:AN196 AM200:AN200">
    <cfRule type="cellIs" dxfId="115" priority="115" operator="lessThan">
      <formula>0</formula>
    </cfRule>
    <cfRule type="cellIs" dxfId="114" priority="116" operator="greaterThan">
      <formula>0</formula>
    </cfRule>
  </conditionalFormatting>
  <conditionalFormatting sqref="AM201:AN201">
    <cfRule type="cellIs" dxfId="113" priority="113" operator="lessThan">
      <formula>0</formula>
    </cfRule>
    <cfRule type="cellIs" dxfId="112" priority="114" operator="greaterThan">
      <formula>0</formula>
    </cfRule>
  </conditionalFormatting>
  <conditionalFormatting sqref="AS6:AT6 AS10:AT11 AS15:AT16 AS20:AT21 AS25:AT26 AS30:AT31 AS35:AT36 AS40:AT41 AS45:AT46 AS50:AT51 AS55:AT56 AS60:AT61 AS65:AT66 AS70:AT71 AS75:AT76 AS80:AT81 AS85:AT86 AS90:AT91 AS95:AT96 AS100:AT101 AS105:AT106 AS110:AT111 AS115:AT116 AS120:AT121 AS125:AT126 AS130:AT131 AS135:AT136 AS140:AT141 AS145:AT146 AS150:AT151 AS155:AT156 AS160:AT161 AS165:AT166 AS170:AT171 AS175:AT176 AS180:AT181 AS185:AT186 AS190:AT191 AS195:AT196 AS200:AT200">
    <cfRule type="cellIs" dxfId="111" priority="111" operator="lessThan">
      <formula>0</formula>
    </cfRule>
    <cfRule type="cellIs" dxfId="110" priority="112" operator="greaterThan">
      <formula>0</formula>
    </cfRule>
  </conditionalFormatting>
  <conditionalFormatting sqref="AS201:AT201">
    <cfRule type="cellIs" dxfId="109" priority="109" operator="lessThan">
      <formula>0</formula>
    </cfRule>
    <cfRule type="cellIs" dxfId="108" priority="110" operator="greaterThan">
      <formula>0</formula>
    </cfRule>
  </conditionalFormatting>
  <conditionalFormatting sqref="AY6:AZ6 AY10:AZ11 AY15:AZ16 AY20:AZ21 AY25:AZ26 AY30:AZ31 AY35:AZ36 AY40:AZ41 AY45:AZ46 AY50:AZ51 AY55:AZ56 AY60:AZ61 AY65:AZ66 AY70:AZ71 AY75:AZ76 AY80:AZ81 AY85:AZ86 AY90:AZ91 AY95:AZ96 AY100:AZ101 AY105:AZ106 AY110:AZ111 AY115:AZ116 AY120:AZ121 AY125:AZ126 AY130:AZ131 AY135:AZ136 AY140:AZ141 AY145:AZ146 AY150:AZ151 AY155:AZ156 AY160:AZ161 AY165:AZ166 AY170:AZ171 AY175:AZ176 AY180:AZ181 AY185:AZ186 AY190:AZ191 AY195:AZ196 AY200:AZ200">
    <cfRule type="cellIs" dxfId="107" priority="107" operator="lessThan">
      <formula>0</formula>
    </cfRule>
    <cfRule type="cellIs" dxfId="106" priority="108" operator="greaterThan">
      <formula>0</formula>
    </cfRule>
  </conditionalFormatting>
  <conditionalFormatting sqref="AY201:AZ201">
    <cfRule type="cellIs" dxfId="105" priority="105" operator="lessThan">
      <formula>0</formula>
    </cfRule>
    <cfRule type="cellIs" dxfId="104" priority="106" operator="greaterThan">
      <formula>0</formula>
    </cfRule>
  </conditionalFormatting>
  <conditionalFormatting sqref="BE6:BF6 BE10:BF11 BE15:BF16 BE20:BF21 BE25:BF26 BE30:BF31 BE35:BF36 BE40:BF41 BE45:BF46 BE50:BF51 BE55:BF56 BE60:BF61 BE65:BF66 BE70:BF71 BE75:BF76 BE80:BF81 BE85:BF86 BE90:BF91 BE95:BF96 BE100:BF101 BE105:BF106 BE110:BF111 BE115:BF116 BE120:BF121 BE125:BF126 BE130:BF131 BE135:BF136 BE140:BF141 BE145:BF146 BE150:BF151 BE155:BF156 BE160:BF161 BE165:BF166 BE170:BF171 BE175:BF176 BE180:BF181 BE185:BF186 BE190:BF191 BE195:BF196 BE200:BF200">
    <cfRule type="cellIs" dxfId="103" priority="103" operator="lessThan">
      <formula>0</formula>
    </cfRule>
    <cfRule type="cellIs" dxfId="102" priority="104" operator="greaterThan">
      <formula>0</formula>
    </cfRule>
  </conditionalFormatting>
  <conditionalFormatting sqref="BE201:BF201">
    <cfRule type="cellIs" dxfId="101" priority="101" operator="lessThan">
      <formula>0</formula>
    </cfRule>
    <cfRule type="cellIs" dxfId="100" priority="102" operator="greaterThan">
      <formula>0</formula>
    </cfRule>
  </conditionalFormatting>
  <conditionalFormatting sqref="BK6:BL6 BK10:BL11 BK15:BL16 BK20:BL21 BK25:BL26 BK30:BL31 BK35:BL36 BK40:BL41 BK45:BL46 BK50:BL51 BK55:BL56 BK60:BL61 BK65:BL66 BK70:BL71 BK75:BL76 BK80:BL81 BK85:BL86 BK90:BL91 BK95:BL96 BK100:BL101 BK105:BL106 BK110:BL111 BK115:BL116 BK120:BL121 BK125:BL126 BK130:BL131 BK135:BL136 BK140:BL141 BK145:BL146 BK150:BL151 BK155:BL156 BK160:BL161 BK165:BL166 BK170:BL171 BK175:BL176 BK180:BL181 BK185:BL186 BK190:BL191 BK195:BL196 BK200:BL200">
    <cfRule type="cellIs" dxfId="99" priority="99" operator="lessThan">
      <formula>0</formula>
    </cfRule>
    <cfRule type="cellIs" dxfId="98" priority="100" operator="greaterThan">
      <formula>0</formula>
    </cfRule>
  </conditionalFormatting>
  <conditionalFormatting sqref="BK201:BL201">
    <cfRule type="cellIs" dxfId="97" priority="97" operator="lessThan">
      <formula>0</formula>
    </cfRule>
    <cfRule type="cellIs" dxfId="96" priority="98" operator="greaterThan">
      <formula>0</formula>
    </cfRule>
  </conditionalFormatting>
  <conditionalFormatting sqref="BQ6:BR6 BQ10:BR11 BQ15:BR16 BQ20:BR21 BQ25:BR26 BQ30:BR31 BQ35:BR36 BQ40:BR41 BQ45:BR46 BQ50:BR51 BQ55:BR56 BQ60:BR61 BQ65:BR66 BQ70:BR71 BQ75:BR76 BQ80:BR81 BQ85:BR86 BQ90:BR91 BQ95:BR96 BQ100:BR101 BQ105:BR106 BQ110:BR111 BQ115:BR116 BQ120:BR121 BQ125:BR126 BQ130:BR131 BQ135:BR136 BQ140:BR141 BQ145:BR146 BQ150:BR151 BQ155:BR156 BQ160:BR161 BQ165:BR166 BQ170:BR171 BQ175:BR176 BQ180:BR181 BQ185:BR186 BQ190:BR191 BQ195:BR196 BQ200:BR200">
    <cfRule type="cellIs" dxfId="95" priority="95" operator="lessThan">
      <formula>0</formula>
    </cfRule>
    <cfRule type="cellIs" dxfId="94" priority="96" operator="greaterThan">
      <formula>0</formula>
    </cfRule>
  </conditionalFormatting>
  <conditionalFormatting sqref="BQ201:BR201">
    <cfRule type="cellIs" dxfId="93" priority="93" operator="lessThan">
      <formula>0</formula>
    </cfRule>
    <cfRule type="cellIs" dxfId="92" priority="94" operator="greaterThan">
      <formula>0</formula>
    </cfRule>
  </conditionalFormatting>
  <conditionalFormatting sqref="BW6:BX6 BW10:BX11 BW15:BX16 BW20:BX21 BW25:BX26 BW30:BX31 BW35:BX36 BW40:BX41 BW45:BX46 BW50:BX51 BW55:BX56 BW60:BX61 BW65:BX66 BW70:BX71 BW75:BX76 BW80:BX81 BW85:BX86 BW90:BX91 BW95:BX96 BW100:BX101 BW105:BX106 BW110:BX111 BW115:BX116 BW120:BX121 BW125:BX126 BW130:BX131 BW135:BX136 BW140:BX141 BW145:BX146 BW150:BX151 BW155:BX156 BW160:BX161 BW165:BX166 BW170:BX171 BW175:BX176 BW180:BX181 BW185:BX186 BW190:BX191 BW195:BX196 BW200:BX200">
    <cfRule type="cellIs" dxfId="91" priority="91" operator="lessThan">
      <formula>0</formula>
    </cfRule>
    <cfRule type="cellIs" dxfId="90" priority="92" operator="greaterThan">
      <formula>0</formula>
    </cfRule>
  </conditionalFormatting>
  <conditionalFormatting sqref="BW201:BX201">
    <cfRule type="cellIs" dxfId="89" priority="89" operator="lessThan">
      <formula>0</formula>
    </cfRule>
    <cfRule type="cellIs" dxfId="88" priority="90" operator="greaterThan">
      <formula>0</formula>
    </cfRule>
  </conditionalFormatting>
  <conditionalFormatting sqref="CC6:CD6 CC10:CD11 CC15:CD16 CC20:CD21 CC25:CD26 CC30:CD31 CC35:CD36 CC40:CD41 CC45:CD46 CC50:CD51 CC55:CD56 CC60:CD61 CC65:CD66 CC70:CD71 CC75:CD76 CC80:CD81 CC85:CD86 CC90:CD91 CC95:CD96 CC100:CD101 CC105:CD106 CC110:CD111 CC115:CD116 CC120:CD121 CC125:CD126 CC130:CD131 CC135:CD136 CC140:CD141 CC145:CD146 CC150:CD151 CC155:CD156 CC160:CD161 CC165:CD166 CC170:CD171 CC175:CD176 CC180:CD181 CC185:CD186 CC190:CD191 CC195:CD196 CC200:CD200">
    <cfRule type="cellIs" dxfId="87" priority="87" operator="lessThan">
      <formula>0</formula>
    </cfRule>
    <cfRule type="cellIs" dxfId="86" priority="88" operator="greaterThan">
      <formula>0</formula>
    </cfRule>
  </conditionalFormatting>
  <conditionalFormatting sqref="CC201:CD201">
    <cfRule type="cellIs" dxfId="85" priority="85" operator="lessThan">
      <formula>0</formula>
    </cfRule>
    <cfRule type="cellIs" dxfId="84" priority="86" operator="greaterThan">
      <formula>0</formula>
    </cfRule>
  </conditionalFormatting>
  <conditionalFormatting sqref="CI6:CJ6 CI10:CJ11 CI15:CJ16 CI20:CJ21 CI25:CJ26 CI30:CJ31 CI35:CJ36 CI40:CJ41 CI45:CJ46 CI50:CJ51 CI55:CJ56 CI60:CJ61 CI65:CJ66 CI70:CJ71 CI75:CJ76 CI80:CJ81 CI85:CJ86 CI90:CJ91 CI95:CJ96 CI100:CJ101 CI105:CJ106 CI110:CJ111 CI115:CJ116 CI120:CJ121 CI125:CJ126 CI130:CJ131 CI135:CJ136 CI140:CJ141 CI145:CJ146 CI150:CJ151 CI155:CJ156 CI160:CJ161 CI165:CJ166 CI170:CJ171 CI175:CJ176 CI180:CJ181 CI185:CJ186 CI190:CJ191 CI195:CJ196 CI200:CJ200">
    <cfRule type="cellIs" dxfId="83" priority="83" operator="lessThan">
      <formula>0</formula>
    </cfRule>
    <cfRule type="cellIs" dxfId="82" priority="84" operator="greaterThan">
      <formula>0</formula>
    </cfRule>
  </conditionalFormatting>
  <conditionalFormatting sqref="CI201:CJ201">
    <cfRule type="cellIs" dxfId="81" priority="81" operator="lessThan">
      <formula>0</formula>
    </cfRule>
    <cfRule type="cellIs" dxfId="80" priority="82" operator="greaterThan">
      <formula>0</formula>
    </cfRule>
  </conditionalFormatting>
  <conditionalFormatting sqref="CO6:CP6 CO10:CP11 CO15:CP16 CO20:CP21 CO25:CP26 CO30:CP31 CO35:CP36 CO40:CP41 CO45:CP46 CO50:CP51 CO55:CP56 CO60:CP61 CO65:CP66 CO70:CP71 CO75:CP76 CO80:CP81 CO85:CP86 CO90:CP91 CO95:CP96 CO100:CP101 CO105:CP106 CO110:CP111 CO115:CP116 CO120:CP121 CO125:CP126 CO130:CP131 CO135:CP136 CO140:CP141 CO145:CP146 CO150:CP151 CO155:CP156 CO160:CP161 CO165:CP166 CO170:CP171 CO175:CP176 CO180:CP181 CO185:CP186 CO190:CP191 CO195:CP196 CO200:CP200">
    <cfRule type="cellIs" dxfId="79" priority="79" operator="lessThan">
      <formula>0</formula>
    </cfRule>
    <cfRule type="cellIs" dxfId="78" priority="80" operator="greaterThan">
      <formula>0</formula>
    </cfRule>
  </conditionalFormatting>
  <conditionalFormatting sqref="CO201:CP201">
    <cfRule type="cellIs" dxfId="77" priority="77" operator="lessThan">
      <formula>0</formula>
    </cfRule>
    <cfRule type="cellIs" dxfId="76" priority="78" operator="greaterThan">
      <formula>0</formula>
    </cfRule>
  </conditionalFormatting>
  <conditionalFormatting sqref="CU6:CV6 CU10:CV11 CU15:CV16 CU20:CV21 CU25:CV26 CU30:CV31 CU35:CV36 CU40:CV41 CU45:CV46 CU50:CV51 CU55:CV56 CU60:CV61 CU65:CV66 CU70:CV71 CU75:CV76 CU80:CV81 CU85:CV86 CU90:CV91 CU95:CV96 CU100:CV101 CU105:CV106 CU110:CV111 CU115:CV116 CU120:CV121 CU125:CV126 CU130:CV131 CU135:CV136 CU140:CV141 CU145:CV146 CU150:CV151 CU155:CV156 CU160:CV161 CU165:CV166 CU170:CV171 CU175:CV176 CU180:CV181 CU185:CV186 CU190:CV191 CU195:CV196 CU200:CV200">
    <cfRule type="cellIs" dxfId="75" priority="75" operator="lessThan">
      <formula>0</formula>
    </cfRule>
    <cfRule type="cellIs" dxfId="74" priority="76" operator="greaterThan">
      <formula>0</formula>
    </cfRule>
  </conditionalFormatting>
  <conditionalFormatting sqref="CU201:CV201">
    <cfRule type="cellIs" dxfId="73" priority="73" operator="lessThan">
      <formula>0</formula>
    </cfRule>
    <cfRule type="cellIs" dxfId="72" priority="74" operator="greaterThan">
      <formula>0</formula>
    </cfRule>
  </conditionalFormatting>
  <conditionalFormatting sqref="DA6:DB6 DA10:DB11 DA15:DB16 DA20:DB21 DA25:DB26 DA30:DB31 DA35:DB36 DA40:DB41 DA45:DB46 DA50:DB51 DA55:DB56 DA60:DB61 DA65:DB66 DA70:DB71 DA75:DB76 DA80:DB81 DA85:DB86 DA90:DB91 DA95:DB96 DA100:DB101 DA105:DB106 DA110:DB111 DA115:DB116 DA120:DB121 DA125:DB126 DA130:DB131 DA135:DB136 DA140:DB141 DA145:DB146 DA150:DB151 DA155:DB156 DA160:DB161 DA165:DB166 DA170:DB171 DA175:DB176 DA180:DB181 DA185:DB186 DA190:DB191 DA195:DB196 DA200:DB200">
    <cfRule type="cellIs" dxfId="71" priority="71" operator="lessThan">
      <formula>0</formula>
    </cfRule>
    <cfRule type="cellIs" dxfId="70" priority="72" operator="greaterThan">
      <formula>0</formula>
    </cfRule>
  </conditionalFormatting>
  <conditionalFormatting sqref="DA201:DB201">
    <cfRule type="cellIs" dxfId="69" priority="69" operator="lessThan">
      <formula>0</formula>
    </cfRule>
    <cfRule type="cellIs" dxfId="68" priority="70" operator="greaterThan">
      <formula>0</formula>
    </cfRule>
  </conditionalFormatting>
  <conditionalFormatting sqref="DG6:DH6 DG10:DH11 DG15:DH16 DG20:DH21 DG25:DH26 DG30:DH31 DG35:DH36 DG40:DH41 DG45:DH46 DG50:DH51 DG55:DH56 DG60:DH61 DG65:DH66 DG70:DH71 DG75:DH76 DG80:DH81 DG85:DH86 DG90:DH91 DG95:DH96 DG100:DH101 DG105:DH106 DG110:DH111 DG115:DH116 DG120:DH121 DG125:DH126 DG130:DH131 DG135:DH136 DG140:DH141 DG145:DH146 DG150:DH151 DG155:DH156 DG160:DH161 DG165:DH166 DG170:DH171 DG175:DH176 DG180:DH181 DG185:DH186 DG190:DH191 DG195:DH196 DG200:DH200">
    <cfRule type="cellIs" dxfId="67" priority="67" operator="lessThan">
      <formula>0</formula>
    </cfRule>
    <cfRule type="cellIs" dxfId="66" priority="68" operator="greaterThan">
      <formula>0</formula>
    </cfRule>
  </conditionalFormatting>
  <conditionalFormatting sqref="DG201:DH201">
    <cfRule type="cellIs" dxfId="65" priority="65" operator="lessThan">
      <formula>0</formula>
    </cfRule>
    <cfRule type="cellIs" dxfId="64" priority="66" operator="greaterThan">
      <formula>0</formula>
    </cfRule>
  </conditionalFormatting>
  <conditionalFormatting sqref="DM6:DN6 DM10:DN11 DM15:DN16 DM20:DN21 DM25:DN26 DM30:DN31 DM35:DN36 DM40:DN41 DM45:DN46 DM50:DN51 DM55:DN56 DM60:DN61 DM65:DN66 DM70:DN71 DM75:DN76 DM80:DN81 DM85:DN86 DM90:DN91 DM95:DN96 DM100:DN101 DM105:DN106 DM110:DN111 DM115:DN116 DM120:DN121 DM125:DN126 DM130:DN131 DM135:DN136 DM140:DN141 DM145:DN146 DM150:DN151 DM155:DN156 DM160:DN161 DM165:DN166 DM170:DN171 DM175:DN176 DM180:DN181 DM185:DN186 DM190:DN191 DM195:DN196 DM200:DN200">
    <cfRule type="cellIs" dxfId="63" priority="63" operator="lessThan">
      <formula>0</formula>
    </cfRule>
    <cfRule type="cellIs" dxfId="62" priority="64" operator="greaterThan">
      <formula>0</formula>
    </cfRule>
  </conditionalFormatting>
  <conditionalFormatting sqref="DM201:DN201">
    <cfRule type="cellIs" dxfId="61" priority="61" operator="lessThan">
      <formula>0</formula>
    </cfRule>
    <cfRule type="cellIs" dxfId="60" priority="62" operator="greaterThan">
      <formula>0</formula>
    </cfRule>
  </conditionalFormatting>
  <conditionalFormatting sqref="DS6:DT6 DS10:DT11 DS15:DT16 DS20:DT21 DS25:DT26 DS30:DT31 DS35:DT36 DS40:DT41 DS45:DT46 DS50:DT51 DS55:DT56 DS60:DT61 DS65:DT66 DS70:DT71 DS75:DT76 DS80:DT81 DS85:DT86 DS90:DT91 DS95:DT96 DS100:DT101 DS105:DT106 DS110:DT111 DS115:DT116 DS120:DT121 DS125:DT126 DS130:DT131 DS135:DT136 DS140:DT141 DS145:DT146 DS150:DT151 DS155:DT156 DS160:DT161 DS165:DT166 DS170:DT171 DS175:DT176 DS180:DT181 DS185:DT186 DS190:DT191 DS195:DT196 DS200:DT200">
    <cfRule type="cellIs" dxfId="59" priority="59" operator="lessThan">
      <formula>0</formula>
    </cfRule>
    <cfRule type="cellIs" dxfId="58" priority="60" operator="greaterThan">
      <formula>0</formula>
    </cfRule>
  </conditionalFormatting>
  <conditionalFormatting sqref="DS201:DT201">
    <cfRule type="cellIs" dxfId="57" priority="57" operator="lessThan">
      <formula>0</formula>
    </cfRule>
    <cfRule type="cellIs" dxfId="56" priority="58" operator="greaterThan">
      <formula>0</formula>
    </cfRule>
  </conditionalFormatting>
  <conditionalFormatting sqref="DY6:DZ6 DY10:DZ11 DY15:DZ16 DY20:DZ21 DY25:DZ26 DY30:DZ31 DY35:DZ36 DY40:DZ41 DY45:DZ46 DY50:DZ51 DY55:DZ56 DY60:DZ61 DY65:DZ66 DY70:DZ71 DY75:DZ76 DY80:DZ81 DY85:DZ86 DY90:DZ91 DY95:DZ96 DY100:DZ101 DY105:DZ106 DY110:DZ111 DY115:DZ116 DY120:DZ121 DY125:DZ126 DY130:DZ131 DY135:DZ136 DY140:DZ141 DY145:DZ146 DY150:DZ151 DY155:DZ156 DY160:DZ161 DY165:DZ166 DY170:DZ171 DY175:DZ176 DY180:DZ181 DY185:DZ186 DY190:DZ191 DY195:DZ196 DY200:DZ200">
    <cfRule type="cellIs" dxfId="55" priority="55" operator="lessThan">
      <formula>0</formula>
    </cfRule>
    <cfRule type="cellIs" dxfId="54" priority="56" operator="greaterThan">
      <formula>0</formula>
    </cfRule>
  </conditionalFormatting>
  <conditionalFormatting sqref="DY201:DZ201">
    <cfRule type="cellIs" dxfId="53" priority="53" operator="lessThan">
      <formula>0</formula>
    </cfRule>
    <cfRule type="cellIs" dxfId="52" priority="54" operator="greaterThan">
      <formula>0</formula>
    </cfRule>
  </conditionalFormatting>
  <conditionalFormatting sqref="EE6:EF6 EE10:EF11 EE15:EF16 EE20:EF21 EE25:EF26 EE30:EF31 EE35:EF36 EE40:EF41 EE45:EF46 EE50:EF51 EE55:EF56 EE60:EF61 EE65:EF66 EE70:EF71 EE75:EF76 EE80:EF81 EE85:EF86 EE90:EF91 EE95:EF96 EE100:EF101 EE105:EF106 EE110:EF111 EE115:EF116 EE120:EF121 EE125:EF126 EE130:EF131 EE135:EF136 EE140:EF141 EE145:EF146 EE150:EF151 EE155:EF156 EE160:EF161 EE165:EF166 EE170:EF171 EE175:EF176 EE180:EF181 EE185:EF186 EE190:EF191 EE195:EF196 EE200:EF200">
    <cfRule type="cellIs" dxfId="51" priority="51" operator="lessThan">
      <formula>0</formula>
    </cfRule>
    <cfRule type="cellIs" dxfId="50" priority="52" operator="greaterThan">
      <formula>0</formula>
    </cfRule>
  </conditionalFormatting>
  <conditionalFormatting sqref="EE201:EF201">
    <cfRule type="cellIs" dxfId="49" priority="49" operator="lessThan">
      <formula>0</formula>
    </cfRule>
    <cfRule type="cellIs" dxfId="48" priority="50" operator="greaterThan">
      <formula>0</formula>
    </cfRule>
  </conditionalFormatting>
  <conditionalFormatting sqref="EK6:EL6 EK10:EL11 EK15:EL16 EK20:EL21 EK25:EL26 EK30:EL31 EK35:EL36 EK40:EL41 EK45:EL46 EK50:EL51 EK55:EL56 EK60:EL61 EK65:EL66 EK70:EL71 EK75:EL76 EK80:EL81 EK85:EL86 EK90:EL91 EK95:EL96 EK100:EL101 EK105:EL106 EK110:EL111 EK115:EL116 EK120:EL121 EK125:EL126 EK130:EL131 EK135:EL136 EK140:EL141 EK145:EL146 EK150:EL151 EK155:EL156 EK160:EL161 EK165:EL166 EK170:EL171 EK175:EL176 EK180:EL181 EK185:EL186 EK190:EL191 EK195:EL196 EK200:EL200">
    <cfRule type="cellIs" dxfId="47" priority="47" operator="lessThan">
      <formula>0</formula>
    </cfRule>
    <cfRule type="cellIs" dxfId="46" priority="48" operator="greaterThan">
      <formula>0</formula>
    </cfRule>
  </conditionalFormatting>
  <conditionalFormatting sqref="EK201:EL201">
    <cfRule type="cellIs" dxfId="45" priority="45" operator="lessThan">
      <formula>0</formula>
    </cfRule>
    <cfRule type="cellIs" dxfId="44" priority="46" operator="greaterThan">
      <formula>0</formula>
    </cfRule>
  </conditionalFormatting>
  <conditionalFormatting sqref="EQ6:ER6 EQ10:ER11 EQ15:ER16 EQ20:ER21 EQ25:ER26 EQ30:ER31 EQ35:ER36 EQ40:ER41 EQ45:ER46 EQ50:ER51 EQ55:ER56 EQ60:ER61 EQ65:ER66 EQ70:ER71 EQ75:ER76 EQ80:ER81 EQ85:ER86 EQ90:ER91 EQ95:ER96 EQ100:ER101 EQ105:ER106 EQ110:ER111 EQ115:ER116 EQ120:ER121 EQ125:ER126 EQ130:ER131 EQ135:ER136 EQ140:ER141 EQ145:ER146 EQ150:ER151 EQ155:ER156 EQ160:ER161 EQ165:ER166 EQ170:ER171 EQ175:ER176 EQ180:ER181 EQ185:ER186 EQ190:ER191 EQ195:ER196 EQ200:ER200">
    <cfRule type="cellIs" dxfId="43" priority="43" operator="lessThan">
      <formula>0</formula>
    </cfRule>
    <cfRule type="cellIs" dxfId="42" priority="44" operator="greaterThan">
      <formula>0</formula>
    </cfRule>
  </conditionalFormatting>
  <conditionalFormatting sqref="EQ201:ER201">
    <cfRule type="cellIs" dxfId="41" priority="41" operator="lessThan">
      <formula>0</formula>
    </cfRule>
    <cfRule type="cellIs" dxfId="40" priority="42" operator="greaterThan">
      <formula>0</formula>
    </cfRule>
  </conditionalFormatting>
  <conditionalFormatting sqref="EW6:EX6 EW10:EX11 EW15:EX16 EW20:EX21 EW25:EX26 EW30:EX31 EW35:EX36 EW40:EX41 EW45:EX46 EW50:EX51 EW55:EX56 EW60:EX61 EW65:EX66 EW70:EX71 EW75:EX76 EW80:EX81 EW85:EX86 EW90:EX91 EW95:EX96 EW100:EX101 EW105:EX106 EW110:EX111 EW115:EX116 EW120:EX121 EW125:EX126 EW130:EX131 EW135:EX136 EW140:EX141 EW145:EX146 EW150:EX151 EW155:EX156 EW160:EX161 EW165:EX166 EW170:EX171 EW175:EX176 EW180:EX181 EW185:EX186 EW190:EX191 EW195:EX196 EW200:EX200">
    <cfRule type="cellIs" dxfId="39" priority="39" operator="lessThan">
      <formula>0</formula>
    </cfRule>
    <cfRule type="cellIs" dxfId="38" priority="40" operator="greaterThan">
      <formula>0</formula>
    </cfRule>
  </conditionalFormatting>
  <conditionalFormatting sqref="EW201:EX201">
    <cfRule type="cellIs" dxfId="37" priority="37" operator="lessThan">
      <formula>0</formula>
    </cfRule>
    <cfRule type="cellIs" dxfId="36" priority="38" operator="greaterThan">
      <formula>0</formula>
    </cfRule>
  </conditionalFormatting>
  <conditionalFormatting sqref="FC6:FD6 FC10:FD11 FC15:FD16 FC20:FD21 FC25:FD26 FC30:FD31 FC35:FD36 FC40:FD41 FC45:FD46 FC50:FD51 FC55:FD56 FC60:FD61 FC65:FD66 FC70:FD71 FC75:FD76 FC80:FD81 FC85:FD86 FC90:FD91 FC95:FD96 FC100:FD101 FC105:FD106 FC110:FD111 FC115:FD116 FC120:FD121 FC125:FD126 FC130:FD131 FC135:FD136 FC140:FD141 FC145:FD146 FC150:FD151 FC155:FD156 FC160:FD161 FC165:FD166 FC170:FD171 FC175:FD176 FC180:FD181 FC185:FD186 FC190:FD191 FC195:FD196 FC200:FD200">
    <cfRule type="cellIs" dxfId="35" priority="35" operator="lessThan">
      <formula>0</formula>
    </cfRule>
    <cfRule type="cellIs" dxfId="34" priority="36" operator="greaterThan">
      <formula>0</formula>
    </cfRule>
  </conditionalFormatting>
  <conditionalFormatting sqref="FC201:FD201">
    <cfRule type="cellIs" dxfId="33" priority="33" operator="lessThan">
      <formula>0</formula>
    </cfRule>
    <cfRule type="cellIs" dxfId="32" priority="34" operator="greaterThan">
      <formula>0</formula>
    </cfRule>
  </conditionalFormatting>
  <conditionalFormatting sqref="FI6:FJ6 FI10:FJ11 FI15:FJ16 FI20:FJ21 FI25:FJ26 FI30:FJ31 FI35:FJ36 FI40:FJ41 FI45:FJ46 FI50:FJ51 FI55:FJ56 FI60:FJ61 FI65:FJ66 FI70:FJ71 FI75:FJ76 FI80:FJ81 FI85:FJ86 FI90:FJ91 FI95:FJ96 FI100:FJ101 FI105:FJ106 FI110:FJ111 FI115:FJ116 FI120:FJ121 FI125:FJ126 FI130:FJ131 FI135:FJ136 FI140:FJ141 FI145:FJ146 FI150:FJ151 FI155:FJ156 FI160:FJ161 FI165:FJ166 FI170:FJ171 FI175:FJ176 FI180:FJ181 FI185:FJ186 FI190:FJ191 FI195:FJ196 FI200:FJ200">
    <cfRule type="cellIs" dxfId="31" priority="31" operator="lessThan">
      <formula>0</formula>
    </cfRule>
    <cfRule type="cellIs" dxfId="30" priority="32" operator="greaterThan">
      <formula>0</formula>
    </cfRule>
  </conditionalFormatting>
  <conditionalFormatting sqref="FI201:FJ201">
    <cfRule type="cellIs" dxfId="29" priority="29" operator="lessThan">
      <formula>0</formula>
    </cfRule>
    <cfRule type="cellIs" dxfId="28" priority="30" operator="greaterThan">
      <formula>0</formula>
    </cfRule>
  </conditionalFormatting>
  <conditionalFormatting sqref="FO6:FP6 FO10:FP11 FO15:FP16 FO20:FP21 FO25:FP26 FO30:FP31 FO35:FP36 FO40:FP41 FO45:FP46 FO50:FP51 FO55:FP56 FO60:FP61 FO65:FP66 FO70:FP71 FO75:FP76 FO80:FP81 FO85:FP86 FO90:FP91 FO95:FP96 FO100:FP101 FO105:FP106 FO110:FP111 FO115:FP116 FO120:FP121 FO125:FP126 FO130:FP131 FO135:FP136 FO140:FP141 FO145:FP146 FO150:FP151 FO155:FP156 FO160:FP161 FO165:FP166 FO170:FP171 FO175:FP176 FO180:FP181 FO185:FP186 FO190:FP191 FO195:FP196 FO200:FP200">
    <cfRule type="cellIs" dxfId="27" priority="27" operator="lessThan">
      <formula>0</formula>
    </cfRule>
    <cfRule type="cellIs" dxfId="26" priority="28" operator="greaterThan">
      <formula>0</formula>
    </cfRule>
  </conditionalFormatting>
  <conditionalFormatting sqref="FO201:FP201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FU6:FV6 FU10:FV11 FU15:FV16 FU20:FV21 FU25:FV26 FU30:FV31 FU35:FV36 FU40:FV41 FU45:FV46 FU50:FV51 FU55:FV56 FU60:FV61 FU65:FV66 FU70:FV71 FU75:FV76 FU80:FV81 FU85:FV86 FU90:FV91 FU95:FV96 FU100:FV101 FU105:FV106 FU110:FV111 FU115:FV116 FU120:FV121 FU125:FV126 FU130:FV131 FU135:FV136 FU140:FV141 FU145:FV146 FU150:FV151 FU155:FV156 FU160:FV161 FU165:FV166 FU170:FV171 FU175:FV176 FU180:FV181 FU185:FV186 FU190:FV191 FU195:FV196 FU200:FV200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FU201:FV201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GA6:GB6 GA10:GB11 GA15:GB16 GA20:GB21 GA25:GB26 GA30:GB31 GA35:GB36 GA40:GB41 GA45:GB46 GA50:GB51 GA55:GB56 GA60:GB61 GA65:GB66 GA70:GB71 GA75:GB76 GA80:GB81 GA85:GB86 GA90:GB91 GA95:GB96 GA100:GB101 GA105:GB106 GA110:GB111 GA115:GB116 GA120:GB121 GA125:GB126 GA130:GB131 GA135:GB136 GA140:GB141 GA145:GB146 GA150:GB151 GA155:GB156 GA160:GB161 GA165:GB166 GA170:GB171 GA175:GB176 GA180:GB181 GA185:GB186 GA190:GB191 GA195:GB196 GA200:GB200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GA201:GB201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GG6:GH6 GG10:GH11 GG15:GH16 GG20:GH21 GG25:GH26 GG30:GH31 GG35:GH36 GG40:GH41 GG45:GH46 GG50:GH51 GG55:GH56 GG60:GH61 GG65:GH66 GG70:GH71 GG75:GH76 GG80:GH81 GG85:GH86 GG90:GH91 GG95:GH96 GG100:GH101 GG105:GH106 GG110:GH111 GG115:GH116 GG120:GH121 GG125:GH126 GG130:GH131 GG135:GH136 GG140:GH141 GG145:GH146 GG150:GH151 GG155:GH156 GG160:GH161 GG165:GH166 GG170:GH171 GG175:GH176 GG180:GH181 GG185:GH186 GG190:GH191 GG195:GH196 GG200:GH200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GG201:GH201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GM6:GN6 GM10:GN11 GM15:GN16 GM20:GN21 GM25:GN26 GM30:GN31 GM35:GN36 GM40:GN41 GM45:GN46 GM50:GN51 GM55:GN56 GM60:GN61 GM65:GN66 GM70:GN71 GM75:GN76 GM80:GN81 GM85:GN86 GM90:GN91 GM95:GN96 GM100:GN101 GM105:GN106 GM110:GN111 GM115:GN116 GM120:GN121 GM125:GN126 GM130:GN131 GM135:GN136 GM140:GN141 GM145:GN146 GM150:GN151 GM155:GN156 GM160:GN161 GM165:GN166 GM170:GN171 GM175:GN176 GM180:GN181 GM185:GN186 GM190:GN191 GM195:GN196 GM200:GN200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GM201:GN201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GS6:GT6 GS10:GT11 GS15:GT16 GS20:GT21 GS25:GT26 GS30:GT31 GS35:GT36 GS40:GT41 GS45:GT46 GS50:GT51 GS55:GT56 GS60:GT61 GS65:GT66 GS70:GT71 GS75:GT76 GS80:GT81 GS85:GT86 GS90:GT91 GS95:GT96 GS100:GT101 GS105:GT106 GS110:GT111 GS115:GT116 GS120:GT121 GS125:GT126 GS130:GT131 GS135:GT136 GS140:GT141 GS145:GT146 GS150:GT151 GS155:GT156 GS160:GT161 GS165:GT166 GS170:GT171 GS175:GT176 GS180:GT181 GS185:GT186 GS190:GT191 GS195:GT196 GS200:GT200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GS201:GT20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GY6:GZ6 GY10:GZ11 GY15:GZ16 GY20:GZ21 GY25:GZ26 GY30:GZ31 GY35:GZ36 GY40:GZ41 GY45:GZ46 GY50:GZ51 GY55:GZ56 GY60:GZ61 GY65:GZ66 GY70:GZ71 GY75:GZ76 GY80:GZ81 GY85:GZ86 GY90:GZ91 GY95:GZ96 GY100:GZ101 GY105:GZ106 GY110:GZ111 GY115:GZ116 GY120:GZ121 GY125:GZ126 GY130:GZ131 GY135:GZ136 GY140:GZ141 GY145:GZ146 GY150:GZ151 GY155:GZ156 GY160:GZ161 GY165:GZ166 GY170:GZ171 GY175:GZ176 GY180:GZ181 GY185:GZ186 GY190:GZ191 GY195:GZ196 GY200:GZ200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Y201:GZ201">
    <cfRule type="cellIs" dxfId="1" priority="1" operator="lessThan">
      <formula>0</formula>
    </cfRule>
    <cfRule type="cellIs" dxfId="0" priority="2" operator="greaterThan">
      <formula>0</formula>
    </cfRule>
  </conditionalFormatting>
  <dataValidations disablePrompts="1" count="1">
    <dataValidation type="custom" allowBlank="1" showInputMessage="1" showErrorMessage="1" errorTitle="Atenção!" error="Veículo não é Adaptado" sqref="R6:R200 T6:T200 X6:X200 Z6:Z200 AD6:AD200 AF6:AF200 AJ6:AJ200 AL6:AL200 AP6:AP200 AR6:AR200 AV6:AV200 AX6:AX200 BB6:BB200 BD6:BD200 BH6:BH200 BJ6:BJ200 BN6:BN200 BP6:BP200 BT6:BT200 BV6:BV200 BZ6:BZ200 CB6:CB200 CF6:CF200 CH6:CH200 CL6:CL200 CN6:CN200 CR6:CR200 CT6:CT200 CX6:CX200 CZ6:CZ200 DD6:DD200 DF6:DF200 DJ6:DJ200 DL6:DL200 DP6:DP200 DR6:DR200 DV6:DV200 DX6:DX200 EB6:EB200 ED6:ED200 EH6:EH200 EJ6:EJ200 EN6:EN200 EP6:EP200 ET6:ET200 EV6:EV200 EZ6:EZ200 FB6:FB200 FF6:FF200 FH6:FH200 FL6:FL200 FN6:FN200 FR6:FR200 FT6:FT200 FX6:FX200 FZ6:FZ200 GD6:GD200 GF6:GF200 GJ6:GJ200 GL6:GL200 GP6:GP200 GR6:GR200 GV6:GV200 GX6:GX20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424" t="s">
        <v>307</v>
      </c>
      <c r="B1" s="424" t="s">
        <v>308</v>
      </c>
    </row>
    <row r="2" spans="1:2" ht="15" hidden="1" x14ac:dyDescent="0.25">
      <c r="A2" s="425" t="s">
        <v>208</v>
      </c>
      <c r="B2" s="425" t="s">
        <v>309</v>
      </c>
    </row>
    <row r="3" spans="1:2" ht="15" hidden="1" x14ac:dyDescent="0.25">
      <c r="A3" s="425" t="s">
        <v>178</v>
      </c>
      <c r="B3" s="425" t="s">
        <v>310</v>
      </c>
    </row>
    <row r="4" spans="1:2" ht="15" hidden="1" x14ac:dyDescent="0.25">
      <c r="A4" s="425" t="s">
        <v>178</v>
      </c>
      <c r="B4" s="425" t="s">
        <v>310</v>
      </c>
    </row>
    <row r="5" spans="1:2" ht="15" hidden="1" x14ac:dyDescent="0.25">
      <c r="A5" s="425" t="s">
        <v>178</v>
      </c>
      <c r="B5" s="425" t="s">
        <v>310</v>
      </c>
    </row>
    <row r="6" spans="1:2" ht="15" hidden="1" x14ac:dyDescent="0.25">
      <c r="A6" s="425" t="s">
        <v>178</v>
      </c>
      <c r="B6" s="425" t="s">
        <v>310</v>
      </c>
    </row>
    <row r="7" spans="1:2" ht="15" hidden="1" x14ac:dyDescent="0.25">
      <c r="A7" s="425" t="s">
        <v>178</v>
      </c>
      <c r="B7" s="425" t="s">
        <v>310</v>
      </c>
    </row>
    <row r="8" spans="1:2" ht="15" hidden="1" x14ac:dyDescent="0.25">
      <c r="A8" s="425" t="s">
        <v>178</v>
      </c>
      <c r="B8" s="425" t="s">
        <v>310</v>
      </c>
    </row>
    <row r="9" spans="1:2" ht="15" hidden="1" x14ac:dyDescent="0.25">
      <c r="A9" s="425" t="s">
        <v>179</v>
      </c>
      <c r="B9" s="425" t="s">
        <v>311</v>
      </c>
    </row>
    <row r="10" spans="1:2" ht="15" hidden="1" x14ac:dyDescent="0.25">
      <c r="A10" s="425" t="s">
        <v>179</v>
      </c>
      <c r="B10" s="425" t="s">
        <v>311</v>
      </c>
    </row>
    <row r="11" spans="1:2" ht="15" hidden="1" x14ac:dyDescent="0.25">
      <c r="A11" s="425" t="s">
        <v>179</v>
      </c>
      <c r="B11" s="425" t="s">
        <v>311</v>
      </c>
    </row>
    <row r="12" spans="1:2" ht="15" hidden="1" x14ac:dyDescent="0.25">
      <c r="A12" s="425" t="s">
        <v>180</v>
      </c>
      <c r="B12" s="425" t="s">
        <v>312</v>
      </c>
    </row>
    <row r="13" spans="1:2" ht="15" hidden="1" x14ac:dyDescent="0.25">
      <c r="A13" s="425" t="s">
        <v>180</v>
      </c>
      <c r="B13" s="425" t="s">
        <v>312</v>
      </c>
    </row>
    <row r="14" spans="1:2" ht="15" hidden="1" x14ac:dyDescent="0.25">
      <c r="A14" s="425" t="s">
        <v>180</v>
      </c>
      <c r="B14" s="425" t="s">
        <v>312</v>
      </c>
    </row>
    <row r="15" spans="1:2" ht="15" hidden="1" x14ac:dyDescent="0.25">
      <c r="A15" s="425" t="s">
        <v>180</v>
      </c>
      <c r="B15" s="425" t="s">
        <v>312</v>
      </c>
    </row>
    <row r="16" spans="1:2" ht="15" hidden="1" x14ac:dyDescent="0.25">
      <c r="A16" s="425" t="s">
        <v>180</v>
      </c>
      <c r="B16" s="425" t="s">
        <v>312</v>
      </c>
    </row>
    <row r="17" spans="1:2" ht="15" hidden="1" x14ac:dyDescent="0.25">
      <c r="A17" s="425" t="s">
        <v>181</v>
      </c>
      <c r="B17" s="425" t="s">
        <v>313</v>
      </c>
    </row>
    <row r="18" spans="1:2" ht="15" hidden="1" x14ac:dyDescent="0.25">
      <c r="A18" s="425" t="s">
        <v>181</v>
      </c>
      <c r="B18" s="425" t="s">
        <v>313</v>
      </c>
    </row>
    <row r="19" spans="1:2" ht="15" hidden="1" x14ac:dyDescent="0.25">
      <c r="A19" s="425" t="s">
        <v>181</v>
      </c>
      <c r="B19" s="425" t="s">
        <v>313</v>
      </c>
    </row>
    <row r="20" spans="1:2" ht="15" hidden="1" x14ac:dyDescent="0.25">
      <c r="A20" s="425" t="s">
        <v>181</v>
      </c>
      <c r="B20" s="425" t="s">
        <v>313</v>
      </c>
    </row>
    <row r="21" spans="1:2" ht="15" hidden="1" x14ac:dyDescent="0.25">
      <c r="A21" s="425" t="s">
        <v>181</v>
      </c>
      <c r="B21" s="425" t="s">
        <v>313</v>
      </c>
    </row>
    <row r="22" spans="1:2" ht="15" hidden="1" x14ac:dyDescent="0.25">
      <c r="A22" s="425" t="s">
        <v>181</v>
      </c>
      <c r="B22" s="425" t="s">
        <v>313</v>
      </c>
    </row>
    <row r="23" spans="1:2" ht="15" hidden="1" x14ac:dyDescent="0.25">
      <c r="A23" s="425" t="s">
        <v>181</v>
      </c>
      <c r="B23" s="425" t="s">
        <v>313</v>
      </c>
    </row>
    <row r="24" spans="1:2" ht="15" hidden="1" x14ac:dyDescent="0.25">
      <c r="A24" s="425" t="s">
        <v>181</v>
      </c>
      <c r="B24" s="425" t="s">
        <v>313</v>
      </c>
    </row>
    <row r="25" spans="1:2" ht="15" hidden="1" x14ac:dyDescent="0.25">
      <c r="A25" s="425" t="s">
        <v>181</v>
      </c>
      <c r="B25" s="425" t="s">
        <v>313</v>
      </c>
    </row>
    <row r="26" spans="1:2" ht="15" hidden="1" x14ac:dyDescent="0.25">
      <c r="A26" s="425" t="s">
        <v>181</v>
      </c>
      <c r="B26" s="425" t="s">
        <v>313</v>
      </c>
    </row>
    <row r="27" spans="1:2" ht="15" hidden="1" x14ac:dyDescent="0.25">
      <c r="A27" s="425" t="s">
        <v>181</v>
      </c>
      <c r="B27" s="425" t="s">
        <v>313</v>
      </c>
    </row>
    <row r="28" spans="1:2" ht="15" hidden="1" x14ac:dyDescent="0.25">
      <c r="A28" s="425" t="s">
        <v>181</v>
      </c>
      <c r="B28" s="425" t="s">
        <v>313</v>
      </c>
    </row>
    <row r="29" spans="1:2" ht="15" hidden="1" x14ac:dyDescent="0.25">
      <c r="A29" s="425" t="s">
        <v>181</v>
      </c>
      <c r="B29" s="425" t="s">
        <v>313</v>
      </c>
    </row>
    <row r="30" spans="1:2" ht="15" hidden="1" x14ac:dyDescent="0.25">
      <c r="A30" s="425" t="s">
        <v>209</v>
      </c>
      <c r="B30" s="425" t="s">
        <v>314</v>
      </c>
    </row>
    <row r="31" spans="1:2" ht="15" hidden="1" x14ac:dyDescent="0.25">
      <c r="A31" s="425" t="s">
        <v>182</v>
      </c>
      <c r="B31" s="425" t="s">
        <v>315</v>
      </c>
    </row>
    <row r="32" spans="1:2" ht="15" hidden="1" x14ac:dyDescent="0.25">
      <c r="A32" s="425" t="s">
        <v>182</v>
      </c>
      <c r="B32" s="425" t="s">
        <v>315</v>
      </c>
    </row>
    <row r="33" spans="1:2" ht="15" hidden="1" x14ac:dyDescent="0.25">
      <c r="A33" s="425" t="s">
        <v>182</v>
      </c>
      <c r="B33" s="425" t="s">
        <v>315</v>
      </c>
    </row>
    <row r="34" spans="1:2" ht="15" hidden="1" x14ac:dyDescent="0.25">
      <c r="A34" s="425" t="s">
        <v>182</v>
      </c>
      <c r="B34" s="425" t="s">
        <v>315</v>
      </c>
    </row>
    <row r="35" spans="1:2" ht="15" hidden="1" x14ac:dyDescent="0.25">
      <c r="A35" s="425" t="s">
        <v>182</v>
      </c>
      <c r="B35" s="425" t="s">
        <v>315</v>
      </c>
    </row>
    <row r="36" spans="1:2" ht="15" hidden="1" x14ac:dyDescent="0.25">
      <c r="A36" s="425" t="s">
        <v>182</v>
      </c>
      <c r="B36" s="425" t="s">
        <v>315</v>
      </c>
    </row>
    <row r="37" spans="1:2" ht="15" hidden="1" x14ac:dyDescent="0.25">
      <c r="A37" s="425" t="s">
        <v>182</v>
      </c>
      <c r="B37" s="425" t="s">
        <v>315</v>
      </c>
    </row>
    <row r="38" spans="1:2" ht="15" hidden="1" x14ac:dyDescent="0.25">
      <c r="A38" s="425" t="s">
        <v>182</v>
      </c>
      <c r="B38" s="425" t="s">
        <v>315</v>
      </c>
    </row>
    <row r="39" spans="1:2" ht="15" hidden="1" x14ac:dyDescent="0.25">
      <c r="A39" s="425" t="s">
        <v>182</v>
      </c>
      <c r="B39" s="425" t="s">
        <v>315</v>
      </c>
    </row>
    <row r="40" spans="1:2" ht="15" hidden="1" x14ac:dyDescent="0.25">
      <c r="A40" s="425" t="s">
        <v>182</v>
      </c>
      <c r="B40" s="425" t="s">
        <v>315</v>
      </c>
    </row>
    <row r="41" spans="1:2" ht="15" hidden="1" x14ac:dyDescent="0.25">
      <c r="A41" s="425" t="s">
        <v>182</v>
      </c>
      <c r="B41" s="425" t="s">
        <v>315</v>
      </c>
    </row>
    <row r="42" spans="1:2" ht="15" hidden="1" x14ac:dyDescent="0.25">
      <c r="A42" s="425" t="s">
        <v>182</v>
      </c>
      <c r="B42" s="425" t="s">
        <v>315</v>
      </c>
    </row>
    <row r="43" spans="1:2" ht="15" hidden="1" x14ac:dyDescent="0.25">
      <c r="A43" s="425" t="s">
        <v>210</v>
      </c>
      <c r="B43" s="425" t="s">
        <v>316</v>
      </c>
    </row>
    <row r="44" spans="1:2" ht="15" hidden="1" x14ac:dyDescent="0.25">
      <c r="A44" s="425" t="s">
        <v>183</v>
      </c>
      <c r="B44" s="425" t="s">
        <v>317</v>
      </c>
    </row>
    <row r="45" spans="1:2" ht="15" hidden="1" x14ac:dyDescent="0.25">
      <c r="A45" s="425" t="s">
        <v>184</v>
      </c>
      <c r="B45" s="425" t="s">
        <v>318</v>
      </c>
    </row>
    <row r="46" spans="1:2" ht="15" hidden="1" x14ac:dyDescent="0.25">
      <c r="A46" s="425" t="s">
        <v>184</v>
      </c>
      <c r="B46" s="425" t="s">
        <v>318</v>
      </c>
    </row>
    <row r="47" spans="1:2" ht="15" hidden="1" x14ac:dyDescent="0.25">
      <c r="A47" s="425" t="s">
        <v>184</v>
      </c>
      <c r="B47" s="425" t="s">
        <v>318</v>
      </c>
    </row>
    <row r="48" spans="1:2" ht="15" hidden="1" x14ac:dyDescent="0.25">
      <c r="A48" s="425" t="s">
        <v>184</v>
      </c>
      <c r="B48" s="425" t="s">
        <v>318</v>
      </c>
    </row>
    <row r="49" spans="1:2" ht="15" hidden="1" x14ac:dyDescent="0.25">
      <c r="A49" s="425" t="s">
        <v>184</v>
      </c>
      <c r="B49" s="425" t="s">
        <v>318</v>
      </c>
    </row>
    <row r="50" spans="1:2" ht="15" hidden="1" x14ac:dyDescent="0.25">
      <c r="A50" s="425" t="s">
        <v>184</v>
      </c>
      <c r="B50" s="425" t="s">
        <v>318</v>
      </c>
    </row>
    <row r="51" spans="1:2" ht="15" hidden="1" x14ac:dyDescent="0.25">
      <c r="A51" s="425" t="s">
        <v>184</v>
      </c>
      <c r="B51" s="425" t="s">
        <v>318</v>
      </c>
    </row>
    <row r="52" spans="1:2" ht="15" hidden="1" x14ac:dyDescent="0.25">
      <c r="A52" s="425" t="s">
        <v>184</v>
      </c>
      <c r="B52" s="425" t="s">
        <v>318</v>
      </c>
    </row>
    <row r="53" spans="1:2" ht="15" hidden="1" x14ac:dyDescent="0.25">
      <c r="A53" s="425" t="s">
        <v>184</v>
      </c>
      <c r="B53" s="425" t="s">
        <v>318</v>
      </c>
    </row>
    <row r="54" spans="1:2" ht="15" hidden="1" x14ac:dyDescent="0.25">
      <c r="A54" s="425" t="s">
        <v>184</v>
      </c>
      <c r="B54" s="425" t="s">
        <v>318</v>
      </c>
    </row>
    <row r="55" spans="1:2" ht="15" hidden="1" x14ac:dyDescent="0.25">
      <c r="A55" s="425" t="s">
        <v>184</v>
      </c>
      <c r="B55" s="425" t="s">
        <v>318</v>
      </c>
    </row>
    <row r="56" spans="1:2" ht="15" hidden="1" x14ac:dyDescent="0.25">
      <c r="A56" s="425" t="s">
        <v>184</v>
      </c>
      <c r="B56" s="425" t="s">
        <v>318</v>
      </c>
    </row>
    <row r="57" spans="1:2" ht="15" hidden="1" x14ac:dyDescent="0.25">
      <c r="A57" s="425" t="s">
        <v>185</v>
      </c>
      <c r="B57" s="425" t="s">
        <v>319</v>
      </c>
    </row>
    <row r="58" spans="1:2" ht="15" hidden="1" x14ac:dyDescent="0.25">
      <c r="A58" s="425" t="s">
        <v>185</v>
      </c>
      <c r="B58" s="425" t="s">
        <v>319</v>
      </c>
    </row>
    <row r="59" spans="1:2" ht="15" hidden="1" x14ac:dyDescent="0.25">
      <c r="A59" s="425" t="s">
        <v>185</v>
      </c>
      <c r="B59" s="425" t="s">
        <v>319</v>
      </c>
    </row>
    <row r="60" spans="1:2" ht="15" hidden="1" x14ac:dyDescent="0.25">
      <c r="A60" s="425" t="s">
        <v>185</v>
      </c>
      <c r="B60" s="425" t="s">
        <v>319</v>
      </c>
    </row>
    <row r="61" spans="1:2" ht="15" hidden="1" x14ac:dyDescent="0.25">
      <c r="A61" s="425" t="s">
        <v>185</v>
      </c>
      <c r="B61" s="425" t="s">
        <v>319</v>
      </c>
    </row>
    <row r="62" spans="1:2" ht="15" hidden="1" x14ac:dyDescent="0.25">
      <c r="A62" s="425" t="s">
        <v>185</v>
      </c>
      <c r="B62" s="425" t="s">
        <v>319</v>
      </c>
    </row>
    <row r="63" spans="1:2" ht="15" hidden="1" x14ac:dyDescent="0.25">
      <c r="A63" s="425" t="s">
        <v>185</v>
      </c>
      <c r="B63" s="425" t="s">
        <v>319</v>
      </c>
    </row>
    <row r="64" spans="1:2" ht="15" hidden="1" x14ac:dyDescent="0.25">
      <c r="A64" s="425" t="s">
        <v>185</v>
      </c>
      <c r="B64" s="425" t="s">
        <v>319</v>
      </c>
    </row>
    <row r="65" spans="1:2" ht="15" hidden="1" x14ac:dyDescent="0.25">
      <c r="A65" s="425" t="s">
        <v>185</v>
      </c>
      <c r="B65" s="425" t="s">
        <v>319</v>
      </c>
    </row>
    <row r="66" spans="1:2" ht="15" hidden="1" x14ac:dyDescent="0.25">
      <c r="A66" s="425" t="s">
        <v>185</v>
      </c>
      <c r="B66" s="425" t="s">
        <v>319</v>
      </c>
    </row>
    <row r="67" spans="1:2" ht="15" hidden="1" x14ac:dyDescent="0.25">
      <c r="A67" s="425" t="s">
        <v>185</v>
      </c>
      <c r="B67" s="425" t="s">
        <v>319</v>
      </c>
    </row>
    <row r="68" spans="1:2" ht="15" hidden="1" x14ac:dyDescent="0.25">
      <c r="A68" s="425" t="s">
        <v>185</v>
      </c>
      <c r="B68" s="425" t="s">
        <v>319</v>
      </c>
    </row>
    <row r="69" spans="1:2" ht="15" hidden="1" x14ac:dyDescent="0.25">
      <c r="A69" s="425" t="s">
        <v>185</v>
      </c>
      <c r="B69" s="425" t="s">
        <v>319</v>
      </c>
    </row>
    <row r="70" spans="1:2" ht="15" hidden="1" x14ac:dyDescent="0.25">
      <c r="A70" s="425" t="s">
        <v>211</v>
      </c>
      <c r="B70" s="425" t="s">
        <v>320</v>
      </c>
    </row>
    <row r="71" spans="1:2" ht="15" hidden="1" x14ac:dyDescent="0.25">
      <c r="A71" s="425" t="s">
        <v>186</v>
      </c>
      <c r="B71" s="425" t="s">
        <v>321</v>
      </c>
    </row>
    <row r="72" spans="1:2" ht="15" hidden="1" x14ac:dyDescent="0.25">
      <c r="A72" s="425" t="s">
        <v>186</v>
      </c>
      <c r="B72" s="425" t="s">
        <v>321</v>
      </c>
    </row>
    <row r="73" spans="1:2" ht="15" hidden="1" x14ac:dyDescent="0.25">
      <c r="A73" s="425" t="s">
        <v>186</v>
      </c>
      <c r="B73" s="425" t="s">
        <v>321</v>
      </c>
    </row>
    <row r="74" spans="1:2" ht="15" hidden="1" x14ac:dyDescent="0.25">
      <c r="A74" s="425" t="s">
        <v>187</v>
      </c>
      <c r="B74" s="425" t="s">
        <v>322</v>
      </c>
    </row>
    <row r="75" spans="1:2" ht="15" hidden="1" x14ac:dyDescent="0.25">
      <c r="A75" s="425" t="s">
        <v>187</v>
      </c>
      <c r="B75" s="425" t="s">
        <v>322</v>
      </c>
    </row>
    <row r="76" spans="1:2" ht="15" hidden="1" x14ac:dyDescent="0.25">
      <c r="A76" s="425" t="s">
        <v>187</v>
      </c>
      <c r="B76" s="425" t="s">
        <v>322</v>
      </c>
    </row>
    <row r="77" spans="1:2" ht="15" hidden="1" x14ac:dyDescent="0.25">
      <c r="A77" s="425" t="s">
        <v>187</v>
      </c>
      <c r="B77" s="425" t="s">
        <v>322</v>
      </c>
    </row>
    <row r="78" spans="1:2" ht="15" hidden="1" x14ac:dyDescent="0.25">
      <c r="A78" s="425" t="s">
        <v>188</v>
      </c>
      <c r="B78" s="425" t="s">
        <v>323</v>
      </c>
    </row>
    <row r="79" spans="1:2" ht="15" hidden="1" x14ac:dyDescent="0.25">
      <c r="A79" s="425" t="s">
        <v>286</v>
      </c>
      <c r="B79" s="425" t="s">
        <v>286</v>
      </c>
    </row>
    <row r="80" spans="1:2" ht="15" hidden="1" x14ac:dyDescent="0.25">
      <c r="A80" s="425" t="s">
        <v>324</v>
      </c>
      <c r="B80" s="425" t="s">
        <v>324</v>
      </c>
    </row>
    <row r="81" spans="1:2" ht="15" hidden="1" x14ac:dyDescent="0.25">
      <c r="A81" s="425" t="s">
        <v>324</v>
      </c>
      <c r="B81" s="425" t="s">
        <v>324</v>
      </c>
    </row>
    <row r="82" spans="1:2" ht="15" hidden="1" x14ac:dyDescent="0.25">
      <c r="A82" s="425" t="s">
        <v>325</v>
      </c>
      <c r="B82" s="425" t="s">
        <v>325</v>
      </c>
    </row>
    <row r="83" spans="1:2" ht="15" hidden="1" x14ac:dyDescent="0.25">
      <c r="A83" s="425" t="s">
        <v>326</v>
      </c>
      <c r="B83" s="425" t="s">
        <v>326</v>
      </c>
    </row>
    <row r="84" spans="1:2" ht="15" hidden="1" x14ac:dyDescent="0.25">
      <c r="A84" s="425" t="s">
        <v>288</v>
      </c>
      <c r="B84" s="425" t="s">
        <v>288</v>
      </c>
    </row>
    <row r="85" spans="1:2" ht="15" hidden="1" x14ac:dyDescent="0.25">
      <c r="A85" s="425" t="s">
        <v>327</v>
      </c>
      <c r="B85" s="425" t="s">
        <v>327</v>
      </c>
    </row>
    <row r="86" spans="1:2" ht="15" hidden="1" x14ac:dyDescent="0.25">
      <c r="A86" s="425" t="s">
        <v>328</v>
      </c>
      <c r="B86" s="425" t="s">
        <v>328</v>
      </c>
    </row>
    <row r="87" spans="1:2" ht="15" hidden="1" x14ac:dyDescent="0.25">
      <c r="A87" s="425" t="s">
        <v>328</v>
      </c>
      <c r="B87" s="425" t="s">
        <v>328</v>
      </c>
    </row>
    <row r="88" spans="1:2" ht="15" hidden="1" x14ac:dyDescent="0.25">
      <c r="A88" s="425" t="s">
        <v>329</v>
      </c>
      <c r="B88" s="425" t="s">
        <v>329</v>
      </c>
    </row>
    <row r="89" spans="1:2" ht="15" hidden="1" x14ac:dyDescent="0.25">
      <c r="A89" s="425" t="s">
        <v>289</v>
      </c>
      <c r="B89" s="425" t="s">
        <v>289</v>
      </c>
    </row>
    <row r="90" spans="1:2" ht="15" hidden="1" x14ac:dyDescent="0.25">
      <c r="A90" s="425" t="s">
        <v>330</v>
      </c>
      <c r="B90" s="425" t="s">
        <v>330</v>
      </c>
    </row>
    <row r="91" spans="1:2" ht="15" hidden="1" x14ac:dyDescent="0.25">
      <c r="A91" s="425" t="s">
        <v>331</v>
      </c>
      <c r="B91" s="425" t="s">
        <v>331</v>
      </c>
    </row>
    <row r="92" spans="1:2" ht="15" hidden="1" x14ac:dyDescent="0.25">
      <c r="A92" s="425" t="s">
        <v>332</v>
      </c>
      <c r="B92" s="425" t="s">
        <v>332</v>
      </c>
    </row>
    <row r="93" spans="1:2" ht="15" hidden="1" x14ac:dyDescent="0.25">
      <c r="A93" s="425" t="s">
        <v>293</v>
      </c>
      <c r="B93" s="425" t="s">
        <v>293</v>
      </c>
    </row>
    <row r="94" spans="1:2" ht="15" hidden="1" x14ac:dyDescent="0.25">
      <c r="A94" s="425" t="s">
        <v>333</v>
      </c>
      <c r="B94" s="425" t="s">
        <v>333</v>
      </c>
    </row>
    <row r="95" spans="1:2" ht="15" hidden="1" x14ac:dyDescent="0.25">
      <c r="A95" s="425" t="s">
        <v>334</v>
      </c>
      <c r="B95" s="425" t="s">
        <v>334</v>
      </c>
    </row>
    <row r="96" spans="1:2" ht="15" hidden="1" x14ac:dyDescent="0.25">
      <c r="A96" s="425" t="s">
        <v>335</v>
      </c>
      <c r="B96" s="425" t="s">
        <v>335</v>
      </c>
    </row>
    <row r="97" spans="1:2" ht="15" hidden="1" x14ac:dyDescent="0.25">
      <c r="A97" s="425" t="s">
        <v>335</v>
      </c>
      <c r="B97" s="425" t="s">
        <v>335</v>
      </c>
    </row>
    <row r="98" spans="1:2" ht="15" hidden="1" x14ac:dyDescent="0.25">
      <c r="A98" s="425" t="s">
        <v>336</v>
      </c>
      <c r="B98" s="425" t="s">
        <v>336</v>
      </c>
    </row>
    <row r="99" spans="1:2" ht="15" hidden="1" x14ac:dyDescent="0.25">
      <c r="A99" s="425" t="s">
        <v>291</v>
      </c>
      <c r="B99" s="425" t="s">
        <v>291</v>
      </c>
    </row>
    <row r="100" spans="1:2" ht="15" hidden="1" x14ac:dyDescent="0.25">
      <c r="A100" s="425" t="s">
        <v>291</v>
      </c>
      <c r="B100" s="425" t="s">
        <v>291</v>
      </c>
    </row>
    <row r="101" spans="1:2" ht="15" hidden="1" x14ac:dyDescent="0.25">
      <c r="A101" s="425" t="s">
        <v>290</v>
      </c>
      <c r="B101" s="425" t="s">
        <v>290</v>
      </c>
    </row>
    <row r="102" spans="1:2" ht="15" hidden="1" x14ac:dyDescent="0.25">
      <c r="A102" s="425" t="s">
        <v>337</v>
      </c>
      <c r="B102" s="425" t="s">
        <v>337</v>
      </c>
    </row>
    <row r="103" spans="1:2" ht="15" hidden="1" x14ac:dyDescent="0.25">
      <c r="A103" s="425" t="s">
        <v>337</v>
      </c>
      <c r="B103" s="425" t="s">
        <v>337</v>
      </c>
    </row>
    <row r="104" spans="1:2" ht="15" hidden="1" x14ac:dyDescent="0.25">
      <c r="A104" s="425" t="s">
        <v>337</v>
      </c>
      <c r="B104" s="425" t="s">
        <v>337</v>
      </c>
    </row>
    <row r="105" spans="1:2" ht="15" hidden="1" x14ac:dyDescent="0.25">
      <c r="A105" s="425" t="s">
        <v>338</v>
      </c>
      <c r="B105" s="425" t="s">
        <v>338</v>
      </c>
    </row>
    <row r="106" spans="1:2" ht="15" hidden="1" x14ac:dyDescent="0.25">
      <c r="A106" s="425" t="s">
        <v>338</v>
      </c>
      <c r="B106" s="425" t="s">
        <v>338</v>
      </c>
    </row>
    <row r="107" spans="1:2" ht="15" hidden="1" x14ac:dyDescent="0.25">
      <c r="A107" s="425" t="s">
        <v>339</v>
      </c>
      <c r="B107" s="425" t="s">
        <v>339</v>
      </c>
    </row>
    <row r="108" spans="1:2" ht="15" hidden="1" x14ac:dyDescent="0.25">
      <c r="A108" s="425" t="s">
        <v>340</v>
      </c>
      <c r="B108" s="425" t="s">
        <v>340</v>
      </c>
    </row>
    <row r="109" spans="1:2" ht="15" hidden="1" x14ac:dyDescent="0.25">
      <c r="A109" s="425" t="s">
        <v>341</v>
      </c>
      <c r="B109" s="425" t="s">
        <v>341</v>
      </c>
    </row>
    <row r="110" spans="1:2" ht="15" hidden="1" x14ac:dyDescent="0.25">
      <c r="A110" s="425" t="s">
        <v>342</v>
      </c>
      <c r="B110" s="425" t="s">
        <v>342</v>
      </c>
    </row>
    <row r="111" spans="1:2" ht="15" hidden="1" x14ac:dyDescent="0.25">
      <c r="A111" s="425" t="s">
        <v>343</v>
      </c>
      <c r="B111" s="425" t="s">
        <v>343</v>
      </c>
    </row>
    <row r="112" spans="1:2" ht="15" hidden="1" x14ac:dyDescent="0.25">
      <c r="A112" s="425" t="s">
        <v>343</v>
      </c>
      <c r="B112" s="425" t="s">
        <v>343</v>
      </c>
    </row>
    <row r="113" spans="1:2" ht="15" hidden="1" x14ac:dyDescent="0.25">
      <c r="A113" s="425" t="s">
        <v>292</v>
      </c>
      <c r="B113" s="425" t="s">
        <v>292</v>
      </c>
    </row>
    <row r="114" spans="1:2" ht="15" hidden="1" x14ac:dyDescent="0.25">
      <c r="A114" s="425" t="s">
        <v>344</v>
      </c>
      <c r="B114" s="425" t="s">
        <v>344</v>
      </c>
    </row>
    <row r="115" spans="1:2" ht="15" hidden="1" x14ac:dyDescent="0.25">
      <c r="A115" s="425" t="s">
        <v>345</v>
      </c>
      <c r="B115" s="425" t="s">
        <v>345</v>
      </c>
    </row>
    <row r="116" spans="1:2" ht="15" hidden="1" x14ac:dyDescent="0.25">
      <c r="A116" s="425" t="s">
        <v>346</v>
      </c>
      <c r="B116" s="425" t="s">
        <v>346</v>
      </c>
    </row>
    <row r="117" spans="1:2" ht="15" hidden="1" x14ac:dyDescent="0.25">
      <c r="A117" s="425" t="s">
        <v>347</v>
      </c>
      <c r="B117" s="425" t="s">
        <v>347</v>
      </c>
    </row>
    <row r="118" spans="1:2" ht="15" hidden="1" x14ac:dyDescent="0.25">
      <c r="A118" s="425" t="s">
        <v>347</v>
      </c>
      <c r="B118" s="425" t="s">
        <v>347</v>
      </c>
    </row>
    <row r="119" spans="1:2" ht="15" hidden="1" x14ac:dyDescent="0.25">
      <c r="A119" s="425" t="s">
        <v>348</v>
      </c>
      <c r="B119" s="425" t="s">
        <v>348</v>
      </c>
    </row>
    <row r="120" spans="1:2" ht="15" hidden="1" x14ac:dyDescent="0.25">
      <c r="A120" s="425" t="s">
        <v>349</v>
      </c>
      <c r="B120" s="425" t="s">
        <v>349</v>
      </c>
    </row>
    <row r="121" spans="1:2" ht="15" hidden="1" x14ac:dyDescent="0.25">
      <c r="A121" s="425" t="s">
        <v>202</v>
      </c>
      <c r="B121" s="425" t="s">
        <v>350</v>
      </c>
    </row>
    <row r="122" spans="1:2" ht="15" hidden="1" x14ac:dyDescent="0.25">
      <c r="A122" s="425" t="s">
        <v>202</v>
      </c>
      <c r="B122" s="425" t="s">
        <v>350</v>
      </c>
    </row>
    <row r="123" spans="1:2" ht="15" hidden="1" x14ac:dyDescent="0.25">
      <c r="A123" s="425" t="s">
        <v>203</v>
      </c>
      <c r="B123" s="425" t="s">
        <v>351</v>
      </c>
    </row>
    <row r="124" spans="1:2" ht="15" hidden="1" x14ac:dyDescent="0.25">
      <c r="A124" s="425" t="s">
        <v>204</v>
      </c>
      <c r="B124" s="425" t="s">
        <v>352</v>
      </c>
    </row>
    <row r="125" spans="1:2" ht="15" hidden="1" x14ac:dyDescent="0.25">
      <c r="A125" s="425" t="s">
        <v>204</v>
      </c>
      <c r="B125" s="425" t="s">
        <v>352</v>
      </c>
    </row>
    <row r="126" spans="1:2" ht="15" hidden="1" x14ac:dyDescent="0.25">
      <c r="A126" s="425" t="s">
        <v>204</v>
      </c>
      <c r="B126" s="425" t="s">
        <v>352</v>
      </c>
    </row>
    <row r="127" spans="1:2" ht="15" hidden="1" x14ac:dyDescent="0.25">
      <c r="A127" s="425" t="s">
        <v>204</v>
      </c>
      <c r="B127" s="425" t="s">
        <v>352</v>
      </c>
    </row>
    <row r="128" spans="1:2" ht="15" hidden="1" x14ac:dyDescent="0.25">
      <c r="A128" s="425" t="s">
        <v>205</v>
      </c>
      <c r="B128" s="425" t="s">
        <v>353</v>
      </c>
    </row>
    <row r="129" spans="1:2" ht="15" hidden="1" x14ac:dyDescent="0.25">
      <c r="A129" s="425" t="s">
        <v>206</v>
      </c>
      <c r="B129" s="425" t="s">
        <v>354</v>
      </c>
    </row>
    <row r="130" spans="1:2" ht="15" hidden="1" x14ac:dyDescent="0.25">
      <c r="A130" s="425" t="s">
        <v>207</v>
      </c>
      <c r="B130" s="425" t="s">
        <v>355</v>
      </c>
    </row>
    <row r="131" spans="1:2" ht="15" hidden="1" x14ac:dyDescent="0.25">
      <c r="A131" s="425" t="s">
        <v>212</v>
      </c>
      <c r="B131" s="425" t="s">
        <v>356</v>
      </c>
    </row>
    <row r="132" spans="1:2" ht="15" hidden="1" x14ac:dyDescent="0.25">
      <c r="A132" s="425" t="s">
        <v>212</v>
      </c>
      <c r="B132" s="425" t="s">
        <v>356</v>
      </c>
    </row>
    <row r="133" spans="1:2" ht="15" hidden="1" x14ac:dyDescent="0.25">
      <c r="A133" s="425" t="s">
        <v>213</v>
      </c>
      <c r="B133" s="425" t="s">
        <v>357</v>
      </c>
    </row>
    <row r="134" spans="1:2" ht="15" hidden="1" x14ac:dyDescent="0.25">
      <c r="A134" s="425" t="s">
        <v>189</v>
      </c>
      <c r="B134" s="425" t="s">
        <v>358</v>
      </c>
    </row>
    <row r="135" spans="1:2" ht="15" hidden="1" x14ac:dyDescent="0.25">
      <c r="A135" s="425" t="s">
        <v>189</v>
      </c>
      <c r="B135" s="425" t="s">
        <v>358</v>
      </c>
    </row>
    <row r="136" spans="1:2" ht="15" hidden="1" x14ac:dyDescent="0.25">
      <c r="A136" s="425" t="s">
        <v>189</v>
      </c>
      <c r="B136" s="425" t="s">
        <v>358</v>
      </c>
    </row>
    <row r="137" spans="1:2" ht="15" hidden="1" x14ac:dyDescent="0.25">
      <c r="A137" s="425" t="s">
        <v>214</v>
      </c>
      <c r="B137" s="425" t="s">
        <v>359</v>
      </c>
    </row>
    <row r="138" spans="1:2" ht="15" hidden="1" x14ac:dyDescent="0.25">
      <c r="A138" s="425" t="s">
        <v>215</v>
      </c>
      <c r="B138" s="425" t="s">
        <v>360</v>
      </c>
    </row>
    <row r="139" spans="1:2" ht="15" hidden="1" x14ac:dyDescent="0.25">
      <c r="A139" s="425" t="s">
        <v>215</v>
      </c>
      <c r="B139" s="425" t="s">
        <v>360</v>
      </c>
    </row>
    <row r="140" spans="1:2" ht="15" hidden="1" x14ac:dyDescent="0.25">
      <c r="A140" s="425" t="s">
        <v>216</v>
      </c>
      <c r="B140" s="425" t="s">
        <v>361</v>
      </c>
    </row>
    <row r="141" spans="1:2" ht="15" hidden="1" x14ac:dyDescent="0.25">
      <c r="A141" s="425" t="s">
        <v>216</v>
      </c>
      <c r="B141" s="425" t="s">
        <v>361</v>
      </c>
    </row>
    <row r="142" spans="1:2" ht="15" hidden="1" x14ac:dyDescent="0.25">
      <c r="A142" s="425" t="s">
        <v>217</v>
      </c>
      <c r="B142" s="425" t="s">
        <v>362</v>
      </c>
    </row>
    <row r="143" spans="1:2" ht="15" hidden="1" x14ac:dyDescent="0.25">
      <c r="A143" s="425" t="s">
        <v>218</v>
      </c>
      <c r="B143" s="425" t="s">
        <v>363</v>
      </c>
    </row>
    <row r="144" spans="1:2" ht="15" hidden="1" x14ac:dyDescent="0.25">
      <c r="A144" s="425" t="s">
        <v>218</v>
      </c>
      <c r="B144" s="425" t="s">
        <v>363</v>
      </c>
    </row>
    <row r="145" spans="1:2" ht="15" hidden="1" x14ac:dyDescent="0.25">
      <c r="A145" s="425" t="s">
        <v>218</v>
      </c>
      <c r="B145" s="425" t="s">
        <v>363</v>
      </c>
    </row>
    <row r="146" spans="1:2" ht="15" hidden="1" x14ac:dyDescent="0.25">
      <c r="A146" s="425" t="s">
        <v>219</v>
      </c>
      <c r="B146" s="425" t="s">
        <v>364</v>
      </c>
    </row>
    <row r="147" spans="1:2" ht="15" hidden="1" x14ac:dyDescent="0.25">
      <c r="A147" s="425" t="s">
        <v>220</v>
      </c>
      <c r="B147" s="425" t="s">
        <v>289</v>
      </c>
    </row>
    <row r="148" spans="1:2" ht="15" hidden="1" x14ac:dyDescent="0.25">
      <c r="A148" s="425" t="s">
        <v>221</v>
      </c>
      <c r="B148" s="425" t="s">
        <v>365</v>
      </c>
    </row>
    <row r="149" spans="1:2" ht="15" hidden="1" x14ac:dyDescent="0.25">
      <c r="A149" s="425" t="s">
        <v>222</v>
      </c>
      <c r="B149" s="425" t="s">
        <v>366</v>
      </c>
    </row>
    <row r="150" spans="1:2" ht="15" hidden="1" x14ac:dyDescent="0.25">
      <c r="A150" s="425" t="s">
        <v>223</v>
      </c>
      <c r="B150" s="425" t="s">
        <v>367</v>
      </c>
    </row>
    <row r="151" spans="1:2" ht="15" hidden="1" x14ac:dyDescent="0.25">
      <c r="A151" s="425" t="s">
        <v>223</v>
      </c>
      <c r="B151" s="425" t="s">
        <v>367</v>
      </c>
    </row>
    <row r="152" spans="1:2" ht="15" hidden="1" x14ac:dyDescent="0.25">
      <c r="A152" s="425" t="s">
        <v>190</v>
      </c>
      <c r="B152" s="425" t="s">
        <v>368</v>
      </c>
    </row>
    <row r="153" spans="1:2" ht="15" hidden="1" x14ac:dyDescent="0.25">
      <c r="A153" s="425" t="s">
        <v>224</v>
      </c>
      <c r="B153" s="425" t="s">
        <v>369</v>
      </c>
    </row>
    <row r="154" spans="1:2" ht="15" hidden="1" x14ac:dyDescent="0.25">
      <c r="A154" s="425" t="s">
        <v>224</v>
      </c>
      <c r="B154" s="425" t="s">
        <v>369</v>
      </c>
    </row>
    <row r="155" spans="1:2" ht="15" hidden="1" x14ac:dyDescent="0.25">
      <c r="A155" s="425" t="s">
        <v>225</v>
      </c>
      <c r="B155" s="425" t="s">
        <v>370</v>
      </c>
    </row>
    <row r="156" spans="1:2" ht="15" hidden="1" x14ac:dyDescent="0.25">
      <c r="A156" s="425" t="s">
        <v>225</v>
      </c>
      <c r="B156" s="425" t="s">
        <v>370</v>
      </c>
    </row>
    <row r="157" spans="1:2" ht="15" hidden="1" x14ac:dyDescent="0.25">
      <c r="A157" s="425" t="s">
        <v>371</v>
      </c>
      <c r="B157" s="425" t="s">
        <v>372</v>
      </c>
    </row>
    <row r="158" spans="1:2" ht="15" hidden="1" x14ac:dyDescent="0.25">
      <c r="A158" s="425" t="s">
        <v>226</v>
      </c>
      <c r="B158" s="425" t="s">
        <v>373</v>
      </c>
    </row>
    <row r="159" spans="1:2" ht="15" hidden="1" x14ac:dyDescent="0.25">
      <c r="A159" s="425" t="s">
        <v>226</v>
      </c>
      <c r="B159" s="425" t="s">
        <v>373</v>
      </c>
    </row>
    <row r="160" spans="1:2" ht="15" hidden="1" x14ac:dyDescent="0.25">
      <c r="A160" s="425" t="s">
        <v>227</v>
      </c>
      <c r="B160" s="425" t="s">
        <v>374</v>
      </c>
    </row>
    <row r="161" spans="1:2" ht="15" hidden="1" x14ac:dyDescent="0.25">
      <c r="A161" s="425" t="s">
        <v>227</v>
      </c>
      <c r="B161" s="425" t="s">
        <v>374</v>
      </c>
    </row>
    <row r="162" spans="1:2" ht="15" hidden="1" x14ac:dyDescent="0.25">
      <c r="A162" s="425" t="s">
        <v>228</v>
      </c>
      <c r="B162" s="425" t="s">
        <v>375</v>
      </c>
    </row>
    <row r="163" spans="1:2" ht="15" hidden="1" x14ac:dyDescent="0.25">
      <c r="A163" s="425" t="s">
        <v>228</v>
      </c>
      <c r="B163" s="425" t="s">
        <v>375</v>
      </c>
    </row>
    <row r="164" spans="1:2" ht="15" hidden="1" x14ac:dyDescent="0.25">
      <c r="A164" s="425" t="s">
        <v>228</v>
      </c>
      <c r="B164" s="425" t="s">
        <v>375</v>
      </c>
    </row>
    <row r="165" spans="1:2" ht="15" hidden="1" x14ac:dyDescent="0.25">
      <c r="A165" s="425" t="s">
        <v>228</v>
      </c>
      <c r="B165" s="425" t="s">
        <v>375</v>
      </c>
    </row>
    <row r="166" spans="1:2" ht="15" hidden="1" x14ac:dyDescent="0.25">
      <c r="A166" s="425" t="s">
        <v>229</v>
      </c>
      <c r="B166" s="425" t="s">
        <v>376</v>
      </c>
    </row>
    <row r="167" spans="1:2" ht="15" hidden="1" x14ac:dyDescent="0.25">
      <c r="A167" s="425" t="s">
        <v>191</v>
      </c>
      <c r="B167" s="425" t="s">
        <v>377</v>
      </c>
    </row>
    <row r="168" spans="1:2" ht="15" hidden="1" x14ac:dyDescent="0.25">
      <c r="A168" s="425" t="s">
        <v>230</v>
      </c>
      <c r="B168" s="425" t="s">
        <v>378</v>
      </c>
    </row>
    <row r="169" spans="1:2" ht="15" hidden="1" x14ac:dyDescent="0.25">
      <c r="A169" s="425" t="s">
        <v>230</v>
      </c>
      <c r="B169" s="425" t="s">
        <v>378</v>
      </c>
    </row>
    <row r="170" spans="1:2" ht="15" hidden="1" x14ac:dyDescent="0.25">
      <c r="A170" s="425" t="s">
        <v>230</v>
      </c>
      <c r="B170" s="425" t="s">
        <v>378</v>
      </c>
    </row>
    <row r="171" spans="1:2" ht="15" hidden="1" x14ac:dyDescent="0.25">
      <c r="A171" s="425" t="s">
        <v>230</v>
      </c>
      <c r="B171" s="425" t="s">
        <v>378</v>
      </c>
    </row>
    <row r="172" spans="1:2" ht="15" hidden="1" x14ac:dyDescent="0.25">
      <c r="A172" s="425" t="s">
        <v>231</v>
      </c>
      <c r="B172" s="425" t="s">
        <v>379</v>
      </c>
    </row>
    <row r="173" spans="1:2" ht="15" hidden="1" x14ac:dyDescent="0.25">
      <c r="A173" s="425" t="s">
        <v>232</v>
      </c>
      <c r="B173" s="425" t="s">
        <v>380</v>
      </c>
    </row>
    <row r="174" spans="1:2" ht="15" hidden="1" x14ac:dyDescent="0.25">
      <c r="A174" s="425" t="s">
        <v>233</v>
      </c>
      <c r="B174" s="425" t="s">
        <v>381</v>
      </c>
    </row>
    <row r="175" spans="1:2" ht="15" hidden="1" x14ac:dyDescent="0.25">
      <c r="A175" s="425" t="s">
        <v>382</v>
      </c>
      <c r="B175" s="425" t="s">
        <v>383</v>
      </c>
    </row>
    <row r="176" spans="1:2" ht="15" hidden="1" x14ac:dyDescent="0.25">
      <c r="A176" s="425" t="s">
        <v>234</v>
      </c>
      <c r="B176" s="425" t="s">
        <v>384</v>
      </c>
    </row>
    <row r="177" spans="1:2" ht="15" hidden="1" x14ac:dyDescent="0.25">
      <c r="A177" s="425" t="s">
        <v>235</v>
      </c>
      <c r="B177" s="425" t="s">
        <v>385</v>
      </c>
    </row>
    <row r="178" spans="1:2" ht="15" hidden="1" x14ac:dyDescent="0.25">
      <c r="A178" s="425" t="s">
        <v>235</v>
      </c>
      <c r="B178" s="425" t="s">
        <v>385</v>
      </c>
    </row>
    <row r="179" spans="1:2" ht="15" hidden="1" x14ac:dyDescent="0.25">
      <c r="A179" s="425" t="s">
        <v>236</v>
      </c>
      <c r="B179" s="425" t="s">
        <v>386</v>
      </c>
    </row>
    <row r="180" spans="1:2" ht="15" hidden="1" x14ac:dyDescent="0.25">
      <c r="A180" s="425" t="s">
        <v>237</v>
      </c>
      <c r="B180" s="425" t="s">
        <v>387</v>
      </c>
    </row>
    <row r="181" spans="1:2" ht="15" hidden="1" x14ac:dyDescent="0.25">
      <c r="A181" s="425" t="s">
        <v>192</v>
      </c>
      <c r="B181" s="425" t="s">
        <v>388</v>
      </c>
    </row>
    <row r="182" spans="1:2" ht="15" hidden="1" x14ac:dyDescent="0.25">
      <c r="A182" s="425" t="s">
        <v>238</v>
      </c>
      <c r="B182" s="425" t="s">
        <v>389</v>
      </c>
    </row>
    <row r="183" spans="1:2" ht="15" hidden="1" x14ac:dyDescent="0.25">
      <c r="A183" s="425" t="s">
        <v>239</v>
      </c>
      <c r="B183" s="425" t="s">
        <v>390</v>
      </c>
    </row>
    <row r="184" spans="1:2" ht="15" hidden="1" x14ac:dyDescent="0.25">
      <c r="A184" s="425" t="s">
        <v>240</v>
      </c>
      <c r="B184" s="425" t="s">
        <v>391</v>
      </c>
    </row>
    <row r="185" spans="1:2" ht="15" hidden="1" x14ac:dyDescent="0.25">
      <c r="A185" s="425" t="s">
        <v>193</v>
      </c>
      <c r="B185" s="425" t="s">
        <v>392</v>
      </c>
    </row>
    <row r="186" spans="1:2" ht="15" hidden="1" x14ac:dyDescent="0.25">
      <c r="A186" s="425" t="s">
        <v>241</v>
      </c>
      <c r="B186" s="425" t="s">
        <v>393</v>
      </c>
    </row>
    <row r="187" spans="1:2" ht="15" hidden="1" x14ac:dyDescent="0.25">
      <c r="A187" s="425" t="s">
        <v>241</v>
      </c>
      <c r="B187" s="425" t="s">
        <v>393</v>
      </c>
    </row>
    <row r="188" spans="1:2" ht="15" hidden="1" x14ac:dyDescent="0.25">
      <c r="A188" s="425" t="s">
        <v>241</v>
      </c>
      <c r="B188" s="425" t="s">
        <v>393</v>
      </c>
    </row>
    <row r="189" spans="1:2" ht="15" hidden="1" x14ac:dyDescent="0.25">
      <c r="A189" s="425" t="s">
        <v>241</v>
      </c>
      <c r="B189" s="425" t="s">
        <v>393</v>
      </c>
    </row>
    <row r="190" spans="1:2" ht="15" hidden="1" x14ac:dyDescent="0.25">
      <c r="A190" s="425" t="s">
        <v>241</v>
      </c>
      <c r="B190" s="425" t="s">
        <v>393</v>
      </c>
    </row>
    <row r="191" spans="1:2" ht="15" hidden="1" x14ac:dyDescent="0.25">
      <c r="A191" s="425" t="s">
        <v>241</v>
      </c>
      <c r="B191" s="425" t="s">
        <v>393</v>
      </c>
    </row>
    <row r="192" spans="1:2" ht="15" hidden="1" x14ac:dyDescent="0.25">
      <c r="A192" s="425" t="s">
        <v>241</v>
      </c>
      <c r="B192" s="425" t="s">
        <v>393</v>
      </c>
    </row>
    <row r="193" spans="1:2" ht="15" hidden="1" x14ac:dyDescent="0.25">
      <c r="A193" s="425" t="s">
        <v>241</v>
      </c>
      <c r="B193" s="425" t="s">
        <v>393</v>
      </c>
    </row>
    <row r="194" spans="1:2" ht="15" hidden="1" x14ac:dyDescent="0.25">
      <c r="A194" s="425" t="s">
        <v>241</v>
      </c>
      <c r="B194" s="425" t="s">
        <v>393</v>
      </c>
    </row>
    <row r="195" spans="1:2" ht="15" hidden="1" x14ac:dyDescent="0.25">
      <c r="A195" s="425" t="s">
        <v>241</v>
      </c>
      <c r="B195" s="425" t="s">
        <v>393</v>
      </c>
    </row>
    <row r="196" spans="1:2" ht="15" hidden="1" x14ac:dyDescent="0.25">
      <c r="A196" s="425" t="s">
        <v>241</v>
      </c>
      <c r="B196" s="425" t="s">
        <v>393</v>
      </c>
    </row>
    <row r="197" spans="1:2" ht="15" hidden="1" x14ac:dyDescent="0.25">
      <c r="A197" s="425" t="s">
        <v>241</v>
      </c>
      <c r="B197" s="425" t="s">
        <v>393</v>
      </c>
    </row>
    <row r="198" spans="1:2" ht="15" hidden="1" x14ac:dyDescent="0.25">
      <c r="A198" s="425" t="s">
        <v>178</v>
      </c>
      <c r="B198" s="425" t="s">
        <v>310</v>
      </c>
    </row>
    <row r="199" spans="1:2" ht="15" hidden="1" x14ac:dyDescent="0.25">
      <c r="A199" s="425" t="s">
        <v>178</v>
      </c>
      <c r="B199" s="425" t="s">
        <v>310</v>
      </c>
    </row>
    <row r="200" spans="1:2" ht="15" hidden="1" x14ac:dyDescent="0.25">
      <c r="A200" s="425" t="s">
        <v>178</v>
      </c>
      <c r="B200" s="425" t="s">
        <v>310</v>
      </c>
    </row>
    <row r="201" spans="1:2" ht="15" hidden="1" x14ac:dyDescent="0.25">
      <c r="A201" s="425" t="s">
        <v>178</v>
      </c>
      <c r="B201" s="425" t="s">
        <v>310</v>
      </c>
    </row>
    <row r="202" spans="1:2" ht="15" hidden="1" x14ac:dyDescent="0.25">
      <c r="A202" s="425" t="s">
        <v>178</v>
      </c>
      <c r="B202" s="425" t="s">
        <v>310</v>
      </c>
    </row>
    <row r="203" spans="1:2" ht="15" hidden="1" x14ac:dyDescent="0.25">
      <c r="A203" s="425" t="s">
        <v>178</v>
      </c>
      <c r="B203" s="425" t="s">
        <v>310</v>
      </c>
    </row>
    <row r="204" spans="1:2" ht="15" hidden="1" x14ac:dyDescent="0.25">
      <c r="A204" s="425" t="s">
        <v>178</v>
      </c>
      <c r="B204" s="425" t="s">
        <v>310</v>
      </c>
    </row>
    <row r="205" spans="1:2" ht="15" hidden="1" x14ac:dyDescent="0.25">
      <c r="A205" s="425" t="s">
        <v>178</v>
      </c>
      <c r="B205" s="425" t="s">
        <v>310</v>
      </c>
    </row>
    <row r="206" spans="1:2" ht="15" hidden="1" x14ac:dyDescent="0.25">
      <c r="A206" s="425" t="s">
        <v>178</v>
      </c>
      <c r="B206" s="425" t="s">
        <v>310</v>
      </c>
    </row>
    <row r="207" spans="1:2" ht="15" hidden="1" x14ac:dyDescent="0.25">
      <c r="A207" s="425" t="s">
        <v>178</v>
      </c>
      <c r="B207" s="425" t="s">
        <v>310</v>
      </c>
    </row>
    <row r="208" spans="1:2" ht="15" hidden="1" x14ac:dyDescent="0.25">
      <c r="A208" s="425" t="s">
        <v>178</v>
      </c>
      <c r="B208" s="425" t="s">
        <v>310</v>
      </c>
    </row>
    <row r="209" spans="1:2" ht="15" hidden="1" x14ac:dyDescent="0.25">
      <c r="A209" s="425" t="s">
        <v>178</v>
      </c>
      <c r="B209" s="425" t="s">
        <v>310</v>
      </c>
    </row>
    <row r="210" spans="1:2" ht="15" hidden="1" x14ac:dyDescent="0.25">
      <c r="A210" s="425" t="s">
        <v>178</v>
      </c>
      <c r="B210" s="425" t="s">
        <v>310</v>
      </c>
    </row>
    <row r="211" spans="1:2" ht="15" hidden="1" x14ac:dyDescent="0.25">
      <c r="A211" s="425" t="s">
        <v>178</v>
      </c>
      <c r="B211" s="425" t="s">
        <v>310</v>
      </c>
    </row>
    <row r="212" spans="1:2" ht="15" hidden="1" x14ac:dyDescent="0.25">
      <c r="A212" s="425" t="s">
        <v>178</v>
      </c>
      <c r="B212" s="425" t="s">
        <v>310</v>
      </c>
    </row>
    <row r="213" spans="1:2" ht="15" hidden="1" x14ac:dyDescent="0.25">
      <c r="A213" s="425" t="s">
        <v>178</v>
      </c>
      <c r="B213" s="425" t="s">
        <v>310</v>
      </c>
    </row>
    <row r="214" spans="1:2" ht="15" hidden="1" x14ac:dyDescent="0.25">
      <c r="A214" s="425" t="s">
        <v>178</v>
      </c>
      <c r="B214" s="425" t="s">
        <v>310</v>
      </c>
    </row>
    <row r="215" spans="1:2" ht="15" hidden="1" x14ac:dyDescent="0.25">
      <c r="A215" s="425" t="s">
        <v>178</v>
      </c>
      <c r="B215" s="425" t="s">
        <v>310</v>
      </c>
    </row>
    <row r="216" spans="1:2" ht="15" hidden="1" x14ac:dyDescent="0.25">
      <c r="A216" s="425" t="s">
        <v>178</v>
      </c>
      <c r="B216" s="425" t="s">
        <v>310</v>
      </c>
    </row>
    <row r="217" spans="1:2" ht="15" hidden="1" x14ac:dyDescent="0.25">
      <c r="A217" s="425" t="s">
        <v>178</v>
      </c>
      <c r="B217" s="425" t="s">
        <v>310</v>
      </c>
    </row>
    <row r="218" spans="1:2" ht="15" hidden="1" x14ac:dyDescent="0.25">
      <c r="A218" s="425" t="s">
        <v>178</v>
      </c>
      <c r="B218" s="425" t="s">
        <v>310</v>
      </c>
    </row>
    <row r="219" spans="1:2" ht="15" hidden="1" x14ac:dyDescent="0.25">
      <c r="A219" s="425" t="s">
        <v>178</v>
      </c>
      <c r="B219" s="425" t="s">
        <v>310</v>
      </c>
    </row>
    <row r="220" spans="1:2" ht="15" hidden="1" x14ac:dyDescent="0.25">
      <c r="A220" s="425" t="s">
        <v>178</v>
      </c>
      <c r="B220" s="425" t="s">
        <v>310</v>
      </c>
    </row>
    <row r="221" spans="1:2" ht="15" hidden="1" x14ac:dyDescent="0.25">
      <c r="A221" s="425" t="s">
        <v>178</v>
      </c>
      <c r="B221" s="425" t="s">
        <v>310</v>
      </c>
    </row>
    <row r="222" spans="1:2" ht="15" hidden="1" x14ac:dyDescent="0.25">
      <c r="A222" s="425" t="s">
        <v>178</v>
      </c>
      <c r="B222" s="425" t="s">
        <v>310</v>
      </c>
    </row>
    <row r="223" spans="1:2" ht="15" hidden="1" x14ac:dyDescent="0.25">
      <c r="A223" s="425" t="s">
        <v>178</v>
      </c>
      <c r="B223" s="425" t="s">
        <v>310</v>
      </c>
    </row>
    <row r="224" spans="1:2" ht="15" hidden="1" x14ac:dyDescent="0.25">
      <c r="A224" s="425" t="s">
        <v>178</v>
      </c>
      <c r="B224" s="425" t="s">
        <v>310</v>
      </c>
    </row>
    <row r="225" spans="1:2" ht="15" hidden="1" x14ac:dyDescent="0.25">
      <c r="A225" s="425" t="s">
        <v>178</v>
      </c>
      <c r="B225" s="425" t="s">
        <v>310</v>
      </c>
    </row>
    <row r="226" spans="1:2" ht="15" hidden="1" x14ac:dyDescent="0.25">
      <c r="A226" s="425" t="s">
        <v>178</v>
      </c>
      <c r="B226" s="425" t="s">
        <v>310</v>
      </c>
    </row>
    <row r="227" spans="1:2" ht="15" hidden="1" x14ac:dyDescent="0.25">
      <c r="A227" s="425" t="s">
        <v>178</v>
      </c>
      <c r="B227" s="425" t="s">
        <v>310</v>
      </c>
    </row>
    <row r="228" spans="1:2" ht="15" hidden="1" x14ac:dyDescent="0.25">
      <c r="A228" s="425" t="s">
        <v>178</v>
      </c>
      <c r="B228" s="425" t="s">
        <v>310</v>
      </c>
    </row>
    <row r="229" spans="1:2" ht="15" hidden="1" x14ac:dyDescent="0.25">
      <c r="A229" s="425" t="s">
        <v>178</v>
      </c>
      <c r="B229" s="425" t="s">
        <v>310</v>
      </c>
    </row>
    <row r="230" spans="1:2" ht="15" hidden="1" x14ac:dyDescent="0.25">
      <c r="A230" s="425" t="s">
        <v>178</v>
      </c>
      <c r="B230" s="425" t="s">
        <v>310</v>
      </c>
    </row>
    <row r="231" spans="1:2" ht="15" hidden="1" x14ac:dyDescent="0.25">
      <c r="A231" s="425" t="s">
        <v>178</v>
      </c>
      <c r="B231" s="425" t="s">
        <v>310</v>
      </c>
    </row>
    <row r="232" spans="1:2" ht="15" hidden="1" x14ac:dyDescent="0.25">
      <c r="A232" s="425" t="s">
        <v>179</v>
      </c>
      <c r="B232" s="425" t="s">
        <v>311</v>
      </c>
    </row>
    <row r="233" spans="1:2" ht="15" hidden="1" x14ac:dyDescent="0.25">
      <c r="A233" s="425" t="s">
        <v>180</v>
      </c>
      <c r="B233" s="425" t="s">
        <v>312</v>
      </c>
    </row>
    <row r="234" spans="1:2" ht="15" hidden="1" x14ac:dyDescent="0.25">
      <c r="A234" s="425" t="s">
        <v>180</v>
      </c>
      <c r="B234" s="425" t="s">
        <v>312</v>
      </c>
    </row>
    <row r="235" spans="1:2" ht="15" hidden="1" x14ac:dyDescent="0.25">
      <c r="A235" s="425" t="s">
        <v>180</v>
      </c>
      <c r="B235" s="425" t="s">
        <v>312</v>
      </c>
    </row>
    <row r="236" spans="1:2" ht="15" hidden="1" x14ac:dyDescent="0.25">
      <c r="A236" s="425" t="s">
        <v>180</v>
      </c>
      <c r="B236" s="425" t="s">
        <v>312</v>
      </c>
    </row>
    <row r="237" spans="1:2" ht="15" hidden="1" x14ac:dyDescent="0.25">
      <c r="A237" s="425" t="s">
        <v>180</v>
      </c>
      <c r="B237" s="425" t="s">
        <v>312</v>
      </c>
    </row>
    <row r="238" spans="1:2" ht="15" hidden="1" x14ac:dyDescent="0.25">
      <c r="A238" s="425" t="s">
        <v>180</v>
      </c>
      <c r="B238" s="425" t="s">
        <v>312</v>
      </c>
    </row>
    <row r="239" spans="1:2" ht="15" hidden="1" x14ac:dyDescent="0.25">
      <c r="A239" s="425" t="s">
        <v>180</v>
      </c>
      <c r="B239" s="425" t="s">
        <v>312</v>
      </c>
    </row>
    <row r="240" spans="1:2" ht="15" hidden="1" x14ac:dyDescent="0.25">
      <c r="A240" s="425" t="s">
        <v>180</v>
      </c>
      <c r="B240" s="425" t="s">
        <v>312</v>
      </c>
    </row>
    <row r="241" spans="1:2" ht="15" hidden="1" x14ac:dyDescent="0.25">
      <c r="A241" s="425" t="s">
        <v>395</v>
      </c>
      <c r="B241" s="425" t="s">
        <v>396</v>
      </c>
    </row>
    <row r="242" spans="1:2" ht="15" hidden="1" x14ac:dyDescent="0.25">
      <c r="A242" s="426" t="s">
        <v>395</v>
      </c>
      <c r="B242" s="425" t="s">
        <v>396</v>
      </c>
    </row>
    <row r="243" spans="1:2" ht="15" hidden="1" x14ac:dyDescent="0.25">
      <c r="A243" s="425" t="s">
        <v>397</v>
      </c>
      <c r="B243" s="425" t="s">
        <v>398</v>
      </c>
    </row>
    <row r="244" spans="1:2" ht="15" hidden="1" x14ac:dyDescent="0.25">
      <c r="A244" s="425" t="s">
        <v>397</v>
      </c>
      <c r="B244" s="425" t="s">
        <v>398</v>
      </c>
    </row>
    <row r="245" spans="1:2" ht="15" hidden="1" x14ac:dyDescent="0.25">
      <c r="A245" s="425" t="s">
        <v>397</v>
      </c>
      <c r="B245" s="425" t="s">
        <v>398</v>
      </c>
    </row>
    <row r="246" spans="1:2" ht="15" hidden="1" x14ac:dyDescent="0.25">
      <c r="A246" s="425" t="s">
        <v>399</v>
      </c>
      <c r="B246" s="425" t="s">
        <v>400</v>
      </c>
    </row>
    <row r="247" spans="1:2" ht="15" hidden="1" x14ac:dyDescent="0.25">
      <c r="A247" s="425" t="s">
        <v>399</v>
      </c>
      <c r="B247" s="425" t="s">
        <v>400</v>
      </c>
    </row>
    <row r="248" spans="1:2" ht="15" hidden="1" x14ac:dyDescent="0.25">
      <c r="A248" s="425" t="s">
        <v>181</v>
      </c>
      <c r="B248" s="425" t="s">
        <v>313</v>
      </c>
    </row>
    <row r="249" spans="1:2" ht="15" hidden="1" x14ac:dyDescent="0.25">
      <c r="A249" s="425" t="s">
        <v>181</v>
      </c>
      <c r="B249" s="425" t="s">
        <v>313</v>
      </c>
    </row>
    <row r="250" spans="1:2" ht="15" hidden="1" x14ac:dyDescent="0.25">
      <c r="A250" s="425" t="s">
        <v>181</v>
      </c>
      <c r="B250" s="425" t="s">
        <v>313</v>
      </c>
    </row>
    <row r="251" spans="1:2" ht="15" hidden="1" x14ac:dyDescent="0.25">
      <c r="A251" s="425" t="s">
        <v>181</v>
      </c>
      <c r="B251" s="425" t="s">
        <v>313</v>
      </c>
    </row>
    <row r="252" spans="1:2" ht="15" hidden="1" x14ac:dyDescent="0.25">
      <c r="A252" s="425" t="s">
        <v>181</v>
      </c>
      <c r="B252" s="425" t="s">
        <v>313</v>
      </c>
    </row>
    <row r="253" spans="1:2" ht="15" hidden="1" x14ac:dyDescent="0.25">
      <c r="A253" s="425" t="s">
        <v>181</v>
      </c>
      <c r="B253" s="425" t="s">
        <v>313</v>
      </c>
    </row>
    <row r="254" spans="1:2" ht="15" hidden="1" x14ac:dyDescent="0.25">
      <c r="A254" s="425" t="s">
        <v>181</v>
      </c>
      <c r="B254" s="425" t="s">
        <v>313</v>
      </c>
    </row>
    <row r="255" spans="1:2" ht="15" hidden="1" x14ac:dyDescent="0.25">
      <c r="A255" s="425" t="s">
        <v>181</v>
      </c>
      <c r="B255" s="425" t="s">
        <v>313</v>
      </c>
    </row>
    <row r="256" spans="1:2" ht="15" hidden="1" x14ac:dyDescent="0.25">
      <c r="A256" s="425" t="s">
        <v>181</v>
      </c>
      <c r="B256" s="425" t="s">
        <v>313</v>
      </c>
    </row>
    <row r="257" spans="1:2" ht="15" hidden="1" x14ac:dyDescent="0.25">
      <c r="A257" s="425" t="s">
        <v>181</v>
      </c>
      <c r="B257" s="425" t="s">
        <v>313</v>
      </c>
    </row>
    <row r="258" spans="1:2" ht="15" hidden="1" x14ac:dyDescent="0.25">
      <c r="A258" s="425" t="s">
        <v>181</v>
      </c>
      <c r="B258" s="425" t="s">
        <v>313</v>
      </c>
    </row>
    <row r="259" spans="1:2" ht="15" hidden="1" x14ac:dyDescent="0.25">
      <c r="A259" s="425" t="s">
        <v>181</v>
      </c>
      <c r="B259" s="425" t="s">
        <v>313</v>
      </c>
    </row>
    <row r="260" spans="1:2" ht="15" hidden="1" x14ac:dyDescent="0.25">
      <c r="A260" s="425" t="s">
        <v>181</v>
      </c>
      <c r="B260" s="425" t="s">
        <v>313</v>
      </c>
    </row>
    <row r="261" spans="1:2" ht="15" hidden="1" x14ac:dyDescent="0.25">
      <c r="A261" s="425" t="s">
        <v>181</v>
      </c>
      <c r="B261" s="425" t="s">
        <v>313</v>
      </c>
    </row>
    <row r="262" spans="1:2" ht="15" hidden="1" x14ac:dyDescent="0.25">
      <c r="A262" s="425" t="s">
        <v>181</v>
      </c>
      <c r="B262" s="425" t="s">
        <v>313</v>
      </c>
    </row>
    <row r="263" spans="1:2" ht="15" hidden="1" x14ac:dyDescent="0.25">
      <c r="A263" s="425" t="s">
        <v>181</v>
      </c>
      <c r="B263" s="425" t="s">
        <v>313</v>
      </c>
    </row>
    <row r="264" spans="1:2" ht="15" hidden="1" x14ac:dyDescent="0.25">
      <c r="A264" s="425" t="s">
        <v>181</v>
      </c>
      <c r="B264" s="425" t="s">
        <v>313</v>
      </c>
    </row>
    <row r="265" spans="1:2" ht="15" hidden="1" x14ac:dyDescent="0.25">
      <c r="A265" s="425" t="s">
        <v>181</v>
      </c>
      <c r="B265" s="425" t="s">
        <v>313</v>
      </c>
    </row>
    <row r="266" spans="1:2" ht="15" hidden="1" x14ac:dyDescent="0.25">
      <c r="A266" s="425" t="s">
        <v>181</v>
      </c>
      <c r="B266" s="425" t="s">
        <v>313</v>
      </c>
    </row>
    <row r="267" spans="1:2" ht="15" hidden="1" x14ac:dyDescent="0.25">
      <c r="A267" s="425" t="s">
        <v>181</v>
      </c>
      <c r="B267" s="425" t="s">
        <v>313</v>
      </c>
    </row>
    <row r="268" spans="1:2" ht="15" hidden="1" x14ac:dyDescent="0.25">
      <c r="A268" s="425" t="s">
        <v>181</v>
      </c>
      <c r="B268" s="425" t="s">
        <v>313</v>
      </c>
    </row>
    <row r="269" spans="1:2" ht="15" hidden="1" x14ac:dyDescent="0.25">
      <c r="A269" s="425" t="s">
        <v>181</v>
      </c>
      <c r="B269" s="425" t="s">
        <v>313</v>
      </c>
    </row>
    <row r="270" spans="1:2" ht="15" hidden="1" x14ac:dyDescent="0.25">
      <c r="A270" s="425" t="s">
        <v>181</v>
      </c>
      <c r="B270" s="425" t="s">
        <v>313</v>
      </c>
    </row>
    <row r="271" spans="1:2" ht="15" hidden="1" x14ac:dyDescent="0.25">
      <c r="A271" s="425" t="s">
        <v>181</v>
      </c>
      <c r="B271" s="425" t="s">
        <v>313</v>
      </c>
    </row>
    <row r="272" spans="1:2" ht="15" hidden="1" x14ac:dyDescent="0.25">
      <c r="A272" s="425" t="s">
        <v>181</v>
      </c>
      <c r="B272" s="425" t="s">
        <v>313</v>
      </c>
    </row>
    <row r="273" spans="1:2" ht="15" hidden="1" x14ac:dyDescent="0.25">
      <c r="A273" s="425" t="s">
        <v>181</v>
      </c>
      <c r="B273" s="425" t="s">
        <v>313</v>
      </c>
    </row>
    <row r="274" spans="1:2" ht="15" hidden="1" x14ac:dyDescent="0.25">
      <c r="A274" s="425" t="s">
        <v>181</v>
      </c>
      <c r="B274" s="425" t="s">
        <v>313</v>
      </c>
    </row>
    <row r="275" spans="1:2" ht="15" hidden="1" x14ac:dyDescent="0.25">
      <c r="A275" s="425" t="s">
        <v>181</v>
      </c>
      <c r="B275" s="425" t="s">
        <v>313</v>
      </c>
    </row>
    <row r="276" spans="1:2" ht="15" hidden="1" x14ac:dyDescent="0.25">
      <c r="A276" s="425" t="s">
        <v>181</v>
      </c>
      <c r="B276" s="425" t="s">
        <v>313</v>
      </c>
    </row>
    <row r="277" spans="1:2" ht="15" hidden="1" x14ac:dyDescent="0.25">
      <c r="A277" s="425" t="s">
        <v>181</v>
      </c>
      <c r="B277" s="425" t="s">
        <v>313</v>
      </c>
    </row>
    <row r="278" spans="1:2" ht="15" hidden="1" x14ac:dyDescent="0.25">
      <c r="A278" s="425" t="s">
        <v>181</v>
      </c>
      <c r="B278" s="425" t="s">
        <v>313</v>
      </c>
    </row>
    <row r="279" spans="1:2" ht="15" hidden="1" x14ac:dyDescent="0.25">
      <c r="A279" s="425" t="s">
        <v>181</v>
      </c>
      <c r="B279" s="425" t="s">
        <v>313</v>
      </c>
    </row>
    <row r="280" spans="1:2" ht="15" hidden="1" x14ac:dyDescent="0.25">
      <c r="A280" s="425" t="s">
        <v>181</v>
      </c>
      <c r="B280" s="425" t="s">
        <v>313</v>
      </c>
    </row>
    <row r="281" spans="1:2" ht="15" hidden="1" x14ac:dyDescent="0.25">
      <c r="A281" s="425" t="s">
        <v>181</v>
      </c>
      <c r="B281" s="425" t="s">
        <v>313</v>
      </c>
    </row>
    <row r="282" spans="1:2" ht="15" hidden="1" x14ac:dyDescent="0.25">
      <c r="A282" s="425" t="s">
        <v>181</v>
      </c>
      <c r="B282" s="425" t="s">
        <v>313</v>
      </c>
    </row>
    <row r="283" spans="1:2" ht="15" hidden="1" x14ac:dyDescent="0.25">
      <c r="A283" s="425" t="s">
        <v>181</v>
      </c>
      <c r="B283" s="425" t="s">
        <v>313</v>
      </c>
    </row>
    <row r="284" spans="1:2" ht="15" hidden="1" x14ac:dyDescent="0.25">
      <c r="A284" s="425" t="s">
        <v>181</v>
      </c>
      <c r="B284" s="425" t="s">
        <v>313</v>
      </c>
    </row>
    <row r="285" spans="1:2" ht="15" hidden="1" x14ac:dyDescent="0.25">
      <c r="A285" s="425" t="s">
        <v>181</v>
      </c>
      <c r="B285" s="425" t="s">
        <v>313</v>
      </c>
    </row>
    <row r="286" spans="1:2" ht="15" hidden="1" x14ac:dyDescent="0.25">
      <c r="A286" s="425" t="s">
        <v>181</v>
      </c>
      <c r="B286" s="425" t="s">
        <v>313</v>
      </c>
    </row>
    <row r="287" spans="1:2" ht="15" hidden="1" x14ac:dyDescent="0.25">
      <c r="A287" s="425" t="s">
        <v>181</v>
      </c>
      <c r="B287" s="425" t="s">
        <v>313</v>
      </c>
    </row>
    <row r="288" spans="1:2" ht="15" hidden="1" x14ac:dyDescent="0.25">
      <c r="A288" s="425" t="s">
        <v>181</v>
      </c>
      <c r="B288" s="425" t="s">
        <v>313</v>
      </c>
    </row>
    <row r="289" spans="1:2" ht="15" hidden="1" x14ac:dyDescent="0.25">
      <c r="A289" s="425" t="s">
        <v>181</v>
      </c>
      <c r="B289" s="425" t="s">
        <v>313</v>
      </c>
    </row>
    <row r="290" spans="1:2" ht="15" hidden="1" x14ac:dyDescent="0.25">
      <c r="A290" s="425" t="s">
        <v>181</v>
      </c>
      <c r="B290" s="425" t="s">
        <v>313</v>
      </c>
    </row>
    <row r="291" spans="1:2" ht="15" hidden="1" x14ac:dyDescent="0.25">
      <c r="A291" s="425" t="s">
        <v>181</v>
      </c>
      <c r="B291" s="425" t="s">
        <v>313</v>
      </c>
    </row>
    <row r="292" spans="1:2" ht="15" hidden="1" x14ac:dyDescent="0.25">
      <c r="A292" s="425" t="s">
        <v>181</v>
      </c>
      <c r="B292" s="425" t="s">
        <v>313</v>
      </c>
    </row>
    <row r="293" spans="1:2" ht="15" hidden="1" x14ac:dyDescent="0.25">
      <c r="A293" s="425" t="s">
        <v>181</v>
      </c>
      <c r="B293" s="425" t="s">
        <v>313</v>
      </c>
    </row>
    <row r="294" spans="1:2" ht="15" hidden="1" x14ac:dyDescent="0.25">
      <c r="A294" s="425" t="s">
        <v>181</v>
      </c>
      <c r="B294" s="425" t="s">
        <v>313</v>
      </c>
    </row>
    <row r="295" spans="1:2" ht="15" hidden="1" x14ac:dyDescent="0.25">
      <c r="A295" s="425" t="s">
        <v>181</v>
      </c>
      <c r="B295" s="425" t="s">
        <v>313</v>
      </c>
    </row>
    <row r="296" spans="1:2" ht="15" hidden="1" x14ac:dyDescent="0.25">
      <c r="A296" s="425" t="s">
        <v>181</v>
      </c>
      <c r="B296" s="425" t="s">
        <v>313</v>
      </c>
    </row>
    <row r="297" spans="1:2" ht="15" hidden="1" x14ac:dyDescent="0.25">
      <c r="A297" s="425" t="s">
        <v>181</v>
      </c>
      <c r="B297" s="425" t="s">
        <v>313</v>
      </c>
    </row>
    <row r="298" spans="1:2" ht="15" hidden="1" x14ac:dyDescent="0.25">
      <c r="A298" s="425" t="s">
        <v>181</v>
      </c>
      <c r="B298" s="425" t="s">
        <v>313</v>
      </c>
    </row>
    <row r="299" spans="1:2" ht="15" hidden="1" x14ac:dyDescent="0.25">
      <c r="A299" s="425" t="s">
        <v>181</v>
      </c>
      <c r="B299" s="425" t="s">
        <v>313</v>
      </c>
    </row>
    <row r="300" spans="1:2" ht="15" hidden="1" x14ac:dyDescent="0.25">
      <c r="A300" s="425" t="s">
        <v>181</v>
      </c>
      <c r="B300" s="425" t="s">
        <v>313</v>
      </c>
    </row>
    <row r="301" spans="1:2" ht="15" hidden="1" x14ac:dyDescent="0.25">
      <c r="A301" s="425" t="s">
        <v>181</v>
      </c>
      <c r="B301" s="425" t="s">
        <v>313</v>
      </c>
    </row>
    <row r="302" spans="1:2" ht="15" hidden="1" x14ac:dyDescent="0.25">
      <c r="A302" s="425" t="s">
        <v>181</v>
      </c>
      <c r="B302" s="425" t="s">
        <v>313</v>
      </c>
    </row>
    <row r="303" spans="1:2" ht="15" hidden="1" x14ac:dyDescent="0.25">
      <c r="A303" s="425" t="s">
        <v>181</v>
      </c>
      <c r="B303" s="425" t="s">
        <v>313</v>
      </c>
    </row>
    <row r="304" spans="1:2" ht="15" hidden="1" x14ac:dyDescent="0.25">
      <c r="A304" s="425" t="s">
        <v>181</v>
      </c>
      <c r="B304" s="425" t="s">
        <v>313</v>
      </c>
    </row>
    <row r="305" spans="1:2" ht="15" hidden="1" x14ac:dyDescent="0.25">
      <c r="A305" s="425" t="s">
        <v>181</v>
      </c>
      <c r="B305" s="425" t="s">
        <v>313</v>
      </c>
    </row>
    <row r="306" spans="1:2" ht="15" hidden="1" x14ac:dyDescent="0.25">
      <c r="A306" s="425" t="s">
        <v>181</v>
      </c>
      <c r="B306" s="425" t="s">
        <v>313</v>
      </c>
    </row>
    <row r="307" spans="1:2" ht="15" hidden="1" x14ac:dyDescent="0.25">
      <c r="A307" s="425" t="s">
        <v>181</v>
      </c>
      <c r="B307" s="425" t="s">
        <v>313</v>
      </c>
    </row>
    <row r="308" spans="1:2" ht="15" hidden="1" x14ac:dyDescent="0.25">
      <c r="A308" s="425" t="s">
        <v>181</v>
      </c>
      <c r="B308" s="425" t="s">
        <v>313</v>
      </c>
    </row>
    <row r="309" spans="1:2" ht="15" hidden="1" x14ac:dyDescent="0.25">
      <c r="A309" s="425" t="s">
        <v>182</v>
      </c>
      <c r="B309" s="425" t="s">
        <v>315</v>
      </c>
    </row>
    <row r="310" spans="1:2" ht="15" hidden="1" x14ac:dyDescent="0.25">
      <c r="A310" s="425" t="s">
        <v>182</v>
      </c>
      <c r="B310" s="425" t="s">
        <v>315</v>
      </c>
    </row>
    <row r="311" spans="1:2" ht="15" hidden="1" x14ac:dyDescent="0.25">
      <c r="A311" s="425" t="s">
        <v>182</v>
      </c>
      <c r="B311" s="425" t="s">
        <v>315</v>
      </c>
    </row>
    <row r="312" spans="1:2" ht="15" hidden="1" x14ac:dyDescent="0.25">
      <c r="A312" s="425" t="s">
        <v>182</v>
      </c>
      <c r="B312" s="425" t="s">
        <v>315</v>
      </c>
    </row>
    <row r="313" spans="1:2" ht="15" hidden="1" x14ac:dyDescent="0.25">
      <c r="A313" s="425" t="s">
        <v>182</v>
      </c>
      <c r="B313" s="425" t="s">
        <v>315</v>
      </c>
    </row>
    <row r="314" spans="1:2" ht="15" hidden="1" x14ac:dyDescent="0.25">
      <c r="A314" s="425" t="s">
        <v>182</v>
      </c>
      <c r="B314" s="425" t="s">
        <v>315</v>
      </c>
    </row>
    <row r="315" spans="1:2" ht="15" hidden="1" x14ac:dyDescent="0.25">
      <c r="A315" s="425" t="s">
        <v>182</v>
      </c>
      <c r="B315" s="425" t="s">
        <v>315</v>
      </c>
    </row>
    <row r="316" spans="1:2" ht="15" hidden="1" x14ac:dyDescent="0.25">
      <c r="A316" s="425" t="s">
        <v>182</v>
      </c>
      <c r="B316" s="425" t="s">
        <v>315</v>
      </c>
    </row>
    <row r="317" spans="1:2" ht="15" hidden="1" x14ac:dyDescent="0.25">
      <c r="A317" s="425" t="s">
        <v>182</v>
      </c>
      <c r="B317" s="425" t="s">
        <v>315</v>
      </c>
    </row>
    <row r="318" spans="1:2" ht="15" hidden="1" x14ac:dyDescent="0.25">
      <c r="A318" s="425" t="s">
        <v>182</v>
      </c>
      <c r="B318" s="425" t="s">
        <v>315</v>
      </c>
    </row>
    <row r="319" spans="1:2" ht="15" hidden="1" x14ac:dyDescent="0.25">
      <c r="A319" s="425" t="s">
        <v>182</v>
      </c>
      <c r="B319" s="425" t="s">
        <v>315</v>
      </c>
    </row>
    <row r="320" spans="1:2" ht="15" hidden="1" x14ac:dyDescent="0.25">
      <c r="A320" s="425" t="s">
        <v>182</v>
      </c>
      <c r="B320" s="425" t="s">
        <v>315</v>
      </c>
    </row>
    <row r="321" spans="1:2" ht="15" hidden="1" x14ac:dyDescent="0.25">
      <c r="A321" s="425" t="s">
        <v>183</v>
      </c>
      <c r="B321" s="425" t="s">
        <v>317</v>
      </c>
    </row>
    <row r="322" spans="1:2" ht="15" hidden="1" x14ac:dyDescent="0.25">
      <c r="A322" s="425" t="s">
        <v>183</v>
      </c>
      <c r="B322" s="425" t="s">
        <v>317</v>
      </c>
    </row>
    <row r="323" spans="1:2" ht="15" hidden="1" x14ac:dyDescent="0.25">
      <c r="A323" s="425" t="s">
        <v>183</v>
      </c>
      <c r="B323" s="425" t="s">
        <v>317</v>
      </c>
    </row>
    <row r="324" spans="1:2" ht="15" hidden="1" x14ac:dyDescent="0.25">
      <c r="A324" s="425" t="s">
        <v>183</v>
      </c>
      <c r="B324" s="425" t="s">
        <v>317</v>
      </c>
    </row>
    <row r="325" spans="1:2" ht="15" hidden="1" x14ac:dyDescent="0.25">
      <c r="A325" s="425" t="s">
        <v>183</v>
      </c>
      <c r="B325" s="425" t="s">
        <v>317</v>
      </c>
    </row>
    <row r="326" spans="1:2" ht="15" hidden="1" x14ac:dyDescent="0.25">
      <c r="A326" s="425" t="s">
        <v>184</v>
      </c>
      <c r="B326" s="425" t="s">
        <v>318</v>
      </c>
    </row>
    <row r="327" spans="1:2" ht="15" hidden="1" x14ac:dyDescent="0.25">
      <c r="A327" s="425" t="s">
        <v>185</v>
      </c>
      <c r="B327" s="425" t="s">
        <v>319</v>
      </c>
    </row>
    <row r="328" spans="1:2" ht="15" hidden="1" x14ac:dyDescent="0.25">
      <c r="A328" s="425" t="s">
        <v>185</v>
      </c>
      <c r="B328" s="425" t="s">
        <v>319</v>
      </c>
    </row>
    <row r="329" spans="1:2" ht="15" hidden="1" x14ac:dyDescent="0.25">
      <c r="A329" s="425" t="s">
        <v>401</v>
      </c>
      <c r="B329" s="425" t="s">
        <v>402</v>
      </c>
    </row>
    <row r="330" spans="1:2" ht="15" hidden="1" x14ac:dyDescent="0.25">
      <c r="A330" s="426" t="s">
        <v>401</v>
      </c>
      <c r="B330" s="425" t="s">
        <v>402</v>
      </c>
    </row>
    <row r="331" spans="1:2" ht="15" hidden="1" x14ac:dyDescent="0.25">
      <c r="A331" s="425" t="s">
        <v>401</v>
      </c>
      <c r="B331" s="425" t="s">
        <v>402</v>
      </c>
    </row>
    <row r="332" spans="1:2" ht="15" hidden="1" x14ac:dyDescent="0.25">
      <c r="A332" s="425" t="s">
        <v>186</v>
      </c>
      <c r="B332" s="425" t="s">
        <v>321</v>
      </c>
    </row>
    <row r="333" spans="1:2" ht="15" hidden="1" x14ac:dyDescent="0.25">
      <c r="A333" s="425" t="s">
        <v>186</v>
      </c>
      <c r="B333" s="425" t="s">
        <v>321</v>
      </c>
    </row>
    <row r="334" spans="1:2" ht="15" hidden="1" x14ac:dyDescent="0.25">
      <c r="A334" s="425" t="s">
        <v>186</v>
      </c>
      <c r="B334" s="425" t="s">
        <v>321</v>
      </c>
    </row>
    <row r="335" spans="1:2" ht="15" hidden="1" x14ac:dyDescent="0.25">
      <c r="A335" s="425" t="s">
        <v>187</v>
      </c>
      <c r="B335" s="425" t="s">
        <v>322</v>
      </c>
    </row>
    <row r="336" spans="1:2" ht="15" hidden="1" x14ac:dyDescent="0.25">
      <c r="A336" s="425" t="s">
        <v>187</v>
      </c>
      <c r="B336" s="425" t="s">
        <v>322</v>
      </c>
    </row>
    <row r="337" spans="1:2" ht="15" hidden="1" x14ac:dyDescent="0.25">
      <c r="A337" s="425" t="s">
        <v>188</v>
      </c>
      <c r="B337" s="425" t="s">
        <v>323</v>
      </c>
    </row>
    <row r="338" spans="1:2" ht="15" hidden="1" x14ac:dyDescent="0.25">
      <c r="A338" s="425" t="s">
        <v>188</v>
      </c>
      <c r="B338" s="425" t="s">
        <v>323</v>
      </c>
    </row>
    <row r="339" spans="1:2" ht="15" hidden="1" x14ac:dyDescent="0.25">
      <c r="A339" s="425" t="s">
        <v>188</v>
      </c>
      <c r="B339" s="425" t="s">
        <v>323</v>
      </c>
    </row>
    <row r="340" spans="1:2" ht="15" hidden="1" x14ac:dyDescent="0.25">
      <c r="A340" s="425" t="s">
        <v>403</v>
      </c>
      <c r="B340" s="425" t="s">
        <v>403</v>
      </c>
    </row>
    <row r="341" spans="1:2" ht="15" hidden="1" x14ac:dyDescent="0.25">
      <c r="A341" s="425" t="s">
        <v>404</v>
      </c>
      <c r="B341" s="425" t="s">
        <v>404</v>
      </c>
    </row>
    <row r="342" spans="1:2" ht="15" hidden="1" x14ac:dyDescent="0.25">
      <c r="A342" s="425" t="s">
        <v>405</v>
      </c>
      <c r="B342" s="425" t="s">
        <v>405</v>
      </c>
    </row>
    <row r="343" spans="1:2" ht="15" hidden="1" x14ac:dyDescent="0.25">
      <c r="A343" s="425" t="s">
        <v>406</v>
      </c>
      <c r="B343" s="425" t="s">
        <v>406</v>
      </c>
    </row>
    <row r="344" spans="1:2" ht="15" hidden="1" x14ac:dyDescent="0.25">
      <c r="A344" s="425" t="s">
        <v>407</v>
      </c>
      <c r="B344" s="425" t="s">
        <v>407</v>
      </c>
    </row>
    <row r="345" spans="1:2" ht="15" hidden="1" x14ac:dyDescent="0.25">
      <c r="A345" s="425" t="s">
        <v>408</v>
      </c>
      <c r="B345" s="425" t="s">
        <v>408</v>
      </c>
    </row>
    <row r="346" spans="1:2" ht="15" hidden="1" x14ac:dyDescent="0.25">
      <c r="A346" s="425" t="s">
        <v>409</v>
      </c>
      <c r="B346" s="425" t="s">
        <v>409</v>
      </c>
    </row>
    <row r="347" spans="1:2" ht="15" hidden="1" x14ac:dyDescent="0.25">
      <c r="A347" s="425" t="s">
        <v>410</v>
      </c>
      <c r="B347" s="425" t="s">
        <v>410</v>
      </c>
    </row>
    <row r="348" spans="1:2" ht="15" hidden="1" x14ac:dyDescent="0.25">
      <c r="A348" s="425" t="s">
        <v>411</v>
      </c>
      <c r="B348" s="425" t="s">
        <v>411</v>
      </c>
    </row>
    <row r="349" spans="1:2" ht="15" hidden="1" x14ac:dyDescent="0.25">
      <c r="A349" s="425" t="s">
        <v>412</v>
      </c>
      <c r="B349" s="425" t="s">
        <v>412</v>
      </c>
    </row>
    <row r="350" spans="1:2" ht="15" hidden="1" x14ac:dyDescent="0.25">
      <c r="A350" s="425" t="s">
        <v>413</v>
      </c>
      <c r="B350" s="425" t="s">
        <v>413</v>
      </c>
    </row>
    <row r="351" spans="1:2" ht="15" hidden="1" x14ac:dyDescent="0.25">
      <c r="A351" s="425" t="s">
        <v>414</v>
      </c>
      <c r="B351" s="425" t="s">
        <v>414</v>
      </c>
    </row>
    <row r="352" spans="1:2" ht="15" hidden="1" x14ac:dyDescent="0.25">
      <c r="A352" s="425" t="s">
        <v>415</v>
      </c>
      <c r="B352" s="425" t="s">
        <v>415</v>
      </c>
    </row>
    <row r="353" spans="1:2" ht="15" hidden="1" x14ac:dyDescent="0.25">
      <c r="A353" s="425" t="s">
        <v>416</v>
      </c>
      <c r="B353" s="425" t="s">
        <v>416</v>
      </c>
    </row>
    <row r="354" spans="1:2" ht="15" hidden="1" x14ac:dyDescent="0.25">
      <c r="A354" s="425" t="s">
        <v>417</v>
      </c>
      <c r="B354" s="425" t="s">
        <v>417</v>
      </c>
    </row>
    <row r="355" spans="1:2" ht="15" hidden="1" x14ac:dyDescent="0.25">
      <c r="A355" s="425" t="s">
        <v>418</v>
      </c>
      <c r="B355" s="425" t="s">
        <v>418</v>
      </c>
    </row>
    <row r="356" spans="1:2" ht="15" hidden="1" x14ac:dyDescent="0.25">
      <c r="A356" s="425" t="s">
        <v>419</v>
      </c>
      <c r="B356" s="425" t="s">
        <v>419</v>
      </c>
    </row>
    <row r="357" spans="1:2" ht="15" hidden="1" x14ac:dyDescent="0.25">
      <c r="A357" s="425" t="s">
        <v>419</v>
      </c>
      <c r="B357" s="425" t="s">
        <v>419</v>
      </c>
    </row>
    <row r="358" spans="1:2" ht="15" hidden="1" x14ac:dyDescent="0.25">
      <c r="A358" s="425" t="s">
        <v>420</v>
      </c>
      <c r="B358" s="425" t="s">
        <v>420</v>
      </c>
    </row>
    <row r="359" spans="1:2" ht="15" hidden="1" x14ac:dyDescent="0.25">
      <c r="A359" s="425" t="s">
        <v>421</v>
      </c>
      <c r="B359" s="425" t="s">
        <v>421</v>
      </c>
    </row>
    <row r="360" spans="1:2" ht="15" hidden="1" x14ac:dyDescent="0.25">
      <c r="A360" s="425" t="s">
        <v>422</v>
      </c>
      <c r="B360" s="425" t="s">
        <v>422</v>
      </c>
    </row>
    <row r="361" spans="1:2" ht="15" hidden="1" x14ac:dyDescent="0.25">
      <c r="A361" s="425" t="s">
        <v>423</v>
      </c>
      <c r="B361" s="425" t="s">
        <v>423</v>
      </c>
    </row>
    <row r="362" spans="1:2" ht="15" hidden="1" x14ac:dyDescent="0.25">
      <c r="A362" s="425" t="s">
        <v>423</v>
      </c>
      <c r="B362" s="425" t="s">
        <v>423</v>
      </c>
    </row>
    <row r="363" spans="1:2" ht="15" hidden="1" x14ac:dyDescent="0.25">
      <c r="A363" s="425" t="s">
        <v>424</v>
      </c>
      <c r="B363" s="425" t="s">
        <v>424</v>
      </c>
    </row>
    <row r="364" spans="1:2" ht="15" hidden="1" x14ac:dyDescent="0.25">
      <c r="A364" s="425" t="s">
        <v>425</v>
      </c>
      <c r="B364" s="425" t="s">
        <v>425</v>
      </c>
    </row>
    <row r="365" spans="1:2" ht="15" hidden="1" x14ac:dyDescent="0.25">
      <c r="A365" s="425" t="s">
        <v>426</v>
      </c>
      <c r="B365" s="425" t="s">
        <v>426</v>
      </c>
    </row>
    <row r="366" spans="1:2" ht="15" hidden="1" x14ac:dyDescent="0.25">
      <c r="A366" s="425" t="s">
        <v>426</v>
      </c>
      <c r="B366" s="425" t="s">
        <v>426</v>
      </c>
    </row>
    <row r="367" spans="1:2" ht="15" hidden="1" x14ac:dyDescent="0.25">
      <c r="A367" s="425" t="s">
        <v>286</v>
      </c>
      <c r="B367" s="425" t="s">
        <v>286</v>
      </c>
    </row>
    <row r="368" spans="1:2" ht="15" hidden="1" x14ac:dyDescent="0.25">
      <c r="A368" s="425" t="s">
        <v>427</v>
      </c>
      <c r="B368" s="425" t="s">
        <v>427</v>
      </c>
    </row>
    <row r="369" spans="1:2" ht="15" hidden="1" x14ac:dyDescent="0.25">
      <c r="A369" s="425" t="s">
        <v>428</v>
      </c>
      <c r="B369" s="425" t="s">
        <v>428</v>
      </c>
    </row>
    <row r="370" spans="1:2" ht="15" hidden="1" x14ac:dyDescent="0.25">
      <c r="A370" s="425" t="s">
        <v>429</v>
      </c>
      <c r="B370" s="425" t="s">
        <v>429</v>
      </c>
    </row>
    <row r="371" spans="1:2" ht="15" hidden="1" x14ac:dyDescent="0.25">
      <c r="A371" s="425" t="s">
        <v>430</v>
      </c>
      <c r="B371" s="425" t="s">
        <v>430</v>
      </c>
    </row>
    <row r="372" spans="1:2" ht="15" hidden="1" x14ac:dyDescent="0.25">
      <c r="A372" s="425" t="s">
        <v>431</v>
      </c>
      <c r="B372" s="425" t="s">
        <v>431</v>
      </c>
    </row>
    <row r="373" spans="1:2" ht="15" hidden="1" x14ac:dyDescent="0.25">
      <c r="A373" s="425" t="s">
        <v>432</v>
      </c>
      <c r="B373" s="425" t="s">
        <v>432</v>
      </c>
    </row>
    <row r="374" spans="1:2" ht="15" hidden="1" x14ac:dyDescent="0.25">
      <c r="A374" s="425" t="s">
        <v>433</v>
      </c>
      <c r="B374" s="425" t="s">
        <v>433</v>
      </c>
    </row>
    <row r="375" spans="1:2" ht="15" hidden="1" x14ac:dyDescent="0.25">
      <c r="A375" s="425" t="s">
        <v>434</v>
      </c>
      <c r="B375" s="425" t="s">
        <v>434</v>
      </c>
    </row>
    <row r="376" spans="1:2" ht="15" hidden="1" x14ac:dyDescent="0.25">
      <c r="A376" s="425" t="s">
        <v>435</v>
      </c>
      <c r="B376" s="425" t="s">
        <v>435</v>
      </c>
    </row>
    <row r="377" spans="1:2" ht="15" hidden="1" x14ac:dyDescent="0.25">
      <c r="A377" s="425" t="s">
        <v>436</v>
      </c>
      <c r="B377" s="425" t="s">
        <v>436</v>
      </c>
    </row>
    <row r="378" spans="1:2" ht="15" hidden="1" x14ac:dyDescent="0.25">
      <c r="A378" s="425" t="s">
        <v>437</v>
      </c>
      <c r="B378" s="425" t="s">
        <v>437</v>
      </c>
    </row>
    <row r="379" spans="1:2" ht="15" hidden="1" x14ac:dyDescent="0.25">
      <c r="A379" s="425" t="s">
        <v>438</v>
      </c>
      <c r="B379" s="425" t="s">
        <v>438</v>
      </c>
    </row>
    <row r="380" spans="1:2" ht="15" hidden="1" x14ac:dyDescent="0.25">
      <c r="A380" s="425" t="s">
        <v>439</v>
      </c>
      <c r="B380" s="425" t="s">
        <v>439</v>
      </c>
    </row>
    <row r="381" spans="1:2" ht="15" hidden="1" x14ac:dyDescent="0.25">
      <c r="A381" s="425" t="s">
        <v>440</v>
      </c>
      <c r="B381" s="425" t="s">
        <v>440</v>
      </c>
    </row>
    <row r="382" spans="1:2" ht="15" hidden="1" x14ac:dyDescent="0.25">
      <c r="A382" s="425" t="s">
        <v>441</v>
      </c>
      <c r="B382" s="425" t="s">
        <v>441</v>
      </c>
    </row>
    <row r="383" spans="1:2" ht="15" hidden="1" x14ac:dyDescent="0.25">
      <c r="A383" s="425" t="s">
        <v>442</v>
      </c>
      <c r="B383" s="425" t="s">
        <v>442</v>
      </c>
    </row>
    <row r="384" spans="1:2" ht="15" hidden="1" x14ac:dyDescent="0.25">
      <c r="A384" s="425" t="s">
        <v>443</v>
      </c>
      <c r="B384" s="425" t="s">
        <v>443</v>
      </c>
    </row>
    <row r="385" spans="1:2" ht="15" hidden="1" x14ac:dyDescent="0.25">
      <c r="A385" s="425" t="s">
        <v>443</v>
      </c>
      <c r="B385" s="425" t="s">
        <v>443</v>
      </c>
    </row>
    <row r="386" spans="1:2" ht="15" hidden="1" x14ac:dyDescent="0.25">
      <c r="A386" s="425" t="s">
        <v>444</v>
      </c>
      <c r="B386" s="425" t="s">
        <v>444</v>
      </c>
    </row>
    <row r="387" spans="1:2" ht="15" hidden="1" x14ac:dyDescent="0.25">
      <c r="A387" s="425" t="s">
        <v>445</v>
      </c>
      <c r="B387" s="425" t="s">
        <v>445</v>
      </c>
    </row>
    <row r="388" spans="1:2" ht="15" hidden="1" x14ac:dyDescent="0.25">
      <c r="A388" s="425" t="s">
        <v>446</v>
      </c>
      <c r="B388" s="425" t="s">
        <v>446</v>
      </c>
    </row>
    <row r="389" spans="1:2" ht="15" hidden="1" x14ac:dyDescent="0.25">
      <c r="A389" s="425" t="s">
        <v>446</v>
      </c>
      <c r="B389" s="425" t="s">
        <v>446</v>
      </c>
    </row>
    <row r="390" spans="1:2" ht="15" hidden="1" x14ac:dyDescent="0.25">
      <c r="A390" s="425" t="s">
        <v>447</v>
      </c>
      <c r="B390" s="425" t="s">
        <v>447</v>
      </c>
    </row>
    <row r="391" spans="1:2" ht="15" hidden="1" x14ac:dyDescent="0.25">
      <c r="A391" s="425" t="s">
        <v>448</v>
      </c>
      <c r="B391" s="425" t="s">
        <v>448</v>
      </c>
    </row>
    <row r="392" spans="1:2" ht="15" hidden="1" x14ac:dyDescent="0.25">
      <c r="A392" s="425" t="s">
        <v>448</v>
      </c>
      <c r="B392" s="425" t="s">
        <v>448</v>
      </c>
    </row>
    <row r="393" spans="1:2" ht="15" hidden="1" x14ac:dyDescent="0.25">
      <c r="A393" s="425" t="s">
        <v>449</v>
      </c>
      <c r="B393" s="425" t="s">
        <v>449</v>
      </c>
    </row>
    <row r="394" spans="1:2" ht="15" hidden="1" x14ac:dyDescent="0.25">
      <c r="A394" s="425" t="s">
        <v>450</v>
      </c>
      <c r="B394" s="425" t="s">
        <v>450</v>
      </c>
    </row>
    <row r="395" spans="1:2" ht="15" hidden="1" x14ac:dyDescent="0.25">
      <c r="A395" s="425" t="s">
        <v>451</v>
      </c>
      <c r="B395" s="425" t="s">
        <v>451</v>
      </c>
    </row>
    <row r="396" spans="1:2" ht="15" hidden="1" x14ac:dyDescent="0.25">
      <c r="A396" s="425" t="s">
        <v>452</v>
      </c>
      <c r="B396" s="425" t="s">
        <v>452</v>
      </c>
    </row>
    <row r="397" spans="1:2" ht="15" hidden="1" x14ac:dyDescent="0.25">
      <c r="A397" s="425" t="s">
        <v>452</v>
      </c>
      <c r="B397" s="425" t="s">
        <v>452</v>
      </c>
    </row>
    <row r="398" spans="1:2" ht="15" hidden="1" x14ac:dyDescent="0.25">
      <c r="A398" s="425" t="s">
        <v>453</v>
      </c>
      <c r="B398" s="425" t="s">
        <v>453</v>
      </c>
    </row>
    <row r="399" spans="1:2" ht="15" hidden="1" x14ac:dyDescent="0.25">
      <c r="A399" s="425" t="s">
        <v>454</v>
      </c>
      <c r="B399" s="425" t="s">
        <v>454</v>
      </c>
    </row>
    <row r="400" spans="1:2" ht="15" hidden="1" x14ac:dyDescent="0.25">
      <c r="A400" s="425" t="s">
        <v>455</v>
      </c>
      <c r="B400" s="425" t="s">
        <v>455</v>
      </c>
    </row>
    <row r="401" spans="1:2" ht="15" hidden="1" x14ac:dyDescent="0.25">
      <c r="A401" s="425" t="s">
        <v>456</v>
      </c>
      <c r="B401" s="425" t="s">
        <v>456</v>
      </c>
    </row>
    <row r="402" spans="1:2" ht="15" hidden="1" x14ac:dyDescent="0.25">
      <c r="A402" s="425" t="s">
        <v>457</v>
      </c>
      <c r="B402" s="425" t="s">
        <v>457</v>
      </c>
    </row>
    <row r="403" spans="1:2" ht="15" hidden="1" x14ac:dyDescent="0.25">
      <c r="A403" s="425" t="s">
        <v>288</v>
      </c>
      <c r="B403" s="425" t="s">
        <v>288</v>
      </c>
    </row>
    <row r="404" spans="1:2" ht="15" hidden="1" x14ac:dyDescent="0.25">
      <c r="A404" s="425" t="s">
        <v>458</v>
      </c>
      <c r="B404" s="425" t="s">
        <v>458</v>
      </c>
    </row>
    <row r="405" spans="1:2" ht="15" hidden="1" x14ac:dyDescent="0.25">
      <c r="A405" s="425" t="s">
        <v>459</v>
      </c>
      <c r="B405" s="425" t="s">
        <v>459</v>
      </c>
    </row>
    <row r="406" spans="1:2" ht="15" hidden="1" x14ac:dyDescent="0.25">
      <c r="A406" s="425" t="s">
        <v>460</v>
      </c>
      <c r="B406" s="425" t="s">
        <v>460</v>
      </c>
    </row>
    <row r="407" spans="1:2" ht="15" hidden="1" x14ac:dyDescent="0.25">
      <c r="A407" s="425" t="s">
        <v>461</v>
      </c>
      <c r="B407" s="425" t="s">
        <v>461</v>
      </c>
    </row>
    <row r="408" spans="1:2" ht="15" hidden="1" x14ac:dyDescent="0.25">
      <c r="A408" s="425" t="s">
        <v>461</v>
      </c>
      <c r="B408" s="425" t="s">
        <v>461</v>
      </c>
    </row>
    <row r="409" spans="1:2" ht="15" hidden="1" x14ac:dyDescent="0.25">
      <c r="A409" s="425" t="s">
        <v>462</v>
      </c>
      <c r="B409" s="425" t="s">
        <v>462</v>
      </c>
    </row>
    <row r="410" spans="1:2" ht="15" hidden="1" x14ac:dyDescent="0.25">
      <c r="A410" s="425" t="s">
        <v>463</v>
      </c>
      <c r="B410" s="425" t="s">
        <v>463</v>
      </c>
    </row>
    <row r="411" spans="1:2" ht="15" hidden="1" x14ac:dyDescent="0.25">
      <c r="A411" s="425" t="s">
        <v>464</v>
      </c>
      <c r="B411" s="425" t="s">
        <v>464</v>
      </c>
    </row>
    <row r="412" spans="1:2" ht="15" hidden="1" x14ac:dyDescent="0.25">
      <c r="A412" s="425" t="s">
        <v>465</v>
      </c>
      <c r="B412" s="425" t="s">
        <v>465</v>
      </c>
    </row>
    <row r="413" spans="1:2" ht="15" hidden="1" x14ac:dyDescent="0.25">
      <c r="A413" s="425" t="s">
        <v>466</v>
      </c>
      <c r="B413" s="425" t="s">
        <v>466</v>
      </c>
    </row>
    <row r="414" spans="1:2" ht="15" hidden="1" x14ac:dyDescent="0.25">
      <c r="A414" s="425" t="s">
        <v>467</v>
      </c>
      <c r="B414" s="425" t="s">
        <v>467</v>
      </c>
    </row>
    <row r="415" spans="1:2" ht="15" hidden="1" x14ac:dyDescent="0.25">
      <c r="A415" s="425" t="s">
        <v>467</v>
      </c>
      <c r="B415" s="425" t="s">
        <v>467</v>
      </c>
    </row>
    <row r="416" spans="1:2" ht="15" hidden="1" x14ac:dyDescent="0.25">
      <c r="A416" s="425" t="s">
        <v>468</v>
      </c>
      <c r="B416" s="425" t="s">
        <v>468</v>
      </c>
    </row>
    <row r="417" spans="1:2" ht="15" hidden="1" x14ac:dyDescent="0.25">
      <c r="A417" s="425" t="s">
        <v>468</v>
      </c>
      <c r="B417" s="425" t="s">
        <v>468</v>
      </c>
    </row>
    <row r="418" spans="1:2" ht="15" hidden="1" x14ac:dyDescent="0.25">
      <c r="A418" s="425" t="s">
        <v>469</v>
      </c>
      <c r="B418" s="425" t="s">
        <v>469</v>
      </c>
    </row>
    <row r="419" spans="1:2" ht="15" hidden="1" x14ac:dyDescent="0.25">
      <c r="A419" s="425" t="s">
        <v>469</v>
      </c>
      <c r="B419" s="425" t="s">
        <v>469</v>
      </c>
    </row>
    <row r="420" spans="1:2" ht="15" hidden="1" x14ac:dyDescent="0.25">
      <c r="A420" s="425" t="s">
        <v>470</v>
      </c>
      <c r="B420" s="425" t="s">
        <v>470</v>
      </c>
    </row>
    <row r="421" spans="1:2" ht="15" hidden="1" x14ac:dyDescent="0.25">
      <c r="A421" s="425" t="s">
        <v>471</v>
      </c>
      <c r="B421" s="425" t="s">
        <v>471</v>
      </c>
    </row>
    <row r="422" spans="1:2" ht="15" hidden="1" x14ac:dyDescent="0.25">
      <c r="A422" s="425" t="s">
        <v>472</v>
      </c>
      <c r="B422" s="425" t="s">
        <v>472</v>
      </c>
    </row>
    <row r="423" spans="1:2" ht="15" hidden="1" x14ac:dyDescent="0.25">
      <c r="A423" s="425" t="s">
        <v>473</v>
      </c>
      <c r="B423" s="425" t="s">
        <v>473</v>
      </c>
    </row>
    <row r="424" spans="1:2" ht="15" hidden="1" x14ac:dyDescent="0.25">
      <c r="A424" s="425" t="s">
        <v>473</v>
      </c>
      <c r="B424" s="425" t="s">
        <v>473</v>
      </c>
    </row>
    <row r="425" spans="1:2" ht="15" hidden="1" x14ac:dyDescent="0.25">
      <c r="A425" s="425" t="s">
        <v>474</v>
      </c>
      <c r="B425" s="425" t="s">
        <v>474</v>
      </c>
    </row>
    <row r="426" spans="1:2" ht="15" hidden="1" x14ac:dyDescent="0.25">
      <c r="A426" s="425" t="s">
        <v>475</v>
      </c>
      <c r="B426" s="425" t="s">
        <v>475</v>
      </c>
    </row>
    <row r="427" spans="1:2" ht="15" hidden="1" x14ac:dyDescent="0.25">
      <c r="A427" s="425" t="s">
        <v>476</v>
      </c>
      <c r="B427" s="425" t="s">
        <v>476</v>
      </c>
    </row>
    <row r="428" spans="1:2" ht="15" hidden="1" x14ac:dyDescent="0.25">
      <c r="A428" s="425" t="s">
        <v>477</v>
      </c>
      <c r="B428" s="425" t="s">
        <v>477</v>
      </c>
    </row>
    <row r="429" spans="1:2" ht="15" hidden="1" x14ac:dyDescent="0.25">
      <c r="A429" s="425" t="s">
        <v>478</v>
      </c>
      <c r="B429" s="425" t="s">
        <v>478</v>
      </c>
    </row>
    <row r="430" spans="1:2" ht="15" hidden="1" x14ac:dyDescent="0.25">
      <c r="A430" s="425" t="s">
        <v>479</v>
      </c>
      <c r="B430" s="425" t="s">
        <v>479</v>
      </c>
    </row>
    <row r="431" spans="1:2" ht="15" hidden="1" x14ac:dyDescent="0.25">
      <c r="A431" s="425" t="s">
        <v>479</v>
      </c>
      <c r="B431" s="425" t="s">
        <v>479</v>
      </c>
    </row>
    <row r="432" spans="1:2" ht="15" hidden="1" x14ac:dyDescent="0.25">
      <c r="A432" s="425" t="s">
        <v>480</v>
      </c>
      <c r="B432" s="425" t="s">
        <v>480</v>
      </c>
    </row>
    <row r="433" spans="1:2" ht="15" hidden="1" x14ac:dyDescent="0.25">
      <c r="A433" s="425" t="s">
        <v>331</v>
      </c>
      <c r="B433" s="425" t="s">
        <v>331</v>
      </c>
    </row>
    <row r="434" spans="1:2" ht="15" hidden="1" x14ac:dyDescent="0.25">
      <c r="A434" s="425" t="s">
        <v>481</v>
      </c>
      <c r="B434" s="425" t="s">
        <v>481</v>
      </c>
    </row>
    <row r="435" spans="1:2" ht="15" hidden="1" x14ac:dyDescent="0.25">
      <c r="A435" s="425" t="s">
        <v>482</v>
      </c>
      <c r="B435" s="425" t="s">
        <v>482</v>
      </c>
    </row>
    <row r="436" spans="1:2" ht="15" hidden="1" x14ac:dyDescent="0.25">
      <c r="A436" s="425" t="s">
        <v>483</v>
      </c>
      <c r="B436" s="425" t="s">
        <v>483</v>
      </c>
    </row>
    <row r="437" spans="1:2" ht="15" hidden="1" x14ac:dyDescent="0.25">
      <c r="A437" s="425" t="s">
        <v>484</v>
      </c>
      <c r="B437" s="425" t="s">
        <v>484</v>
      </c>
    </row>
    <row r="438" spans="1:2" ht="15" hidden="1" x14ac:dyDescent="0.25">
      <c r="A438" s="425" t="s">
        <v>484</v>
      </c>
      <c r="B438" s="425" t="s">
        <v>484</v>
      </c>
    </row>
    <row r="439" spans="1:2" ht="15" hidden="1" x14ac:dyDescent="0.25">
      <c r="A439" s="425" t="s">
        <v>485</v>
      </c>
      <c r="B439" s="425" t="s">
        <v>485</v>
      </c>
    </row>
    <row r="440" spans="1:2" ht="15" hidden="1" x14ac:dyDescent="0.25">
      <c r="A440" s="425" t="s">
        <v>486</v>
      </c>
      <c r="B440" s="425" t="s">
        <v>486</v>
      </c>
    </row>
    <row r="441" spans="1:2" ht="15" hidden="1" x14ac:dyDescent="0.25">
      <c r="A441" s="425" t="s">
        <v>487</v>
      </c>
      <c r="B441" s="425" t="s">
        <v>487</v>
      </c>
    </row>
    <row r="442" spans="1:2" ht="15" hidden="1" x14ac:dyDescent="0.25">
      <c r="A442" s="425" t="s">
        <v>488</v>
      </c>
      <c r="B442" s="425" t="s">
        <v>488</v>
      </c>
    </row>
    <row r="443" spans="1:2" ht="15" hidden="1" x14ac:dyDescent="0.25">
      <c r="A443" s="425" t="s">
        <v>489</v>
      </c>
      <c r="B443" s="425" t="s">
        <v>489</v>
      </c>
    </row>
    <row r="444" spans="1:2" ht="15" hidden="1" x14ac:dyDescent="0.25">
      <c r="A444" s="425" t="s">
        <v>490</v>
      </c>
      <c r="B444" s="425" t="s">
        <v>490</v>
      </c>
    </row>
    <row r="445" spans="1:2" ht="15" hidden="1" x14ac:dyDescent="0.25">
      <c r="A445" s="425" t="s">
        <v>491</v>
      </c>
      <c r="B445" s="425" t="s">
        <v>491</v>
      </c>
    </row>
    <row r="446" spans="1:2" ht="15" hidden="1" x14ac:dyDescent="0.25">
      <c r="A446" s="425" t="s">
        <v>491</v>
      </c>
      <c r="B446" s="425" t="s">
        <v>491</v>
      </c>
    </row>
    <row r="447" spans="1:2" ht="15" hidden="1" x14ac:dyDescent="0.25">
      <c r="A447" s="425" t="s">
        <v>492</v>
      </c>
      <c r="B447" s="425" t="s">
        <v>492</v>
      </c>
    </row>
    <row r="448" spans="1:2" ht="15" hidden="1" x14ac:dyDescent="0.25">
      <c r="A448" s="425" t="s">
        <v>493</v>
      </c>
      <c r="B448" s="425" t="s">
        <v>493</v>
      </c>
    </row>
    <row r="449" spans="1:2" ht="15" hidden="1" x14ac:dyDescent="0.25">
      <c r="A449" s="425" t="s">
        <v>494</v>
      </c>
      <c r="B449" s="425" t="s">
        <v>494</v>
      </c>
    </row>
    <row r="450" spans="1:2" ht="15" hidden="1" x14ac:dyDescent="0.25">
      <c r="A450" s="425" t="s">
        <v>495</v>
      </c>
      <c r="B450" s="425" t="s">
        <v>495</v>
      </c>
    </row>
    <row r="451" spans="1:2" ht="15" hidden="1" x14ac:dyDescent="0.25">
      <c r="A451" s="425" t="s">
        <v>495</v>
      </c>
      <c r="B451" s="425" t="s">
        <v>495</v>
      </c>
    </row>
    <row r="452" spans="1:2" ht="15" hidden="1" x14ac:dyDescent="0.25">
      <c r="A452" s="425" t="s">
        <v>496</v>
      </c>
      <c r="B452" s="425" t="s">
        <v>496</v>
      </c>
    </row>
    <row r="453" spans="1:2" ht="15" hidden="1" x14ac:dyDescent="0.25">
      <c r="A453" s="425" t="s">
        <v>497</v>
      </c>
      <c r="B453" s="425" t="s">
        <v>497</v>
      </c>
    </row>
    <row r="454" spans="1:2" ht="15" hidden="1" x14ac:dyDescent="0.25">
      <c r="A454" s="425" t="s">
        <v>498</v>
      </c>
      <c r="B454" s="425" t="s">
        <v>498</v>
      </c>
    </row>
    <row r="455" spans="1:2" ht="15" hidden="1" x14ac:dyDescent="0.25">
      <c r="A455" s="425" t="s">
        <v>498</v>
      </c>
      <c r="B455" s="425" t="s">
        <v>498</v>
      </c>
    </row>
    <row r="456" spans="1:2" ht="15" hidden="1" x14ac:dyDescent="0.25">
      <c r="A456" s="425" t="s">
        <v>499</v>
      </c>
      <c r="B456" s="425" t="s">
        <v>499</v>
      </c>
    </row>
    <row r="457" spans="1:2" ht="15" hidden="1" x14ac:dyDescent="0.25">
      <c r="A457" s="425" t="s">
        <v>499</v>
      </c>
      <c r="B457" s="425" t="s">
        <v>499</v>
      </c>
    </row>
    <row r="458" spans="1:2" ht="15" hidden="1" x14ac:dyDescent="0.25">
      <c r="A458" s="425" t="s">
        <v>500</v>
      </c>
      <c r="B458" s="425" t="s">
        <v>500</v>
      </c>
    </row>
    <row r="459" spans="1:2" ht="15" hidden="1" x14ac:dyDescent="0.25">
      <c r="A459" s="425" t="s">
        <v>501</v>
      </c>
      <c r="B459" s="425" t="s">
        <v>501</v>
      </c>
    </row>
    <row r="460" spans="1:2" ht="15" hidden="1" x14ac:dyDescent="0.25">
      <c r="A460" s="425" t="s">
        <v>502</v>
      </c>
      <c r="B460" s="425" t="s">
        <v>502</v>
      </c>
    </row>
    <row r="461" spans="1:2" ht="15" hidden="1" x14ac:dyDescent="0.25">
      <c r="A461" s="425" t="s">
        <v>503</v>
      </c>
      <c r="B461" s="425" t="s">
        <v>503</v>
      </c>
    </row>
    <row r="462" spans="1:2" ht="15" hidden="1" x14ac:dyDescent="0.25">
      <c r="A462" s="425" t="s">
        <v>504</v>
      </c>
      <c r="B462" s="425" t="s">
        <v>504</v>
      </c>
    </row>
    <row r="463" spans="1:2" ht="15" hidden="1" x14ac:dyDescent="0.25">
      <c r="A463" s="425" t="s">
        <v>504</v>
      </c>
      <c r="B463" s="425" t="s">
        <v>504</v>
      </c>
    </row>
    <row r="464" spans="1:2" ht="15" hidden="1" x14ac:dyDescent="0.25">
      <c r="A464" s="425" t="s">
        <v>505</v>
      </c>
      <c r="B464" s="425" t="s">
        <v>505</v>
      </c>
    </row>
    <row r="465" spans="1:2" ht="15" hidden="1" x14ac:dyDescent="0.25">
      <c r="A465" s="425" t="s">
        <v>506</v>
      </c>
      <c r="B465" s="425" t="s">
        <v>506</v>
      </c>
    </row>
    <row r="466" spans="1:2" ht="15" hidden="1" x14ac:dyDescent="0.25">
      <c r="A466" s="425" t="s">
        <v>506</v>
      </c>
      <c r="B466" s="425" t="s">
        <v>506</v>
      </c>
    </row>
    <row r="467" spans="1:2" ht="15" hidden="1" x14ac:dyDescent="0.25">
      <c r="A467" s="425" t="s">
        <v>507</v>
      </c>
      <c r="B467" s="425" t="s">
        <v>507</v>
      </c>
    </row>
    <row r="468" spans="1:2" ht="15" hidden="1" x14ac:dyDescent="0.25">
      <c r="A468" s="425" t="s">
        <v>507</v>
      </c>
      <c r="B468" s="425" t="s">
        <v>507</v>
      </c>
    </row>
    <row r="469" spans="1:2" ht="15" hidden="1" x14ac:dyDescent="0.25">
      <c r="A469" s="425" t="s">
        <v>508</v>
      </c>
      <c r="B469" s="425" t="s">
        <v>508</v>
      </c>
    </row>
    <row r="470" spans="1:2" ht="15" hidden="1" x14ac:dyDescent="0.25">
      <c r="A470" s="425" t="s">
        <v>509</v>
      </c>
      <c r="B470" s="425" t="s">
        <v>509</v>
      </c>
    </row>
    <row r="471" spans="1:2" ht="15" hidden="1" x14ac:dyDescent="0.25">
      <c r="A471" s="425" t="s">
        <v>510</v>
      </c>
      <c r="B471" s="425" t="s">
        <v>510</v>
      </c>
    </row>
    <row r="472" spans="1:2" ht="15" hidden="1" x14ac:dyDescent="0.25">
      <c r="A472" s="425" t="s">
        <v>511</v>
      </c>
      <c r="B472" s="425" t="s">
        <v>511</v>
      </c>
    </row>
    <row r="473" spans="1:2" ht="15" hidden="1" x14ac:dyDescent="0.25">
      <c r="A473" s="425" t="s">
        <v>512</v>
      </c>
      <c r="B473" s="425" t="s">
        <v>512</v>
      </c>
    </row>
    <row r="474" spans="1:2" ht="15" hidden="1" x14ac:dyDescent="0.25">
      <c r="A474" s="425" t="s">
        <v>513</v>
      </c>
      <c r="B474" s="425" t="s">
        <v>513</v>
      </c>
    </row>
    <row r="475" spans="1:2" ht="15" hidden="1" x14ac:dyDescent="0.25">
      <c r="A475" s="425" t="s">
        <v>514</v>
      </c>
      <c r="B475" s="425" t="s">
        <v>514</v>
      </c>
    </row>
    <row r="476" spans="1:2" ht="15" hidden="1" x14ac:dyDescent="0.25">
      <c r="A476" s="425" t="s">
        <v>515</v>
      </c>
      <c r="B476" s="425" t="s">
        <v>515</v>
      </c>
    </row>
    <row r="477" spans="1:2" ht="15" hidden="1" x14ac:dyDescent="0.25">
      <c r="A477" s="425" t="s">
        <v>516</v>
      </c>
      <c r="B477" s="425" t="s">
        <v>516</v>
      </c>
    </row>
    <row r="478" spans="1:2" ht="15" hidden="1" x14ac:dyDescent="0.25">
      <c r="A478" s="425" t="s">
        <v>516</v>
      </c>
      <c r="B478" s="425" t="s">
        <v>516</v>
      </c>
    </row>
    <row r="479" spans="1:2" ht="15" hidden="1" x14ac:dyDescent="0.25">
      <c r="A479" s="425" t="s">
        <v>517</v>
      </c>
      <c r="B479" s="425" t="s">
        <v>517</v>
      </c>
    </row>
    <row r="480" spans="1:2" ht="15" hidden="1" x14ac:dyDescent="0.25">
      <c r="A480" s="425" t="s">
        <v>518</v>
      </c>
      <c r="B480" s="425" t="s">
        <v>518</v>
      </c>
    </row>
    <row r="481" spans="1:2" ht="15" hidden="1" x14ac:dyDescent="0.25">
      <c r="A481" s="425" t="s">
        <v>519</v>
      </c>
      <c r="B481" s="425" t="s">
        <v>519</v>
      </c>
    </row>
    <row r="482" spans="1:2" ht="15" hidden="1" x14ac:dyDescent="0.25">
      <c r="A482" s="425" t="s">
        <v>519</v>
      </c>
      <c r="B482" s="425" t="s">
        <v>519</v>
      </c>
    </row>
    <row r="483" spans="1:2" ht="15" hidden="1" x14ac:dyDescent="0.25">
      <c r="A483" s="425" t="s">
        <v>520</v>
      </c>
      <c r="B483" s="425" t="s">
        <v>520</v>
      </c>
    </row>
    <row r="484" spans="1:2" ht="15" hidden="1" x14ac:dyDescent="0.25">
      <c r="A484" s="425" t="s">
        <v>520</v>
      </c>
      <c r="B484" s="425" t="s">
        <v>520</v>
      </c>
    </row>
    <row r="485" spans="1:2" ht="15" hidden="1" x14ac:dyDescent="0.25">
      <c r="A485" s="425" t="s">
        <v>287</v>
      </c>
      <c r="B485" s="425" t="s">
        <v>287</v>
      </c>
    </row>
    <row r="486" spans="1:2" ht="15" hidden="1" x14ac:dyDescent="0.25">
      <c r="A486" s="425" t="s">
        <v>521</v>
      </c>
      <c r="B486" s="425" t="s">
        <v>521</v>
      </c>
    </row>
    <row r="487" spans="1:2" ht="15" hidden="1" x14ac:dyDescent="0.25">
      <c r="A487" s="425" t="s">
        <v>522</v>
      </c>
      <c r="B487" s="425" t="s">
        <v>522</v>
      </c>
    </row>
    <row r="488" spans="1:2" ht="15" hidden="1" x14ac:dyDescent="0.25">
      <c r="A488" s="425" t="s">
        <v>523</v>
      </c>
      <c r="B488" s="425" t="s">
        <v>523</v>
      </c>
    </row>
    <row r="489" spans="1:2" ht="15" hidden="1" x14ac:dyDescent="0.25">
      <c r="A489" s="425" t="s">
        <v>523</v>
      </c>
      <c r="B489" s="425" t="s">
        <v>523</v>
      </c>
    </row>
    <row r="490" spans="1:2" ht="15" hidden="1" x14ac:dyDescent="0.25">
      <c r="A490" s="425" t="s">
        <v>524</v>
      </c>
      <c r="B490" s="425" t="s">
        <v>524</v>
      </c>
    </row>
    <row r="491" spans="1:2" ht="15" hidden="1" x14ac:dyDescent="0.25">
      <c r="A491" s="425" t="s">
        <v>524</v>
      </c>
      <c r="B491" s="425" t="s">
        <v>524</v>
      </c>
    </row>
    <row r="492" spans="1:2" ht="15" hidden="1" x14ac:dyDescent="0.25">
      <c r="A492" s="425" t="s">
        <v>525</v>
      </c>
      <c r="B492" s="425" t="s">
        <v>525</v>
      </c>
    </row>
    <row r="493" spans="1:2" ht="15" hidden="1" x14ac:dyDescent="0.25">
      <c r="A493" s="425" t="s">
        <v>526</v>
      </c>
      <c r="B493" s="425" t="s">
        <v>526</v>
      </c>
    </row>
    <row r="494" spans="1:2" ht="15" hidden="1" x14ac:dyDescent="0.25">
      <c r="A494" s="425" t="s">
        <v>527</v>
      </c>
      <c r="B494" s="425" t="s">
        <v>527</v>
      </c>
    </row>
    <row r="495" spans="1:2" ht="15" hidden="1" x14ac:dyDescent="0.25">
      <c r="A495" s="425" t="s">
        <v>528</v>
      </c>
      <c r="B495" s="425" t="s">
        <v>528</v>
      </c>
    </row>
    <row r="496" spans="1:2" ht="15" hidden="1" x14ac:dyDescent="0.25">
      <c r="A496" s="425" t="s">
        <v>529</v>
      </c>
      <c r="B496" s="425" t="s">
        <v>529</v>
      </c>
    </row>
    <row r="497" spans="1:2" ht="15" hidden="1" x14ac:dyDescent="0.25">
      <c r="A497" s="425" t="s">
        <v>530</v>
      </c>
      <c r="B497" s="425" t="s">
        <v>530</v>
      </c>
    </row>
    <row r="498" spans="1:2" ht="15" hidden="1" x14ac:dyDescent="0.25">
      <c r="A498" s="425" t="s">
        <v>531</v>
      </c>
      <c r="B498" s="425" t="s">
        <v>531</v>
      </c>
    </row>
    <row r="499" spans="1:2" ht="15" hidden="1" x14ac:dyDescent="0.25">
      <c r="A499" s="425" t="s">
        <v>532</v>
      </c>
      <c r="B499" s="425" t="s">
        <v>532</v>
      </c>
    </row>
    <row r="500" spans="1:2" ht="15" hidden="1" x14ac:dyDescent="0.25">
      <c r="A500" s="425" t="s">
        <v>533</v>
      </c>
      <c r="B500" s="425" t="s">
        <v>533</v>
      </c>
    </row>
    <row r="501" spans="1:2" ht="15" hidden="1" x14ac:dyDescent="0.25">
      <c r="A501" s="425" t="s">
        <v>534</v>
      </c>
      <c r="B501" s="425" t="s">
        <v>534</v>
      </c>
    </row>
    <row r="502" spans="1:2" ht="15" hidden="1" x14ac:dyDescent="0.25">
      <c r="A502" s="425" t="s">
        <v>535</v>
      </c>
      <c r="B502" s="425" t="s">
        <v>535</v>
      </c>
    </row>
    <row r="503" spans="1:2" ht="15" hidden="1" x14ac:dyDescent="0.25">
      <c r="A503" s="425" t="s">
        <v>535</v>
      </c>
      <c r="B503" s="425" t="s">
        <v>535</v>
      </c>
    </row>
    <row r="504" spans="1:2" ht="15" hidden="1" x14ac:dyDescent="0.25">
      <c r="A504" s="425" t="s">
        <v>536</v>
      </c>
      <c r="B504" s="425" t="s">
        <v>536</v>
      </c>
    </row>
    <row r="505" spans="1:2" ht="15" hidden="1" x14ac:dyDescent="0.25">
      <c r="A505" s="425" t="s">
        <v>536</v>
      </c>
      <c r="B505" s="425" t="s">
        <v>536</v>
      </c>
    </row>
    <row r="506" spans="1:2" ht="15" hidden="1" x14ac:dyDescent="0.25">
      <c r="A506" s="425" t="s">
        <v>537</v>
      </c>
      <c r="B506" s="425" t="s">
        <v>537</v>
      </c>
    </row>
    <row r="507" spans="1:2" ht="15" hidden="1" x14ac:dyDescent="0.25">
      <c r="A507" s="425" t="s">
        <v>538</v>
      </c>
      <c r="B507" s="425" t="s">
        <v>538</v>
      </c>
    </row>
    <row r="508" spans="1:2" ht="15" hidden="1" x14ac:dyDescent="0.25">
      <c r="A508" s="425" t="s">
        <v>538</v>
      </c>
      <c r="B508" s="425" t="s">
        <v>538</v>
      </c>
    </row>
    <row r="509" spans="1:2" ht="15" hidden="1" x14ac:dyDescent="0.25">
      <c r="A509" s="425" t="s">
        <v>539</v>
      </c>
      <c r="B509" s="425" t="s">
        <v>539</v>
      </c>
    </row>
    <row r="510" spans="1:2" ht="15" hidden="1" x14ac:dyDescent="0.25">
      <c r="A510" s="425" t="s">
        <v>540</v>
      </c>
      <c r="B510" s="425" t="s">
        <v>540</v>
      </c>
    </row>
    <row r="511" spans="1:2" ht="15" hidden="1" x14ac:dyDescent="0.25">
      <c r="A511" s="425" t="s">
        <v>541</v>
      </c>
      <c r="B511" s="425" t="s">
        <v>541</v>
      </c>
    </row>
    <row r="512" spans="1:2" ht="15" hidden="1" x14ac:dyDescent="0.25">
      <c r="A512" s="425" t="s">
        <v>542</v>
      </c>
      <c r="B512" s="425" t="s">
        <v>542</v>
      </c>
    </row>
    <row r="513" spans="1:2" ht="15" hidden="1" x14ac:dyDescent="0.25">
      <c r="A513" s="425" t="s">
        <v>543</v>
      </c>
      <c r="B513" s="425" t="s">
        <v>543</v>
      </c>
    </row>
    <row r="514" spans="1:2" ht="15" hidden="1" x14ac:dyDescent="0.25">
      <c r="A514" s="425" t="s">
        <v>544</v>
      </c>
      <c r="B514" s="425" t="s">
        <v>544</v>
      </c>
    </row>
    <row r="515" spans="1:2" ht="15" hidden="1" x14ac:dyDescent="0.25">
      <c r="A515" s="425" t="s">
        <v>544</v>
      </c>
      <c r="B515" s="425" t="s">
        <v>544</v>
      </c>
    </row>
    <row r="516" spans="1:2" ht="15" hidden="1" x14ac:dyDescent="0.25">
      <c r="A516" s="425" t="s">
        <v>545</v>
      </c>
      <c r="B516" s="425" t="s">
        <v>545</v>
      </c>
    </row>
    <row r="517" spans="1:2" ht="15" hidden="1" x14ac:dyDescent="0.25">
      <c r="A517" s="425" t="s">
        <v>546</v>
      </c>
      <c r="B517" s="425" t="s">
        <v>546</v>
      </c>
    </row>
    <row r="518" spans="1:2" ht="15" hidden="1" x14ac:dyDescent="0.25">
      <c r="A518" s="425" t="s">
        <v>547</v>
      </c>
      <c r="B518" s="425" t="s">
        <v>547</v>
      </c>
    </row>
    <row r="519" spans="1:2" ht="15" hidden="1" x14ac:dyDescent="0.25">
      <c r="A519" s="425" t="s">
        <v>548</v>
      </c>
      <c r="B519" s="425" t="s">
        <v>548</v>
      </c>
    </row>
    <row r="520" spans="1:2" ht="15" hidden="1" x14ac:dyDescent="0.25">
      <c r="A520" s="425" t="s">
        <v>549</v>
      </c>
      <c r="B520" s="425" t="s">
        <v>549</v>
      </c>
    </row>
    <row r="521" spans="1:2" ht="15" hidden="1" x14ac:dyDescent="0.25">
      <c r="A521" s="425" t="s">
        <v>550</v>
      </c>
      <c r="B521" s="425" t="s">
        <v>550</v>
      </c>
    </row>
    <row r="522" spans="1:2" ht="15" hidden="1" x14ac:dyDescent="0.25">
      <c r="A522" s="425" t="s">
        <v>551</v>
      </c>
      <c r="B522" s="425" t="s">
        <v>551</v>
      </c>
    </row>
    <row r="523" spans="1:2" ht="15" hidden="1" x14ac:dyDescent="0.25">
      <c r="A523" s="425" t="s">
        <v>552</v>
      </c>
      <c r="B523" s="425" t="s">
        <v>552</v>
      </c>
    </row>
    <row r="524" spans="1:2" ht="15" hidden="1" x14ac:dyDescent="0.25">
      <c r="A524" s="425" t="s">
        <v>553</v>
      </c>
      <c r="B524" s="425" t="s">
        <v>553</v>
      </c>
    </row>
    <row r="525" spans="1:2" ht="15" hidden="1" x14ac:dyDescent="0.25">
      <c r="A525" s="425" t="s">
        <v>554</v>
      </c>
      <c r="B525" s="425" t="s">
        <v>554</v>
      </c>
    </row>
    <row r="526" spans="1:2" ht="15" hidden="1" x14ac:dyDescent="0.25">
      <c r="A526" s="425" t="s">
        <v>554</v>
      </c>
      <c r="B526" s="425" t="s">
        <v>554</v>
      </c>
    </row>
    <row r="527" spans="1:2" ht="15" hidden="1" x14ac:dyDescent="0.25">
      <c r="A527" s="425" t="s">
        <v>555</v>
      </c>
      <c r="B527" s="425" t="s">
        <v>555</v>
      </c>
    </row>
    <row r="528" spans="1:2" ht="15" hidden="1" x14ac:dyDescent="0.25">
      <c r="A528" s="425" t="s">
        <v>556</v>
      </c>
      <c r="B528" s="425" t="s">
        <v>556</v>
      </c>
    </row>
    <row r="529" spans="1:2" ht="15" hidden="1" x14ac:dyDescent="0.25">
      <c r="A529" s="425" t="s">
        <v>557</v>
      </c>
      <c r="B529" s="425" t="s">
        <v>557</v>
      </c>
    </row>
    <row r="530" spans="1:2" ht="15" hidden="1" x14ac:dyDescent="0.25">
      <c r="A530" s="425" t="s">
        <v>558</v>
      </c>
      <c r="B530" s="425" t="s">
        <v>558</v>
      </c>
    </row>
    <row r="531" spans="1:2" ht="15" hidden="1" x14ac:dyDescent="0.25">
      <c r="A531" s="425" t="s">
        <v>559</v>
      </c>
      <c r="B531" s="425" t="s">
        <v>559</v>
      </c>
    </row>
    <row r="532" spans="1:2" ht="15" hidden="1" x14ac:dyDescent="0.25">
      <c r="A532" s="425" t="s">
        <v>560</v>
      </c>
      <c r="B532" s="425" t="s">
        <v>560</v>
      </c>
    </row>
    <row r="533" spans="1:2" ht="15" hidden="1" x14ac:dyDescent="0.25">
      <c r="A533" s="425" t="s">
        <v>560</v>
      </c>
      <c r="B533" s="425" t="s">
        <v>560</v>
      </c>
    </row>
    <row r="534" spans="1:2" ht="15" hidden="1" x14ac:dyDescent="0.25">
      <c r="A534" s="425" t="s">
        <v>561</v>
      </c>
      <c r="B534" s="425" t="s">
        <v>561</v>
      </c>
    </row>
    <row r="535" spans="1:2" ht="15" hidden="1" x14ac:dyDescent="0.25">
      <c r="A535" s="425" t="s">
        <v>562</v>
      </c>
      <c r="B535" s="425" t="s">
        <v>562</v>
      </c>
    </row>
    <row r="536" spans="1:2" ht="15" hidden="1" x14ac:dyDescent="0.25">
      <c r="A536" s="425" t="s">
        <v>344</v>
      </c>
      <c r="B536" s="425" t="s">
        <v>344</v>
      </c>
    </row>
    <row r="537" spans="1:2" ht="15" hidden="1" x14ac:dyDescent="0.25">
      <c r="A537" s="425" t="s">
        <v>563</v>
      </c>
      <c r="B537" s="425" t="s">
        <v>563</v>
      </c>
    </row>
    <row r="538" spans="1:2" ht="15" hidden="1" x14ac:dyDescent="0.25">
      <c r="A538" s="425" t="s">
        <v>564</v>
      </c>
      <c r="B538" s="425" t="s">
        <v>564</v>
      </c>
    </row>
    <row r="539" spans="1:2" ht="15" hidden="1" x14ac:dyDescent="0.25">
      <c r="A539" s="425" t="s">
        <v>565</v>
      </c>
      <c r="B539" s="425" t="s">
        <v>565</v>
      </c>
    </row>
    <row r="540" spans="1:2" ht="15" hidden="1" x14ac:dyDescent="0.25">
      <c r="A540" s="425" t="s">
        <v>566</v>
      </c>
      <c r="B540" s="425" t="s">
        <v>566</v>
      </c>
    </row>
    <row r="541" spans="1:2" ht="15" hidden="1" x14ac:dyDescent="0.25">
      <c r="A541" s="425" t="s">
        <v>567</v>
      </c>
      <c r="B541" s="425" t="s">
        <v>567</v>
      </c>
    </row>
    <row r="542" spans="1:2" ht="15" hidden="1" x14ac:dyDescent="0.25">
      <c r="A542" s="425" t="s">
        <v>568</v>
      </c>
      <c r="B542" s="425" t="s">
        <v>568</v>
      </c>
    </row>
    <row r="543" spans="1:2" ht="15" hidden="1" x14ac:dyDescent="0.25">
      <c r="A543" s="425" t="s">
        <v>569</v>
      </c>
      <c r="B543" s="425" t="s">
        <v>569</v>
      </c>
    </row>
    <row r="544" spans="1:2" ht="15" hidden="1" x14ac:dyDescent="0.25">
      <c r="A544" s="425" t="s">
        <v>570</v>
      </c>
      <c r="B544" s="425" t="s">
        <v>570</v>
      </c>
    </row>
    <row r="545" spans="1:2" ht="15" hidden="1" x14ac:dyDescent="0.25">
      <c r="A545" s="425" t="s">
        <v>571</v>
      </c>
      <c r="B545" s="425" t="s">
        <v>571</v>
      </c>
    </row>
    <row r="546" spans="1:2" ht="15" hidden="1" x14ac:dyDescent="0.25">
      <c r="A546" s="425" t="s">
        <v>572</v>
      </c>
      <c r="B546" s="425" t="s">
        <v>572</v>
      </c>
    </row>
    <row r="547" spans="1:2" ht="15" hidden="1" x14ac:dyDescent="0.25">
      <c r="A547" s="425" t="s">
        <v>572</v>
      </c>
      <c r="B547" s="425" t="s">
        <v>572</v>
      </c>
    </row>
    <row r="548" spans="1:2" ht="15" hidden="1" x14ac:dyDescent="0.25">
      <c r="A548" s="425" t="s">
        <v>573</v>
      </c>
      <c r="B548" s="425" t="s">
        <v>573</v>
      </c>
    </row>
    <row r="549" spans="1:2" ht="15" hidden="1" x14ac:dyDescent="0.25">
      <c r="A549" s="425" t="s">
        <v>574</v>
      </c>
      <c r="B549" s="425" t="s">
        <v>574</v>
      </c>
    </row>
    <row r="550" spans="1:2" ht="15" hidden="1" x14ac:dyDescent="0.25">
      <c r="A550" s="425" t="s">
        <v>575</v>
      </c>
      <c r="B550" s="425" t="s">
        <v>575</v>
      </c>
    </row>
    <row r="551" spans="1:2" ht="15" hidden="1" x14ac:dyDescent="0.25">
      <c r="A551" s="425" t="s">
        <v>576</v>
      </c>
      <c r="B551" s="425" t="s">
        <v>576</v>
      </c>
    </row>
    <row r="552" spans="1:2" ht="15" hidden="1" x14ac:dyDescent="0.25">
      <c r="A552" s="425" t="s">
        <v>577</v>
      </c>
      <c r="B552" s="425" t="s">
        <v>577</v>
      </c>
    </row>
    <row r="553" spans="1:2" ht="15" hidden="1" x14ac:dyDescent="0.25">
      <c r="A553" s="425" t="s">
        <v>578</v>
      </c>
      <c r="B553" s="425" t="s">
        <v>578</v>
      </c>
    </row>
    <row r="554" spans="1:2" ht="15" hidden="1" x14ac:dyDescent="0.25">
      <c r="A554" s="425" t="s">
        <v>579</v>
      </c>
      <c r="B554" s="425" t="s">
        <v>579</v>
      </c>
    </row>
    <row r="555" spans="1:2" ht="15" hidden="1" x14ac:dyDescent="0.25">
      <c r="A555" s="425" t="s">
        <v>580</v>
      </c>
      <c r="B555" s="425" t="s">
        <v>580</v>
      </c>
    </row>
    <row r="556" spans="1:2" ht="15" hidden="1" x14ac:dyDescent="0.25">
      <c r="A556" s="425" t="s">
        <v>581</v>
      </c>
      <c r="B556" s="425" t="s">
        <v>581</v>
      </c>
    </row>
    <row r="557" spans="1:2" ht="15" hidden="1" x14ac:dyDescent="0.25">
      <c r="A557" s="425" t="s">
        <v>582</v>
      </c>
      <c r="B557" s="425" t="s">
        <v>582</v>
      </c>
    </row>
    <row r="558" spans="1:2" ht="15" hidden="1" x14ac:dyDescent="0.25">
      <c r="A558" s="425" t="s">
        <v>583</v>
      </c>
      <c r="B558" s="425" t="s">
        <v>583</v>
      </c>
    </row>
    <row r="559" spans="1:2" ht="15" hidden="1" x14ac:dyDescent="0.25">
      <c r="A559" s="425" t="s">
        <v>345</v>
      </c>
      <c r="B559" s="425" t="s">
        <v>345</v>
      </c>
    </row>
    <row r="560" spans="1:2" ht="15" hidden="1" x14ac:dyDescent="0.25">
      <c r="A560" s="425" t="s">
        <v>584</v>
      </c>
      <c r="B560" s="425" t="s">
        <v>584</v>
      </c>
    </row>
    <row r="561" spans="1:2" ht="15" hidden="1" x14ac:dyDescent="0.25">
      <c r="A561" s="425" t="s">
        <v>585</v>
      </c>
      <c r="B561" s="425" t="s">
        <v>585</v>
      </c>
    </row>
    <row r="562" spans="1:2" ht="15" hidden="1" x14ac:dyDescent="0.25">
      <c r="A562" s="425" t="s">
        <v>586</v>
      </c>
      <c r="B562" s="425" t="s">
        <v>586</v>
      </c>
    </row>
    <row r="563" spans="1:2" ht="15" hidden="1" x14ac:dyDescent="0.25">
      <c r="A563" s="425" t="s">
        <v>586</v>
      </c>
      <c r="B563" s="425" t="s">
        <v>586</v>
      </c>
    </row>
    <row r="564" spans="1:2" ht="15" hidden="1" x14ac:dyDescent="0.25">
      <c r="A564" s="425" t="s">
        <v>587</v>
      </c>
      <c r="B564" s="425" t="s">
        <v>587</v>
      </c>
    </row>
    <row r="565" spans="1:2" ht="15" hidden="1" x14ac:dyDescent="0.25">
      <c r="A565" s="425" t="s">
        <v>588</v>
      </c>
      <c r="B565" s="425" t="s">
        <v>588</v>
      </c>
    </row>
    <row r="566" spans="1:2" ht="15" hidden="1" x14ac:dyDescent="0.25">
      <c r="A566" s="425" t="s">
        <v>589</v>
      </c>
      <c r="B566" s="425" t="s">
        <v>590</v>
      </c>
    </row>
    <row r="567" spans="1:2" ht="15" hidden="1" x14ac:dyDescent="0.25">
      <c r="A567" s="425" t="s">
        <v>591</v>
      </c>
      <c r="B567" s="425" t="s">
        <v>592</v>
      </c>
    </row>
    <row r="568" spans="1:2" ht="15" hidden="1" x14ac:dyDescent="0.25">
      <c r="A568" s="425" t="s">
        <v>593</v>
      </c>
      <c r="B568" s="425" t="s">
        <v>594</v>
      </c>
    </row>
    <row r="569" spans="1:2" ht="15" hidden="1" x14ac:dyDescent="0.25">
      <c r="A569" s="425" t="s">
        <v>595</v>
      </c>
      <c r="B569" s="425" t="s">
        <v>596</v>
      </c>
    </row>
    <row r="570" spans="1:2" ht="15" hidden="1" x14ac:dyDescent="0.25">
      <c r="A570" s="425" t="s">
        <v>202</v>
      </c>
      <c r="B570" s="425" t="s">
        <v>350</v>
      </c>
    </row>
    <row r="571" spans="1:2" ht="15" hidden="1" x14ac:dyDescent="0.25">
      <c r="A571" s="425" t="s">
        <v>597</v>
      </c>
      <c r="B571" s="425" t="s">
        <v>598</v>
      </c>
    </row>
    <row r="572" spans="1:2" ht="15" hidden="1" x14ac:dyDescent="0.25">
      <c r="A572" s="425" t="s">
        <v>599</v>
      </c>
      <c r="B572" s="425" t="s">
        <v>600</v>
      </c>
    </row>
    <row r="573" spans="1:2" ht="15" hidden="1" x14ac:dyDescent="0.25">
      <c r="A573" s="425" t="s">
        <v>601</v>
      </c>
      <c r="B573" s="425" t="s">
        <v>602</v>
      </c>
    </row>
    <row r="574" spans="1:2" ht="15" hidden="1" x14ac:dyDescent="0.25">
      <c r="A574" s="425" t="s">
        <v>603</v>
      </c>
      <c r="B574" s="425" t="s">
        <v>604</v>
      </c>
    </row>
    <row r="575" spans="1:2" ht="15" hidden="1" x14ac:dyDescent="0.25">
      <c r="A575" s="425" t="s">
        <v>605</v>
      </c>
      <c r="B575" s="425" t="s">
        <v>606</v>
      </c>
    </row>
    <row r="576" spans="1:2" ht="15" hidden="1" x14ac:dyDescent="0.25">
      <c r="A576" s="425" t="s">
        <v>607</v>
      </c>
      <c r="B576" s="425" t="s">
        <v>608</v>
      </c>
    </row>
    <row r="577" spans="1:2" ht="15" hidden="1" x14ac:dyDescent="0.25">
      <c r="A577" s="425" t="s">
        <v>609</v>
      </c>
      <c r="B577" s="425" t="s">
        <v>610</v>
      </c>
    </row>
    <row r="578" spans="1:2" ht="15" hidden="1" x14ac:dyDescent="0.25">
      <c r="A578" s="425" t="s">
        <v>611</v>
      </c>
      <c r="B578" s="425" t="s">
        <v>612</v>
      </c>
    </row>
    <row r="579" spans="1:2" ht="15" hidden="1" x14ac:dyDescent="0.25">
      <c r="A579" s="425" t="s">
        <v>611</v>
      </c>
      <c r="B579" s="425" t="s">
        <v>612</v>
      </c>
    </row>
    <row r="580" spans="1:2" ht="15" hidden="1" x14ac:dyDescent="0.25">
      <c r="A580" s="425" t="s">
        <v>613</v>
      </c>
      <c r="B580" s="425" t="s">
        <v>614</v>
      </c>
    </row>
    <row r="581" spans="1:2" ht="15" hidden="1" x14ac:dyDescent="0.25">
      <c r="A581" s="425" t="s">
        <v>615</v>
      </c>
      <c r="B581" s="425" t="s">
        <v>616</v>
      </c>
    </row>
    <row r="582" spans="1:2" ht="15" hidden="1" x14ac:dyDescent="0.25">
      <c r="A582" s="425" t="s">
        <v>617</v>
      </c>
      <c r="B582" s="425" t="s">
        <v>618</v>
      </c>
    </row>
    <row r="583" spans="1:2" ht="15" hidden="1" x14ac:dyDescent="0.25">
      <c r="A583" s="425" t="s">
        <v>619</v>
      </c>
      <c r="B583" s="425" t="s">
        <v>620</v>
      </c>
    </row>
    <row r="584" spans="1:2" ht="15" hidden="1" x14ac:dyDescent="0.25">
      <c r="A584" s="425" t="s">
        <v>621</v>
      </c>
      <c r="B584" s="425" t="s">
        <v>622</v>
      </c>
    </row>
    <row r="585" spans="1:2" ht="15" hidden="1" x14ac:dyDescent="0.25">
      <c r="A585" s="425" t="s">
        <v>621</v>
      </c>
      <c r="B585" s="425" t="s">
        <v>622</v>
      </c>
    </row>
    <row r="586" spans="1:2" ht="15" hidden="1" x14ac:dyDescent="0.25">
      <c r="A586" s="425" t="s">
        <v>623</v>
      </c>
      <c r="B586" s="425" t="s">
        <v>624</v>
      </c>
    </row>
    <row r="587" spans="1:2" ht="15" hidden="1" x14ac:dyDescent="0.25">
      <c r="A587" s="425" t="s">
        <v>625</v>
      </c>
      <c r="B587" s="425" t="s">
        <v>626</v>
      </c>
    </row>
    <row r="588" spans="1:2" ht="15" hidden="1" x14ac:dyDescent="0.25">
      <c r="A588" s="425" t="s">
        <v>627</v>
      </c>
      <c r="B588" s="425" t="s">
        <v>628</v>
      </c>
    </row>
    <row r="589" spans="1:2" ht="15" hidden="1" x14ac:dyDescent="0.25">
      <c r="A589" s="425" t="s">
        <v>627</v>
      </c>
      <c r="B589" s="425" t="s">
        <v>628</v>
      </c>
    </row>
    <row r="590" spans="1:2" ht="15" hidden="1" x14ac:dyDescent="0.25">
      <c r="A590" s="425" t="s">
        <v>629</v>
      </c>
      <c r="B590" s="425" t="s">
        <v>630</v>
      </c>
    </row>
    <row r="591" spans="1:2" ht="15" hidden="1" x14ac:dyDescent="0.25">
      <c r="A591" s="425" t="s">
        <v>629</v>
      </c>
      <c r="B591" s="425" t="s">
        <v>630</v>
      </c>
    </row>
    <row r="592" spans="1:2" ht="15" hidden="1" x14ac:dyDescent="0.25">
      <c r="A592" s="425" t="s">
        <v>631</v>
      </c>
      <c r="B592" s="425" t="s">
        <v>632</v>
      </c>
    </row>
    <row r="593" spans="1:2" ht="15" hidden="1" x14ac:dyDescent="0.25">
      <c r="A593" s="425" t="s">
        <v>633</v>
      </c>
      <c r="B593" s="425" t="s">
        <v>634</v>
      </c>
    </row>
    <row r="594" spans="1:2" ht="15" hidden="1" x14ac:dyDescent="0.25">
      <c r="A594" s="425" t="s">
        <v>635</v>
      </c>
      <c r="B594" s="425" t="s">
        <v>636</v>
      </c>
    </row>
    <row r="595" spans="1:2" ht="15" hidden="1" x14ac:dyDescent="0.25">
      <c r="A595" s="425" t="s">
        <v>635</v>
      </c>
      <c r="B595" s="425" t="s">
        <v>636</v>
      </c>
    </row>
    <row r="596" spans="1:2" ht="15" hidden="1" x14ac:dyDescent="0.25">
      <c r="A596" s="425" t="s">
        <v>637</v>
      </c>
      <c r="B596" s="425" t="s">
        <v>638</v>
      </c>
    </row>
    <row r="597" spans="1:2" ht="15" hidden="1" x14ac:dyDescent="0.25">
      <c r="A597" s="425" t="s">
        <v>639</v>
      </c>
      <c r="B597" s="425" t="s">
        <v>640</v>
      </c>
    </row>
    <row r="598" spans="1:2" ht="15" hidden="1" x14ac:dyDescent="0.25">
      <c r="A598" s="425" t="s">
        <v>641</v>
      </c>
      <c r="B598" s="425" t="s">
        <v>642</v>
      </c>
    </row>
    <row r="599" spans="1:2" ht="15" hidden="1" x14ac:dyDescent="0.25">
      <c r="A599" s="425" t="s">
        <v>641</v>
      </c>
      <c r="B599" s="425" t="s">
        <v>642</v>
      </c>
    </row>
    <row r="600" spans="1:2" ht="15" hidden="1" x14ac:dyDescent="0.25">
      <c r="A600" s="425" t="s">
        <v>643</v>
      </c>
      <c r="B600" s="425" t="s">
        <v>644</v>
      </c>
    </row>
    <row r="601" spans="1:2" ht="15" hidden="1" x14ac:dyDescent="0.25">
      <c r="A601" s="425" t="s">
        <v>643</v>
      </c>
      <c r="B601" s="425" t="s">
        <v>644</v>
      </c>
    </row>
    <row r="602" spans="1:2" ht="15" hidden="1" x14ac:dyDescent="0.25">
      <c r="A602" s="425" t="s">
        <v>645</v>
      </c>
      <c r="B602" s="425" t="s">
        <v>646</v>
      </c>
    </row>
    <row r="603" spans="1:2" ht="15" hidden="1" x14ac:dyDescent="0.25">
      <c r="A603" s="425" t="s">
        <v>647</v>
      </c>
      <c r="B603" s="425" t="s">
        <v>648</v>
      </c>
    </row>
    <row r="604" spans="1:2" ht="15" hidden="1" x14ac:dyDescent="0.25">
      <c r="A604" s="425" t="s">
        <v>649</v>
      </c>
      <c r="B604" s="425" t="s">
        <v>650</v>
      </c>
    </row>
    <row r="605" spans="1:2" ht="15" hidden="1" x14ac:dyDescent="0.25">
      <c r="A605" s="425" t="s">
        <v>651</v>
      </c>
      <c r="B605" s="425" t="s">
        <v>652</v>
      </c>
    </row>
    <row r="606" spans="1:2" ht="15" hidden="1" x14ac:dyDescent="0.25">
      <c r="A606" s="425" t="s">
        <v>189</v>
      </c>
      <c r="B606" s="425" t="s">
        <v>358</v>
      </c>
    </row>
    <row r="607" spans="1:2" ht="15" hidden="1" x14ac:dyDescent="0.25">
      <c r="A607" s="425" t="s">
        <v>653</v>
      </c>
      <c r="B607" s="425" t="s">
        <v>654</v>
      </c>
    </row>
    <row r="608" spans="1:2" ht="15" hidden="1" x14ac:dyDescent="0.25">
      <c r="A608" s="425" t="s">
        <v>655</v>
      </c>
      <c r="B608" s="425" t="s">
        <v>656</v>
      </c>
    </row>
    <row r="609" spans="1:2" ht="15" hidden="1" x14ac:dyDescent="0.25">
      <c r="A609" s="425" t="s">
        <v>657</v>
      </c>
      <c r="B609" s="425" t="s">
        <v>658</v>
      </c>
    </row>
    <row r="610" spans="1:2" ht="15" hidden="1" x14ac:dyDescent="0.25">
      <c r="A610" s="425" t="s">
        <v>659</v>
      </c>
      <c r="B610" s="425" t="s">
        <v>660</v>
      </c>
    </row>
    <row r="611" spans="1:2" ht="15" hidden="1" x14ac:dyDescent="0.25">
      <c r="A611" s="425" t="s">
        <v>661</v>
      </c>
      <c r="B611" s="425" t="s">
        <v>662</v>
      </c>
    </row>
    <row r="612" spans="1:2" ht="15" hidden="1" x14ac:dyDescent="0.25">
      <c r="A612" s="425" t="s">
        <v>663</v>
      </c>
      <c r="B612" s="425" t="s">
        <v>664</v>
      </c>
    </row>
    <row r="613" spans="1:2" ht="15" hidden="1" x14ac:dyDescent="0.25">
      <c r="A613" s="425" t="s">
        <v>663</v>
      </c>
      <c r="B613" s="425" t="s">
        <v>664</v>
      </c>
    </row>
    <row r="614" spans="1:2" ht="15" hidden="1" x14ac:dyDescent="0.25">
      <c r="A614" s="425" t="s">
        <v>665</v>
      </c>
      <c r="B614" s="425" t="s">
        <v>666</v>
      </c>
    </row>
    <row r="615" spans="1:2" ht="15" hidden="1" x14ac:dyDescent="0.25">
      <c r="A615" s="425" t="s">
        <v>665</v>
      </c>
      <c r="B615" s="425" t="s">
        <v>666</v>
      </c>
    </row>
    <row r="616" spans="1:2" ht="15" hidden="1" x14ac:dyDescent="0.25">
      <c r="A616" s="425" t="s">
        <v>667</v>
      </c>
      <c r="B616" s="425" t="s">
        <v>668</v>
      </c>
    </row>
    <row r="617" spans="1:2" ht="15" hidden="1" x14ac:dyDescent="0.25">
      <c r="A617" s="425" t="s">
        <v>667</v>
      </c>
      <c r="B617" s="425" t="s">
        <v>668</v>
      </c>
    </row>
    <row r="618" spans="1:2" ht="15" hidden="1" x14ac:dyDescent="0.25">
      <c r="A618" s="425" t="s">
        <v>667</v>
      </c>
      <c r="B618" s="425" t="s">
        <v>668</v>
      </c>
    </row>
    <row r="619" spans="1:2" ht="15" hidden="1" x14ac:dyDescent="0.25">
      <c r="A619" s="425" t="s">
        <v>667</v>
      </c>
      <c r="B619" s="425" t="s">
        <v>668</v>
      </c>
    </row>
    <row r="620" spans="1:2" ht="15" hidden="1" x14ac:dyDescent="0.25">
      <c r="A620" s="425" t="s">
        <v>667</v>
      </c>
      <c r="B620" s="425" t="s">
        <v>668</v>
      </c>
    </row>
    <row r="621" spans="1:2" ht="15" hidden="1" x14ac:dyDescent="0.25">
      <c r="A621" s="425" t="s">
        <v>667</v>
      </c>
      <c r="B621" s="425" t="s">
        <v>668</v>
      </c>
    </row>
    <row r="622" spans="1:2" ht="15" hidden="1" x14ac:dyDescent="0.25">
      <c r="A622" s="425" t="s">
        <v>667</v>
      </c>
      <c r="B622" s="425" t="s">
        <v>668</v>
      </c>
    </row>
    <row r="623" spans="1:2" ht="15" hidden="1" x14ac:dyDescent="0.25">
      <c r="A623" s="425" t="s">
        <v>667</v>
      </c>
      <c r="B623" s="425" t="s">
        <v>668</v>
      </c>
    </row>
    <row r="624" spans="1:2" ht="15" hidden="1" x14ac:dyDescent="0.25">
      <c r="A624" s="425" t="s">
        <v>669</v>
      </c>
      <c r="B624" s="425" t="s">
        <v>670</v>
      </c>
    </row>
    <row r="625" spans="1:2" ht="15" hidden="1" x14ac:dyDescent="0.25">
      <c r="A625" s="425" t="s">
        <v>669</v>
      </c>
      <c r="B625" s="425" t="s">
        <v>670</v>
      </c>
    </row>
    <row r="626" spans="1:2" ht="15" hidden="1" x14ac:dyDescent="0.25">
      <c r="A626" s="425" t="s">
        <v>219</v>
      </c>
      <c r="B626" s="425" t="s">
        <v>364</v>
      </c>
    </row>
    <row r="627" spans="1:2" ht="15" hidden="1" x14ac:dyDescent="0.25">
      <c r="A627" s="425" t="s">
        <v>219</v>
      </c>
      <c r="B627" s="425" t="s">
        <v>364</v>
      </c>
    </row>
    <row r="628" spans="1:2" ht="15" hidden="1" x14ac:dyDescent="0.25">
      <c r="A628" s="425" t="s">
        <v>671</v>
      </c>
      <c r="B628" s="425" t="s">
        <v>672</v>
      </c>
    </row>
    <row r="629" spans="1:2" ht="15" hidden="1" x14ac:dyDescent="0.25">
      <c r="A629" s="425" t="s">
        <v>673</v>
      </c>
      <c r="B629" s="425" t="s">
        <v>674</v>
      </c>
    </row>
    <row r="630" spans="1:2" ht="15" hidden="1" x14ac:dyDescent="0.25">
      <c r="A630" s="425" t="s">
        <v>675</v>
      </c>
      <c r="B630" s="425" t="s">
        <v>676</v>
      </c>
    </row>
    <row r="631" spans="1:2" ht="15" hidden="1" x14ac:dyDescent="0.25">
      <c r="A631" s="425" t="s">
        <v>677</v>
      </c>
      <c r="B631" s="425" t="s">
        <v>678</v>
      </c>
    </row>
    <row r="632" spans="1:2" ht="15" hidden="1" x14ac:dyDescent="0.25">
      <c r="A632" s="425" t="s">
        <v>677</v>
      </c>
      <c r="B632" s="425" t="s">
        <v>678</v>
      </c>
    </row>
    <row r="633" spans="1:2" ht="15" hidden="1" x14ac:dyDescent="0.25">
      <c r="A633" s="425" t="s">
        <v>677</v>
      </c>
      <c r="B633" s="425" t="s">
        <v>678</v>
      </c>
    </row>
    <row r="634" spans="1:2" ht="15" hidden="1" x14ac:dyDescent="0.25">
      <c r="A634" s="425" t="s">
        <v>679</v>
      </c>
      <c r="B634" s="425" t="s">
        <v>680</v>
      </c>
    </row>
    <row r="635" spans="1:2" ht="15" hidden="1" x14ac:dyDescent="0.25">
      <c r="A635" s="425" t="s">
        <v>679</v>
      </c>
      <c r="B635" s="425" t="s">
        <v>680</v>
      </c>
    </row>
    <row r="636" spans="1:2" ht="15" hidden="1" x14ac:dyDescent="0.25">
      <c r="A636" s="425" t="s">
        <v>681</v>
      </c>
      <c r="B636" s="425" t="s">
        <v>682</v>
      </c>
    </row>
    <row r="637" spans="1:2" ht="15" hidden="1" x14ac:dyDescent="0.25">
      <c r="A637" s="425" t="s">
        <v>681</v>
      </c>
      <c r="B637" s="425" t="s">
        <v>682</v>
      </c>
    </row>
    <row r="638" spans="1:2" ht="15" hidden="1" x14ac:dyDescent="0.25">
      <c r="A638" s="425" t="s">
        <v>683</v>
      </c>
      <c r="B638" s="425" t="s">
        <v>684</v>
      </c>
    </row>
    <row r="639" spans="1:2" ht="15" hidden="1" x14ac:dyDescent="0.25">
      <c r="A639" s="425" t="s">
        <v>683</v>
      </c>
      <c r="B639" s="425" t="s">
        <v>684</v>
      </c>
    </row>
    <row r="640" spans="1:2" ht="15" hidden="1" x14ac:dyDescent="0.25">
      <c r="A640" s="425" t="s">
        <v>685</v>
      </c>
      <c r="B640" s="425" t="s">
        <v>686</v>
      </c>
    </row>
    <row r="641" spans="1:2" ht="15" hidden="1" x14ac:dyDescent="0.25">
      <c r="A641" s="425" t="s">
        <v>685</v>
      </c>
      <c r="B641" s="425" t="s">
        <v>686</v>
      </c>
    </row>
    <row r="642" spans="1:2" ht="15" hidden="1" x14ac:dyDescent="0.25">
      <c r="A642" s="425" t="s">
        <v>687</v>
      </c>
      <c r="B642" s="425" t="s">
        <v>688</v>
      </c>
    </row>
    <row r="643" spans="1:2" ht="15" hidden="1" x14ac:dyDescent="0.25">
      <c r="A643" s="427" t="s">
        <v>689</v>
      </c>
      <c r="B643" s="427" t="s">
        <v>690</v>
      </c>
    </row>
    <row r="644" spans="1:2" ht="15" hidden="1" x14ac:dyDescent="0.25">
      <c r="A644" s="425" t="s">
        <v>691</v>
      </c>
      <c r="B644" s="425" t="s">
        <v>692</v>
      </c>
    </row>
    <row r="645" spans="1:2" ht="15" hidden="1" x14ac:dyDescent="0.25">
      <c r="A645" s="425" t="s">
        <v>693</v>
      </c>
      <c r="B645" s="425" t="s">
        <v>694</v>
      </c>
    </row>
    <row r="646" spans="1:2" ht="15" hidden="1" x14ac:dyDescent="0.25">
      <c r="A646" s="425" t="s">
        <v>693</v>
      </c>
      <c r="B646" s="425" t="s">
        <v>694</v>
      </c>
    </row>
    <row r="647" spans="1:2" ht="15" hidden="1" x14ac:dyDescent="0.25">
      <c r="A647" s="425" t="s">
        <v>695</v>
      </c>
      <c r="B647" s="425" t="s">
        <v>696</v>
      </c>
    </row>
    <row r="648" spans="1:2" ht="15" hidden="1" x14ac:dyDescent="0.25">
      <c r="A648" s="425" t="s">
        <v>695</v>
      </c>
      <c r="B648" s="425" t="s">
        <v>696</v>
      </c>
    </row>
    <row r="649" spans="1:2" ht="15" hidden="1" x14ac:dyDescent="0.25">
      <c r="A649" s="425" t="s">
        <v>697</v>
      </c>
      <c r="B649" s="425" t="s">
        <v>698</v>
      </c>
    </row>
    <row r="650" spans="1:2" ht="15" hidden="1" x14ac:dyDescent="0.25">
      <c r="A650" s="425" t="s">
        <v>190</v>
      </c>
      <c r="B650" s="425" t="s">
        <v>368</v>
      </c>
    </row>
    <row r="651" spans="1:2" ht="15" hidden="1" x14ac:dyDescent="0.25">
      <c r="A651" s="426" t="s">
        <v>699</v>
      </c>
      <c r="B651" s="425" t="s">
        <v>700</v>
      </c>
    </row>
    <row r="652" spans="1:2" ht="15" hidden="1" x14ac:dyDescent="0.25">
      <c r="A652" s="425" t="s">
        <v>701</v>
      </c>
      <c r="B652" s="425" t="s">
        <v>702</v>
      </c>
    </row>
    <row r="653" spans="1:2" ht="15" hidden="1" x14ac:dyDescent="0.25">
      <c r="A653" s="425" t="s">
        <v>703</v>
      </c>
      <c r="B653" s="425" t="s">
        <v>704</v>
      </c>
    </row>
    <row r="654" spans="1:2" ht="15" hidden="1" x14ac:dyDescent="0.25">
      <c r="A654" s="425" t="s">
        <v>703</v>
      </c>
      <c r="B654" s="425" t="s">
        <v>704</v>
      </c>
    </row>
    <row r="655" spans="1:2" ht="15" hidden="1" x14ac:dyDescent="0.25">
      <c r="A655" s="425" t="s">
        <v>705</v>
      </c>
      <c r="B655" s="425" t="s">
        <v>706</v>
      </c>
    </row>
    <row r="656" spans="1:2" ht="15" hidden="1" x14ac:dyDescent="0.25">
      <c r="A656" s="425" t="s">
        <v>707</v>
      </c>
      <c r="B656" s="425" t="s">
        <v>708</v>
      </c>
    </row>
    <row r="657" spans="1:2" ht="15" hidden="1" x14ac:dyDescent="0.25">
      <c r="A657" s="425" t="s">
        <v>709</v>
      </c>
      <c r="B657" s="425" t="s">
        <v>710</v>
      </c>
    </row>
    <row r="658" spans="1:2" ht="15" hidden="1" x14ac:dyDescent="0.25">
      <c r="A658" s="425" t="s">
        <v>709</v>
      </c>
      <c r="B658" s="425" t="s">
        <v>710</v>
      </c>
    </row>
    <row r="659" spans="1:2" ht="15" hidden="1" x14ac:dyDescent="0.25">
      <c r="A659" s="425" t="s">
        <v>709</v>
      </c>
      <c r="B659" s="425" t="s">
        <v>710</v>
      </c>
    </row>
    <row r="660" spans="1:2" ht="15" hidden="1" x14ac:dyDescent="0.25">
      <c r="A660" s="425" t="s">
        <v>711</v>
      </c>
      <c r="B660" s="425" t="s">
        <v>712</v>
      </c>
    </row>
    <row r="661" spans="1:2" ht="15" hidden="1" x14ac:dyDescent="0.25">
      <c r="A661" s="425" t="s">
        <v>713</v>
      </c>
      <c r="B661" s="425" t="s">
        <v>714</v>
      </c>
    </row>
    <row r="662" spans="1:2" ht="15" hidden="1" x14ac:dyDescent="0.25">
      <c r="A662" s="425" t="s">
        <v>713</v>
      </c>
      <c r="B662" s="425" t="s">
        <v>714</v>
      </c>
    </row>
    <row r="663" spans="1:2" ht="15" hidden="1" x14ac:dyDescent="0.25">
      <c r="A663" s="425" t="s">
        <v>713</v>
      </c>
      <c r="B663" s="425" t="s">
        <v>714</v>
      </c>
    </row>
    <row r="664" spans="1:2" ht="15" hidden="1" x14ac:dyDescent="0.25">
      <c r="A664" s="425" t="s">
        <v>715</v>
      </c>
      <c r="B664" s="425" t="s">
        <v>716</v>
      </c>
    </row>
    <row r="665" spans="1:2" ht="15" hidden="1" x14ac:dyDescent="0.25">
      <c r="A665" s="425" t="s">
        <v>715</v>
      </c>
      <c r="B665" s="425" t="s">
        <v>716</v>
      </c>
    </row>
    <row r="666" spans="1:2" ht="15" hidden="1" x14ac:dyDescent="0.25">
      <c r="A666" s="425" t="s">
        <v>717</v>
      </c>
      <c r="B666" s="425" t="s">
        <v>718</v>
      </c>
    </row>
    <row r="667" spans="1:2" ht="15" hidden="1" x14ac:dyDescent="0.25">
      <c r="A667" s="425" t="s">
        <v>717</v>
      </c>
      <c r="B667" s="425" t="s">
        <v>718</v>
      </c>
    </row>
    <row r="668" spans="1:2" ht="15" hidden="1" x14ac:dyDescent="0.25">
      <c r="A668" s="425" t="s">
        <v>717</v>
      </c>
      <c r="B668" s="425" t="s">
        <v>718</v>
      </c>
    </row>
    <row r="669" spans="1:2" ht="15" hidden="1" x14ac:dyDescent="0.25">
      <c r="A669" s="426" t="s">
        <v>719</v>
      </c>
      <c r="B669" s="425" t="s">
        <v>720</v>
      </c>
    </row>
    <row r="670" spans="1:2" ht="15" hidden="1" x14ac:dyDescent="0.25">
      <c r="A670" s="425" t="s">
        <v>721</v>
      </c>
      <c r="B670" s="425" t="s">
        <v>722</v>
      </c>
    </row>
    <row r="671" spans="1:2" ht="15" hidden="1" x14ac:dyDescent="0.25">
      <c r="A671" s="425" t="s">
        <v>721</v>
      </c>
      <c r="B671" s="425" t="s">
        <v>722</v>
      </c>
    </row>
    <row r="672" spans="1:2" ht="15" hidden="1" x14ac:dyDescent="0.25">
      <c r="A672" s="425" t="s">
        <v>191</v>
      </c>
      <c r="B672" s="425" t="s">
        <v>377</v>
      </c>
    </row>
    <row r="673" spans="1:2" ht="15" hidden="1" x14ac:dyDescent="0.25">
      <c r="A673" s="425" t="s">
        <v>723</v>
      </c>
      <c r="B673" s="425" t="s">
        <v>724</v>
      </c>
    </row>
    <row r="674" spans="1:2" ht="15" hidden="1" x14ac:dyDescent="0.25">
      <c r="A674" s="425" t="s">
        <v>723</v>
      </c>
      <c r="B674" s="425" t="s">
        <v>724</v>
      </c>
    </row>
    <row r="675" spans="1:2" ht="15" hidden="1" x14ac:dyDescent="0.25">
      <c r="A675" s="425" t="s">
        <v>723</v>
      </c>
      <c r="B675" s="425" t="s">
        <v>724</v>
      </c>
    </row>
    <row r="676" spans="1:2" ht="15" hidden="1" x14ac:dyDescent="0.25">
      <c r="A676" s="425" t="s">
        <v>725</v>
      </c>
      <c r="B676" s="425" t="s">
        <v>726</v>
      </c>
    </row>
    <row r="677" spans="1:2" ht="15" hidden="1" x14ac:dyDescent="0.25">
      <c r="A677" s="425" t="s">
        <v>727</v>
      </c>
      <c r="B677" s="425" t="s">
        <v>728</v>
      </c>
    </row>
    <row r="678" spans="1:2" ht="15" hidden="1" x14ac:dyDescent="0.25">
      <c r="A678" s="425" t="s">
        <v>729</v>
      </c>
      <c r="B678" s="425" t="s">
        <v>730</v>
      </c>
    </row>
    <row r="679" spans="1:2" ht="15" hidden="1" x14ac:dyDescent="0.25">
      <c r="A679" s="425" t="s">
        <v>729</v>
      </c>
      <c r="B679" s="425" t="s">
        <v>730</v>
      </c>
    </row>
    <row r="680" spans="1:2" ht="15" hidden="1" x14ac:dyDescent="0.25">
      <c r="A680" s="425" t="s">
        <v>729</v>
      </c>
      <c r="B680" s="425" t="s">
        <v>730</v>
      </c>
    </row>
    <row r="681" spans="1:2" ht="15" hidden="1" x14ac:dyDescent="0.25">
      <c r="A681" s="425" t="s">
        <v>731</v>
      </c>
      <c r="B681" s="425" t="s">
        <v>732</v>
      </c>
    </row>
    <row r="682" spans="1:2" ht="15" hidden="1" x14ac:dyDescent="0.25">
      <c r="A682" s="425" t="s">
        <v>733</v>
      </c>
      <c r="B682" s="425" t="s">
        <v>734</v>
      </c>
    </row>
    <row r="683" spans="1:2" ht="15" hidden="1" x14ac:dyDescent="0.25">
      <c r="A683" s="425" t="s">
        <v>735</v>
      </c>
      <c r="B683" s="425" t="s">
        <v>736</v>
      </c>
    </row>
    <row r="684" spans="1:2" ht="15" hidden="1" x14ac:dyDescent="0.25">
      <c r="A684" s="425" t="s">
        <v>737</v>
      </c>
      <c r="B684" s="425" t="s">
        <v>738</v>
      </c>
    </row>
    <row r="685" spans="1:2" ht="15" hidden="1" x14ac:dyDescent="0.25">
      <c r="A685" s="425" t="s">
        <v>739</v>
      </c>
      <c r="B685" s="425" t="s">
        <v>740</v>
      </c>
    </row>
    <row r="686" spans="1:2" ht="15" hidden="1" x14ac:dyDescent="0.25">
      <c r="A686" s="425" t="s">
        <v>741</v>
      </c>
      <c r="B686" s="425" t="s">
        <v>742</v>
      </c>
    </row>
    <row r="687" spans="1:2" ht="15" hidden="1" x14ac:dyDescent="0.25">
      <c r="A687" s="425" t="s">
        <v>743</v>
      </c>
      <c r="B687" s="425" t="s">
        <v>744</v>
      </c>
    </row>
    <row r="688" spans="1:2" ht="15" hidden="1" x14ac:dyDescent="0.25">
      <c r="A688" s="425" t="s">
        <v>745</v>
      </c>
      <c r="B688" s="425" t="s">
        <v>746</v>
      </c>
    </row>
    <row r="689" spans="1:2" ht="15" hidden="1" x14ac:dyDescent="0.25">
      <c r="A689" s="425" t="s">
        <v>747</v>
      </c>
      <c r="B689" s="425" t="s">
        <v>748</v>
      </c>
    </row>
    <row r="690" spans="1:2" ht="15" hidden="1" x14ac:dyDescent="0.25">
      <c r="A690" s="425" t="s">
        <v>749</v>
      </c>
      <c r="B690" s="425" t="s">
        <v>750</v>
      </c>
    </row>
    <row r="691" spans="1:2" ht="15" hidden="1" x14ac:dyDescent="0.25">
      <c r="A691" s="425" t="s">
        <v>751</v>
      </c>
      <c r="B691" s="425" t="s">
        <v>752</v>
      </c>
    </row>
    <row r="692" spans="1:2" ht="15" hidden="1" x14ac:dyDescent="0.25">
      <c r="A692" s="425" t="s">
        <v>751</v>
      </c>
      <c r="B692" s="425" t="s">
        <v>752</v>
      </c>
    </row>
    <row r="693" spans="1:2" ht="15" hidden="1" x14ac:dyDescent="0.25">
      <c r="A693" s="425" t="s">
        <v>753</v>
      </c>
      <c r="B693" s="425" t="s">
        <v>754</v>
      </c>
    </row>
    <row r="694" spans="1:2" ht="15" hidden="1" x14ac:dyDescent="0.25">
      <c r="A694" s="425" t="s">
        <v>755</v>
      </c>
      <c r="B694" s="425" t="s">
        <v>756</v>
      </c>
    </row>
    <row r="695" spans="1:2" ht="15" hidden="1" x14ac:dyDescent="0.25">
      <c r="A695" s="425" t="s">
        <v>755</v>
      </c>
      <c r="B695" s="425" t="s">
        <v>756</v>
      </c>
    </row>
    <row r="696" spans="1:2" ht="15" hidden="1" x14ac:dyDescent="0.25">
      <c r="A696" s="425" t="s">
        <v>755</v>
      </c>
      <c r="B696" s="425" t="s">
        <v>756</v>
      </c>
    </row>
    <row r="697" spans="1:2" ht="15" hidden="1" x14ac:dyDescent="0.25">
      <c r="A697" s="425" t="s">
        <v>757</v>
      </c>
      <c r="B697" s="425" t="s">
        <v>758</v>
      </c>
    </row>
    <row r="698" spans="1:2" ht="15" hidden="1" x14ac:dyDescent="0.25">
      <c r="A698" s="425" t="s">
        <v>759</v>
      </c>
      <c r="B698" s="425" t="s">
        <v>760</v>
      </c>
    </row>
    <row r="699" spans="1:2" ht="15" hidden="1" x14ac:dyDescent="0.25">
      <c r="A699" s="426" t="s">
        <v>761</v>
      </c>
      <c r="B699" s="425" t="s">
        <v>762</v>
      </c>
    </row>
    <row r="700" spans="1:2" ht="15" hidden="1" x14ac:dyDescent="0.25">
      <c r="A700" s="426" t="s">
        <v>763</v>
      </c>
      <c r="B700" s="425" t="s">
        <v>764</v>
      </c>
    </row>
    <row r="701" spans="1:2" ht="15" hidden="1" x14ac:dyDescent="0.25">
      <c r="A701" s="425" t="s">
        <v>765</v>
      </c>
      <c r="B701" s="425" t="s">
        <v>766</v>
      </c>
    </row>
    <row r="702" spans="1:2" ht="15" hidden="1" x14ac:dyDescent="0.25">
      <c r="A702" s="426" t="s">
        <v>767</v>
      </c>
      <c r="B702" s="426" t="s">
        <v>768</v>
      </c>
    </row>
    <row r="703" spans="1:2" ht="15" hidden="1" x14ac:dyDescent="0.25">
      <c r="A703" s="425" t="s">
        <v>769</v>
      </c>
      <c r="B703" s="425" t="s">
        <v>770</v>
      </c>
    </row>
    <row r="704" spans="1:2" ht="15" hidden="1" x14ac:dyDescent="0.25">
      <c r="A704" s="425" t="s">
        <v>771</v>
      </c>
      <c r="B704" s="425" t="s">
        <v>772</v>
      </c>
    </row>
    <row r="705" spans="1:2" ht="15" hidden="1" x14ac:dyDescent="0.25">
      <c r="A705" s="425" t="s">
        <v>773</v>
      </c>
      <c r="B705" s="425" t="s">
        <v>774</v>
      </c>
    </row>
    <row r="706" spans="1:2" ht="15" hidden="1" x14ac:dyDescent="0.25">
      <c r="A706" s="425" t="s">
        <v>773</v>
      </c>
      <c r="B706" s="425" t="s">
        <v>774</v>
      </c>
    </row>
    <row r="707" spans="1:2" ht="15" hidden="1" x14ac:dyDescent="0.25">
      <c r="A707" s="425" t="s">
        <v>773</v>
      </c>
      <c r="B707" s="425" t="s">
        <v>774</v>
      </c>
    </row>
    <row r="708" spans="1:2" ht="15" hidden="1" x14ac:dyDescent="0.25">
      <c r="A708" s="426" t="s">
        <v>773</v>
      </c>
      <c r="B708" s="425" t="s">
        <v>774</v>
      </c>
    </row>
    <row r="709" spans="1:2" ht="15" hidden="1" x14ac:dyDescent="0.25">
      <c r="A709" s="425" t="s">
        <v>773</v>
      </c>
      <c r="B709" s="425" t="s">
        <v>774</v>
      </c>
    </row>
    <row r="710" spans="1:2" ht="15" hidden="1" x14ac:dyDescent="0.25">
      <c r="A710" s="425" t="s">
        <v>775</v>
      </c>
      <c r="B710" s="425" t="s">
        <v>776</v>
      </c>
    </row>
    <row r="711" spans="1:2" ht="15" hidden="1" x14ac:dyDescent="0.25">
      <c r="A711" s="425" t="s">
        <v>775</v>
      </c>
      <c r="B711" s="425" t="s">
        <v>776</v>
      </c>
    </row>
    <row r="712" spans="1:2" ht="15" hidden="1" x14ac:dyDescent="0.25">
      <c r="A712" s="425" t="s">
        <v>775</v>
      </c>
      <c r="B712" s="425" t="s">
        <v>776</v>
      </c>
    </row>
    <row r="713" spans="1:2" ht="15" hidden="1" x14ac:dyDescent="0.25">
      <c r="A713" s="425" t="s">
        <v>775</v>
      </c>
      <c r="B713" s="425" t="s">
        <v>776</v>
      </c>
    </row>
    <row r="714" spans="1:2" ht="15" hidden="1" x14ac:dyDescent="0.25">
      <c r="A714" s="425" t="s">
        <v>775</v>
      </c>
      <c r="B714" s="425" t="s">
        <v>776</v>
      </c>
    </row>
    <row r="715" spans="1:2" ht="15" hidden="1" x14ac:dyDescent="0.25">
      <c r="A715" s="425" t="s">
        <v>775</v>
      </c>
      <c r="B715" s="425" t="s">
        <v>776</v>
      </c>
    </row>
    <row r="716" spans="1:2" ht="15" hidden="1" x14ac:dyDescent="0.25">
      <c r="A716" s="425" t="s">
        <v>775</v>
      </c>
      <c r="B716" s="425" t="s">
        <v>776</v>
      </c>
    </row>
    <row r="717" spans="1:2" ht="15" hidden="1" x14ac:dyDescent="0.25">
      <c r="A717" s="425" t="s">
        <v>775</v>
      </c>
      <c r="B717" s="425" t="s">
        <v>776</v>
      </c>
    </row>
    <row r="718" spans="1:2" ht="15" hidden="1" x14ac:dyDescent="0.25">
      <c r="A718" s="425" t="s">
        <v>775</v>
      </c>
      <c r="B718" s="425" t="s">
        <v>776</v>
      </c>
    </row>
    <row r="719" spans="1:2" ht="15" hidden="1" x14ac:dyDescent="0.25">
      <c r="A719" s="425" t="s">
        <v>777</v>
      </c>
      <c r="B719" s="425" t="s">
        <v>778</v>
      </c>
    </row>
    <row r="720" spans="1:2" ht="15" hidden="1" x14ac:dyDescent="0.25">
      <c r="A720" s="425" t="s">
        <v>779</v>
      </c>
      <c r="B720" s="425" t="s">
        <v>780</v>
      </c>
    </row>
    <row r="721" spans="1:2" ht="15" hidden="1" x14ac:dyDescent="0.25">
      <c r="A721" s="425" t="s">
        <v>781</v>
      </c>
      <c r="B721" s="425" t="s">
        <v>782</v>
      </c>
    </row>
    <row r="722" spans="1:2" ht="15" hidden="1" x14ac:dyDescent="0.25">
      <c r="A722" s="425" t="s">
        <v>783</v>
      </c>
      <c r="B722" s="425" t="s">
        <v>784</v>
      </c>
    </row>
    <row r="723" spans="1:2" ht="15" hidden="1" x14ac:dyDescent="0.25">
      <c r="A723" s="425" t="s">
        <v>783</v>
      </c>
      <c r="B723" s="425" t="s">
        <v>784</v>
      </c>
    </row>
    <row r="724" spans="1:2" ht="15" hidden="1" x14ac:dyDescent="0.25">
      <c r="A724" s="425" t="s">
        <v>785</v>
      </c>
      <c r="B724" s="425" t="s">
        <v>786</v>
      </c>
    </row>
    <row r="725" spans="1:2" ht="15" hidden="1" x14ac:dyDescent="0.25">
      <c r="A725" s="425" t="s">
        <v>787</v>
      </c>
      <c r="B725" s="425" t="s">
        <v>788</v>
      </c>
    </row>
    <row r="726" spans="1:2" ht="15" hidden="1" x14ac:dyDescent="0.25">
      <c r="A726" s="425" t="s">
        <v>789</v>
      </c>
      <c r="B726" s="425" t="s">
        <v>790</v>
      </c>
    </row>
    <row r="727" spans="1:2" ht="15" hidden="1" x14ac:dyDescent="0.25">
      <c r="A727" s="425" t="s">
        <v>789</v>
      </c>
      <c r="B727" s="425" t="s">
        <v>790</v>
      </c>
    </row>
    <row r="728" spans="1:2" ht="15" hidden="1" x14ac:dyDescent="0.25">
      <c r="A728" s="425" t="s">
        <v>791</v>
      </c>
      <c r="B728" s="425" t="s">
        <v>792</v>
      </c>
    </row>
    <row r="729" spans="1:2" ht="15" hidden="1" x14ac:dyDescent="0.25">
      <c r="A729" s="425" t="s">
        <v>791</v>
      </c>
      <c r="B729" s="425" t="s">
        <v>792</v>
      </c>
    </row>
    <row r="730" spans="1:2" ht="15" hidden="1" x14ac:dyDescent="0.25">
      <c r="A730" s="425" t="s">
        <v>791</v>
      </c>
      <c r="B730" s="425" t="s">
        <v>792</v>
      </c>
    </row>
    <row r="731" spans="1:2" ht="15" hidden="1" x14ac:dyDescent="0.25">
      <c r="A731" s="425" t="s">
        <v>791</v>
      </c>
      <c r="B731" s="425" t="s">
        <v>792</v>
      </c>
    </row>
    <row r="732" spans="1:2" ht="15" hidden="1" x14ac:dyDescent="0.25">
      <c r="A732" s="425" t="s">
        <v>791</v>
      </c>
      <c r="B732" s="425" t="s">
        <v>792</v>
      </c>
    </row>
    <row r="733" spans="1:2" ht="15" hidden="1" x14ac:dyDescent="0.25">
      <c r="A733" s="425" t="s">
        <v>791</v>
      </c>
      <c r="B733" s="425" t="s">
        <v>792</v>
      </c>
    </row>
    <row r="734" spans="1:2" ht="15" hidden="1" x14ac:dyDescent="0.25">
      <c r="A734" s="425" t="s">
        <v>791</v>
      </c>
      <c r="B734" s="425" t="s">
        <v>792</v>
      </c>
    </row>
    <row r="735" spans="1:2" ht="15" hidden="1" x14ac:dyDescent="0.25">
      <c r="A735" s="425" t="s">
        <v>793</v>
      </c>
      <c r="B735" s="425" t="s">
        <v>794</v>
      </c>
    </row>
    <row r="736" spans="1:2" ht="15" hidden="1" x14ac:dyDescent="0.25">
      <c r="A736" s="425" t="s">
        <v>795</v>
      </c>
      <c r="B736" s="425" t="s">
        <v>796</v>
      </c>
    </row>
    <row r="737" spans="1:2" ht="15" hidden="1" x14ac:dyDescent="0.25">
      <c r="A737" s="425" t="s">
        <v>797</v>
      </c>
      <c r="B737" s="425" t="s">
        <v>798</v>
      </c>
    </row>
    <row r="738" spans="1:2" ht="15" hidden="1" x14ac:dyDescent="0.25">
      <c r="A738" s="425" t="s">
        <v>799</v>
      </c>
      <c r="B738" s="425" t="s">
        <v>800</v>
      </c>
    </row>
    <row r="739" spans="1:2" ht="15" hidden="1" x14ac:dyDescent="0.25">
      <c r="A739" s="425" t="s">
        <v>801</v>
      </c>
      <c r="B739" s="425" t="s">
        <v>802</v>
      </c>
    </row>
    <row r="740" spans="1:2" ht="15" hidden="1" x14ac:dyDescent="0.25">
      <c r="A740" s="425" t="s">
        <v>803</v>
      </c>
      <c r="B740" s="425" t="s">
        <v>804</v>
      </c>
    </row>
    <row r="741" spans="1:2" ht="15" hidden="1" x14ac:dyDescent="0.25">
      <c r="A741" s="425" t="s">
        <v>805</v>
      </c>
      <c r="B741" s="425" t="s">
        <v>806</v>
      </c>
    </row>
    <row r="742" spans="1:2" ht="15" hidden="1" x14ac:dyDescent="0.25">
      <c r="A742" s="425" t="s">
        <v>192</v>
      </c>
      <c r="B742" s="425" t="s">
        <v>388</v>
      </c>
    </row>
    <row r="743" spans="1:2" ht="15" hidden="1" x14ac:dyDescent="0.25">
      <c r="A743" s="425" t="s">
        <v>807</v>
      </c>
      <c r="B743" s="425" t="s">
        <v>808</v>
      </c>
    </row>
    <row r="744" spans="1:2" ht="15" hidden="1" x14ac:dyDescent="0.25">
      <c r="A744" s="425" t="s">
        <v>809</v>
      </c>
      <c r="B744" s="425" t="s">
        <v>810</v>
      </c>
    </row>
    <row r="745" spans="1:2" ht="15" hidden="1" x14ac:dyDescent="0.25">
      <c r="A745" s="425" t="s">
        <v>811</v>
      </c>
      <c r="B745" s="425" t="s">
        <v>812</v>
      </c>
    </row>
    <row r="746" spans="1:2" ht="15" hidden="1" x14ac:dyDescent="0.25">
      <c r="A746" s="425" t="s">
        <v>813</v>
      </c>
      <c r="B746" s="425" t="s">
        <v>814</v>
      </c>
    </row>
    <row r="747" spans="1:2" ht="15" hidden="1" x14ac:dyDescent="0.25">
      <c r="A747" s="425" t="s">
        <v>813</v>
      </c>
      <c r="B747" s="425" t="s">
        <v>814</v>
      </c>
    </row>
    <row r="748" spans="1:2" ht="15" hidden="1" x14ac:dyDescent="0.25">
      <c r="A748" s="425" t="s">
        <v>813</v>
      </c>
      <c r="B748" s="425" t="s">
        <v>814</v>
      </c>
    </row>
    <row r="749" spans="1:2" ht="15" hidden="1" x14ac:dyDescent="0.25">
      <c r="A749" s="425" t="s">
        <v>815</v>
      </c>
      <c r="B749" s="425" t="s">
        <v>816</v>
      </c>
    </row>
    <row r="750" spans="1:2" ht="15" hidden="1" x14ac:dyDescent="0.25">
      <c r="A750" s="425" t="s">
        <v>815</v>
      </c>
      <c r="B750" s="425" t="s">
        <v>816</v>
      </c>
    </row>
    <row r="751" spans="1:2" ht="15" hidden="1" x14ac:dyDescent="0.25">
      <c r="A751" s="425" t="s">
        <v>815</v>
      </c>
      <c r="B751" s="425" t="s">
        <v>816</v>
      </c>
    </row>
    <row r="752" spans="1:2" ht="15" hidden="1" x14ac:dyDescent="0.25">
      <c r="A752" s="425" t="s">
        <v>817</v>
      </c>
      <c r="B752" s="425" t="s">
        <v>818</v>
      </c>
    </row>
    <row r="753" spans="1:2" ht="15" hidden="1" x14ac:dyDescent="0.25">
      <c r="A753" s="425" t="s">
        <v>817</v>
      </c>
      <c r="B753" s="425" t="s">
        <v>818</v>
      </c>
    </row>
    <row r="754" spans="1:2" ht="15" hidden="1" x14ac:dyDescent="0.25">
      <c r="A754" s="425" t="s">
        <v>819</v>
      </c>
      <c r="B754" s="425" t="s">
        <v>820</v>
      </c>
    </row>
    <row r="755" spans="1:2" ht="15" hidden="1" x14ac:dyDescent="0.25">
      <c r="A755" s="425" t="s">
        <v>819</v>
      </c>
      <c r="B755" s="425" t="s">
        <v>820</v>
      </c>
    </row>
    <row r="756" spans="1:2" ht="15" hidden="1" x14ac:dyDescent="0.25">
      <c r="A756" s="425" t="s">
        <v>821</v>
      </c>
      <c r="B756" s="425" t="s">
        <v>822</v>
      </c>
    </row>
    <row r="757" spans="1:2" ht="15" hidden="1" x14ac:dyDescent="0.25">
      <c r="A757" s="425" t="s">
        <v>821</v>
      </c>
      <c r="B757" s="425" t="s">
        <v>822</v>
      </c>
    </row>
    <row r="758" spans="1:2" ht="15" hidden="1" x14ac:dyDescent="0.25">
      <c r="A758" s="425" t="s">
        <v>823</v>
      </c>
      <c r="B758" s="425" t="s">
        <v>824</v>
      </c>
    </row>
    <row r="759" spans="1:2" ht="15" hidden="1" x14ac:dyDescent="0.25">
      <c r="A759" s="425" t="s">
        <v>825</v>
      </c>
      <c r="B759" s="425" t="s">
        <v>826</v>
      </c>
    </row>
    <row r="760" spans="1:2" ht="15" hidden="1" x14ac:dyDescent="0.25">
      <c r="A760" s="425" t="s">
        <v>825</v>
      </c>
      <c r="B760" s="425" t="s">
        <v>826</v>
      </c>
    </row>
    <row r="761" spans="1:2" ht="15" hidden="1" x14ac:dyDescent="0.25">
      <c r="A761" s="425" t="s">
        <v>825</v>
      </c>
      <c r="B761" s="425" t="s">
        <v>826</v>
      </c>
    </row>
    <row r="762" spans="1:2" ht="15" hidden="1" x14ac:dyDescent="0.25">
      <c r="A762" s="425" t="s">
        <v>193</v>
      </c>
      <c r="B762" s="425" t="s">
        <v>392</v>
      </c>
    </row>
    <row r="763" spans="1:2" ht="15" hidden="1" x14ac:dyDescent="0.25">
      <c r="A763" s="425" t="s">
        <v>193</v>
      </c>
      <c r="B763" s="425" t="s">
        <v>392</v>
      </c>
    </row>
    <row r="764" spans="1:2" ht="15" hidden="1" x14ac:dyDescent="0.25">
      <c r="A764" s="426" t="s">
        <v>827</v>
      </c>
      <c r="B764" s="425" t="s">
        <v>828</v>
      </c>
    </row>
    <row r="765" spans="1:2" ht="15" hidden="1" x14ac:dyDescent="0.25">
      <c r="A765" s="425" t="s">
        <v>829</v>
      </c>
      <c r="B765" s="425" t="s">
        <v>830</v>
      </c>
    </row>
    <row r="766" spans="1:2" ht="15" hidden="1" x14ac:dyDescent="0.25">
      <c r="A766" s="425" t="s">
        <v>831</v>
      </c>
      <c r="B766" s="425" t="s">
        <v>766</v>
      </c>
    </row>
    <row r="767" spans="1:2" ht="15" hidden="1" x14ac:dyDescent="0.25">
      <c r="A767" s="425" t="s">
        <v>831</v>
      </c>
      <c r="B767" s="425" t="s">
        <v>766</v>
      </c>
    </row>
    <row r="768" spans="1:2" ht="15" hidden="1" x14ac:dyDescent="0.25">
      <c r="A768" s="425" t="s">
        <v>832</v>
      </c>
      <c r="B768" s="425" t="s">
        <v>833</v>
      </c>
    </row>
    <row r="769" spans="1:2" ht="15" hidden="1" x14ac:dyDescent="0.25">
      <c r="A769" s="425" t="s">
        <v>834</v>
      </c>
      <c r="B769" s="425" t="s">
        <v>835</v>
      </c>
    </row>
    <row r="770" spans="1:2" ht="15" hidden="1" x14ac:dyDescent="0.25">
      <c r="A770" s="425" t="s">
        <v>836</v>
      </c>
      <c r="B770" s="425" t="s">
        <v>837</v>
      </c>
    </row>
    <row r="771" spans="1:2" ht="15" hidden="1" x14ac:dyDescent="0.25">
      <c r="A771" s="425" t="s">
        <v>838</v>
      </c>
      <c r="B771" s="425" t="s">
        <v>839</v>
      </c>
    </row>
    <row r="772" spans="1:2" ht="15" hidden="1" x14ac:dyDescent="0.25">
      <c r="A772" s="425" t="s">
        <v>840</v>
      </c>
      <c r="B772" s="425" t="s">
        <v>841</v>
      </c>
    </row>
    <row r="773" spans="1:2" ht="15" hidden="1" x14ac:dyDescent="0.25">
      <c r="A773" s="425" t="s">
        <v>842</v>
      </c>
      <c r="B773" s="425" t="s">
        <v>843</v>
      </c>
    </row>
    <row r="774" spans="1:2" ht="15" hidden="1" x14ac:dyDescent="0.25">
      <c r="A774" s="425" t="s">
        <v>844</v>
      </c>
      <c r="B774" s="425" t="s">
        <v>845</v>
      </c>
    </row>
    <row r="775" spans="1:2" ht="15" hidden="1" x14ac:dyDescent="0.25">
      <c r="A775" s="425" t="s">
        <v>846</v>
      </c>
      <c r="B775" s="425" t="s">
        <v>847</v>
      </c>
    </row>
    <row r="776" spans="1:2" ht="15" hidden="1" x14ac:dyDescent="0.25">
      <c r="A776" s="425" t="s">
        <v>848</v>
      </c>
      <c r="B776" s="425" t="s">
        <v>849</v>
      </c>
    </row>
    <row r="777" spans="1:2" ht="15" hidden="1" x14ac:dyDescent="0.25">
      <c r="A777" s="425" t="s">
        <v>848</v>
      </c>
      <c r="B777" s="425" t="s">
        <v>849</v>
      </c>
    </row>
    <row r="778" spans="1:2" ht="15" hidden="1" x14ac:dyDescent="0.25">
      <c r="A778" s="425" t="s">
        <v>848</v>
      </c>
      <c r="B778" s="425" t="s">
        <v>849</v>
      </c>
    </row>
    <row r="779" spans="1:2" ht="15" hidden="1" x14ac:dyDescent="0.25">
      <c r="A779" s="425" t="s">
        <v>848</v>
      </c>
      <c r="B779" s="425" t="s">
        <v>849</v>
      </c>
    </row>
    <row r="780" spans="1:2" ht="15" hidden="1" x14ac:dyDescent="0.25">
      <c r="A780" s="425" t="s">
        <v>850</v>
      </c>
      <c r="B780" s="425" t="s">
        <v>851</v>
      </c>
    </row>
    <row r="781" spans="1:2" ht="15" hidden="1" x14ac:dyDescent="0.25">
      <c r="A781" s="425" t="s">
        <v>850</v>
      </c>
      <c r="B781" s="425" t="s">
        <v>851</v>
      </c>
    </row>
    <row r="782" spans="1:2" ht="15" hidden="1" x14ac:dyDescent="0.25">
      <c r="A782" s="425" t="s">
        <v>850</v>
      </c>
      <c r="B782" s="425" t="s">
        <v>851</v>
      </c>
    </row>
    <row r="783" spans="1:2" ht="15" hidden="1" x14ac:dyDescent="0.25">
      <c r="A783" s="425" t="s">
        <v>852</v>
      </c>
      <c r="B783" s="425" t="s">
        <v>853</v>
      </c>
    </row>
    <row r="784" spans="1:2" ht="15" hidden="1" x14ac:dyDescent="0.25">
      <c r="A784" s="425" t="s">
        <v>178</v>
      </c>
      <c r="B784" s="425" t="s">
        <v>310</v>
      </c>
    </row>
    <row r="785" spans="1:2" ht="15" hidden="1" x14ac:dyDescent="0.25">
      <c r="A785" s="425" t="s">
        <v>178</v>
      </c>
      <c r="B785" s="425" t="s">
        <v>310</v>
      </c>
    </row>
    <row r="786" spans="1:2" ht="15" hidden="1" x14ac:dyDescent="0.25">
      <c r="A786" s="425" t="s">
        <v>178</v>
      </c>
      <c r="B786" s="425" t="s">
        <v>310</v>
      </c>
    </row>
    <row r="787" spans="1:2" ht="15" hidden="1" x14ac:dyDescent="0.25">
      <c r="A787" s="425" t="s">
        <v>178</v>
      </c>
      <c r="B787" s="425" t="s">
        <v>310</v>
      </c>
    </row>
    <row r="788" spans="1:2" ht="15" hidden="1" x14ac:dyDescent="0.25">
      <c r="A788" s="425" t="s">
        <v>178</v>
      </c>
      <c r="B788" s="425" t="s">
        <v>310</v>
      </c>
    </row>
    <row r="789" spans="1:2" ht="15" hidden="1" x14ac:dyDescent="0.25">
      <c r="A789" s="425" t="s">
        <v>178</v>
      </c>
      <c r="B789" s="425" t="s">
        <v>310</v>
      </c>
    </row>
    <row r="790" spans="1:2" ht="15" hidden="1" x14ac:dyDescent="0.25">
      <c r="A790" s="425" t="s">
        <v>178</v>
      </c>
      <c r="B790" s="425" t="s">
        <v>310</v>
      </c>
    </row>
    <row r="791" spans="1:2" ht="15" hidden="1" x14ac:dyDescent="0.25">
      <c r="A791" s="425" t="s">
        <v>178</v>
      </c>
      <c r="B791" s="425" t="s">
        <v>310</v>
      </c>
    </row>
    <row r="792" spans="1:2" ht="15" hidden="1" x14ac:dyDescent="0.25">
      <c r="A792" s="425" t="s">
        <v>178</v>
      </c>
      <c r="B792" s="425" t="s">
        <v>310</v>
      </c>
    </row>
    <row r="793" spans="1:2" ht="15" hidden="1" x14ac:dyDescent="0.25">
      <c r="A793" s="425" t="s">
        <v>178</v>
      </c>
      <c r="B793" s="425" t="s">
        <v>310</v>
      </c>
    </row>
    <row r="794" spans="1:2" ht="15" hidden="1" x14ac:dyDescent="0.25">
      <c r="A794" s="425" t="s">
        <v>178</v>
      </c>
      <c r="B794" s="425" t="s">
        <v>310</v>
      </c>
    </row>
    <row r="795" spans="1:2" ht="15" hidden="1" x14ac:dyDescent="0.25">
      <c r="A795" s="425" t="s">
        <v>180</v>
      </c>
      <c r="B795" s="425" t="s">
        <v>312</v>
      </c>
    </row>
    <row r="796" spans="1:2" ht="15" hidden="1" x14ac:dyDescent="0.25">
      <c r="A796" s="425" t="s">
        <v>180</v>
      </c>
      <c r="B796" s="425" t="s">
        <v>312</v>
      </c>
    </row>
    <row r="797" spans="1:2" ht="15" hidden="1" x14ac:dyDescent="0.25">
      <c r="A797" s="425" t="s">
        <v>180</v>
      </c>
      <c r="B797" s="425" t="s">
        <v>312</v>
      </c>
    </row>
    <row r="798" spans="1:2" ht="15" hidden="1" x14ac:dyDescent="0.25">
      <c r="A798" s="425" t="s">
        <v>180</v>
      </c>
      <c r="B798" s="425" t="s">
        <v>312</v>
      </c>
    </row>
    <row r="799" spans="1:2" ht="15" hidden="1" x14ac:dyDescent="0.25">
      <c r="A799" s="425" t="s">
        <v>180</v>
      </c>
      <c r="B799" s="425" t="s">
        <v>312</v>
      </c>
    </row>
    <row r="800" spans="1:2" ht="15" hidden="1" x14ac:dyDescent="0.25">
      <c r="A800" s="425" t="s">
        <v>180</v>
      </c>
      <c r="B800" s="425" t="s">
        <v>312</v>
      </c>
    </row>
    <row r="801" spans="1:2" ht="15" hidden="1" x14ac:dyDescent="0.25">
      <c r="A801" s="425" t="s">
        <v>180</v>
      </c>
      <c r="B801" s="425" t="s">
        <v>312</v>
      </c>
    </row>
    <row r="802" spans="1:2" ht="15" hidden="1" x14ac:dyDescent="0.25">
      <c r="A802" s="425" t="s">
        <v>180</v>
      </c>
      <c r="B802" s="425" t="s">
        <v>312</v>
      </c>
    </row>
    <row r="803" spans="1:2" ht="15" hidden="1" x14ac:dyDescent="0.25">
      <c r="A803" s="425" t="s">
        <v>180</v>
      </c>
      <c r="B803" s="425" t="s">
        <v>312</v>
      </c>
    </row>
    <row r="804" spans="1:2" ht="15" hidden="1" x14ac:dyDescent="0.25">
      <c r="A804" s="425" t="s">
        <v>180</v>
      </c>
      <c r="B804" s="425" t="s">
        <v>312</v>
      </c>
    </row>
    <row r="805" spans="1:2" ht="15" hidden="1" x14ac:dyDescent="0.25">
      <c r="A805" s="425" t="s">
        <v>180</v>
      </c>
      <c r="B805" s="425" t="s">
        <v>312</v>
      </c>
    </row>
    <row r="806" spans="1:2" ht="15" hidden="1" x14ac:dyDescent="0.25">
      <c r="A806" s="425" t="s">
        <v>180</v>
      </c>
      <c r="B806" s="425" t="s">
        <v>312</v>
      </c>
    </row>
    <row r="807" spans="1:2" ht="15" hidden="1" x14ac:dyDescent="0.25">
      <c r="A807" s="425" t="s">
        <v>180</v>
      </c>
      <c r="B807" s="425" t="s">
        <v>312</v>
      </c>
    </row>
    <row r="808" spans="1:2" ht="15" hidden="1" x14ac:dyDescent="0.25">
      <c r="A808" s="425" t="s">
        <v>180</v>
      </c>
      <c r="B808" s="425" t="s">
        <v>312</v>
      </c>
    </row>
    <row r="809" spans="1:2" ht="15" hidden="1" x14ac:dyDescent="0.25">
      <c r="A809" s="425" t="s">
        <v>180</v>
      </c>
      <c r="B809" s="425" t="s">
        <v>312</v>
      </c>
    </row>
    <row r="810" spans="1:2" ht="15" hidden="1" x14ac:dyDescent="0.25">
      <c r="A810" s="425" t="s">
        <v>180</v>
      </c>
      <c r="B810" s="425" t="s">
        <v>312</v>
      </c>
    </row>
    <row r="811" spans="1:2" ht="15" hidden="1" x14ac:dyDescent="0.25">
      <c r="A811" s="425" t="s">
        <v>180</v>
      </c>
      <c r="B811" s="425" t="s">
        <v>312</v>
      </c>
    </row>
    <row r="812" spans="1:2" ht="15" hidden="1" x14ac:dyDescent="0.25">
      <c r="A812" s="425" t="s">
        <v>180</v>
      </c>
      <c r="B812" s="425" t="s">
        <v>312</v>
      </c>
    </row>
    <row r="813" spans="1:2" ht="15" hidden="1" x14ac:dyDescent="0.25">
      <c r="A813" s="425" t="s">
        <v>180</v>
      </c>
      <c r="B813" s="425" t="s">
        <v>312</v>
      </c>
    </row>
    <row r="814" spans="1:2" ht="15" hidden="1" x14ac:dyDescent="0.25">
      <c r="A814" s="425" t="s">
        <v>180</v>
      </c>
      <c r="B814" s="425" t="s">
        <v>312</v>
      </c>
    </row>
    <row r="815" spans="1:2" ht="15" hidden="1" x14ac:dyDescent="0.25">
      <c r="A815" s="425" t="s">
        <v>180</v>
      </c>
      <c r="B815" s="425" t="s">
        <v>312</v>
      </c>
    </row>
    <row r="816" spans="1:2" ht="15" hidden="1" x14ac:dyDescent="0.25">
      <c r="A816" s="425" t="s">
        <v>180</v>
      </c>
      <c r="B816" s="425" t="s">
        <v>312</v>
      </c>
    </row>
    <row r="817" spans="1:2" ht="15" hidden="1" x14ac:dyDescent="0.25">
      <c r="A817" s="425" t="s">
        <v>180</v>
      </c>
      <c r="B817" s="425" t="s">
        <v>312</v>
      </c>
    </row>
    <row r="818" spans="1:2" ht="15" hidden="1" x14ac:dyDescent="0.25">
      <c r="A818" s="425" t="s">
        <v>180</v>
      </c>
      <c r="B818" s="425" t="s">
        <v>312</v>
      </c>
    </row>
    <row r="819" spans="1:2" ht="15" hidden="1" x14ac:dyDescent="0.25">
      <c r="A819" s="425" t="s">
        <v>180</v>
      </c>
      <c r="B819" s="425" t="s">
        <v>312</v>
      </c>
    </row>
    <row r="820" spans="1:2" ht="15" hidden="1" x14ac:dyDescent="0.25">
      <c r="A820" s="425" t="s">
        <v>180</v>
      </c>
      <c r="B820" s="425" t="s">
        <v>312</v>
      </c>
    </row>
    <row r="821" spans="1:2" ht="15" hidden="1" x14ac:dyDescent="0.25">
      <c r="A821" s="425" t="s">
        <v>180</v>
      </c>
      <c r="B821" s="425" t="s">
        <v>312</v>
      </c>
    </row>
    <row r="822" spans="1:2" ht="15" hidden="1" x14ac:dyDescent="0.25">
      <c r="A822" s="425" t="s">
        <v>180</v>
      </c>
      <c r="B822" s="425" t="s">
        <v>312</v>
      </c>
    </row>
    <row r="823" spans="1:2" ht="15" hidden="1" x14ac:dyDescent="0.25">
      <c r="A823" s="425" t="s">
        <v>180</v>
      </c>
      <c r="B823" s="425" t="s">
        <v>312</v>
      </c>
    </row>
    <row r="824" spans="1:2" ht="15" hidden="1" x14ac:dyDescent="0.25">
      <c r="A824" s="425" t="s">
        <v>180</v>
      </c>
      <c r="B824" s="425" t="s">
        <v>312</v>
      </c>
    </row>
    <row r="825" spans="1:2" ht="15" hidden="1" x14ac:dyDescent="0.25">
      <c r="A825" s="425" t="s">
        <v>180</v>
      </c>
      <c r="B825" s="425" t="s">
        <v>312</v>
      </c>
    </row>
    <row r="826" spans="1:2" ht="15" hidden="1" x14ac:dyDescent="0.25">
      <c r="A826" s="425" t="s">
        <v>180</v>
      </c>
      <c r="B826" s="425" t="s">
        <v>312</v>
      </c>
    </row>
    <row r="827" spans="1:2" ht="15" hidden="1" x14ac:dyDescent="0.25">
      <c r="A827" s="425" t="s">
        <v>180</v>
      </c>
      <c r="B827" s="425" t="s">
        <v>312</v>
      </c>
    </row>
    <row r="828" spans="1:2" ht="15" hidden="1" x14ac:dyDescent="0.25">
      <c r="A828" s="425" t="s">
        <v>180</v>
      </c>
      <c r="B828" s="425" t="s">
        <v>312</v>
      </c>
    </row>
    <row r="829" spans="1:2" ht="15" hidden="1" x14ac:dyDescent="0.25">
      <c r="A829" s="425" t="s">
        <v>180</v>
      </c>
      <c r="B829" s="425" t="s">
        <v>312</v>
      </c>
    </row>
    <row r="830" spans="1:2" ht="15" hidden="1" x14ac:dyDescent="0.25">
      <c r="A830" s="425" t="s">
        <v>180</v>
      </c>
      <c r="B830" s="425" t="s">
        <v>312</v>
      </c>
    </row>
    <row r="831" spans="1:2" ht="15" hidden="1" x14ac:dyDescent="0.25">
      <c r="A831" s="425" t="s">
        <v>181</v>
      </c>
      <c r="B831" s="425" t="s">
        <v>313</v>
      </c>
    </row>
    <row r="832" spans="1:2" ht="15" hidden="1" x14ac:dyDescent="0.25">
      <c r="A832" s="425" t="s">
        <v>181</v>
      </c>
      <c r="B832" s="425" t="s">
        <v>313</v>
      </c>
    </row>
    <row r="833" spans="1:2" ht="15" hidden="1" x14ac:dyDescent="0.25">
      <c r="A833" s="425" t="s">
        <v>181</v>
      </c>
      <c r="B833" s="425" t="s">
        <v>313</v>
      </c>
    </row>
    <row r="834" spans="1:2" ht="15" hidden="1" x14ac:dyDescent="0.25">
      <c r="A834" s="425" t="s">
        <v>181</v>
      </c>
      <c r="B834" s="425" t="s">
        <v>313</v>
      </c>
    </row>
    <row r="835" spans="1:2" ht="15" hidden="1" x14ac:dyDescent="0.25">
      <c r="A835" s="425" t="s">
        <v>181</v>
      </c>
      <c r="B835" s="425" t="s">
        <v>313</v>
      </c>
    </row>
    <row r="836" spans="1:2" ht="15" hidden="1" x14ac:dyDescent="0.25">
      <c r="A836" s="425" t="s">
        <v>181</v>
      </c>
      <c r="B836" s="425" t="s">
        <v>313</v>
      </c>
    </row>
    <row r="837" spans="1:2" ht="15" hidden="1" x14ac:dyDescent="0.25">
      <c r="A837" s="425" t="s">
        <v>181</v>
      </c>
      <c r="B837" s="425" t="s">
        <v>313</v>
      </c>
    </row>
    <row r="838" spans="1:2" ht="15" hidden="1" x14ac:dyDescent="0.25">
      <c r="A838" s="425" t="s">
        <v>181</v>
      </c>
      <c r="B838" s="425" t="s">
        <v>313</v>
      </c>
    </row>
    <row r="839" spans="1:2" ht="15" hidden="1" x14ac:dyDescent="0.25">
      <c r="A839" s="425" t="s">
        <v>181</v>
      </c>
      <c r="B839" s="425" t="s">
        <v>313</v>
      </c>
    </row>
    <row r="840" spans="1:2" ht="15" hidden="1" x14ac:dyDescent="0.25">
      <c r="A840" s="425" t="s">
        <v>181</v>
      </c>
      <c r="B840" s="425" t="s">
        <v>313</v>
      </c>
    </row>
    <row r="841" spans="1:2" ht="15" hidden="1" x14ac:dyDescent="0.25">
      <c r="A841" s="425" t="s">
        <v>181</v>
      </c>
      <c r="B841" s="425" t="s">
        <v>313</v>
      </c>
    </row>
    <row r="842" spans="1:2" ht="15" hidden="1" x14ac:dyDescent="0.25">
      <c r="A842" s="425" t="s">
        <v>181</v>
      </c>
      <c r="B842" s="425" t="s">
        <v>313</v>
      </c>
    </row>
    <row r="843" spans="1:2" ht="15" hidden="1" x14ac:dyDescent="0.25">
      <c r="A843" s="425" t="s">
        <v>181</v>
      </c>
      <c r="B843" s="425" t="s">
        <v>313</v>
      </c>
    </row>
    <row r="844" spans="1:2" ht="15" hidden="1" x14ac:dyDescent="0.25">
      <c r="A844" s="425" t="s">
        <v>181</v>
      </c>
      <c r="B844" s="425" t="s">
        <v>313</v>
      </c>
    </row>
    <row r="845" spans="1:2" ht="15" hidden="1" x14ac:dyDescent="0.25">
      <c r="A845" s="425" t="s">
        <v>183</v>
      </c>
      <c r="B845" s="425" t="s">
        <v>317</v>
      </c>
    </row>
    <row r="846" spans="1:2" ht="15" hidden="1" x14ac:dyDescent="0.25">
      <c r="A846" s="425" t="s">
        <v>183</v>
      </c>
      <c r="B846" s="425" t="s">
        <v>317</v>
      </c>
    </row>
    <row r="847" spans="1:2" ht="15" hidden="1" x14ac:dyDescent="0.25">
      <c r="A847" s="425" t="s">
        <v>183</v>
      </c>
      <c r="B847" s="425" t="s">
        <v>317</v>
      </c>
    </row>
    <row r="848" spans="1:2" ht="15" hidden="1" x14ac:dyDescent="0.25">
      <c r="A848" s="425" t="s">
        <v>183</v>
      </c>
      <c r="B848" s="425" t="s">
        <v>317</v>
      </c>
    </row>
    <row r="849" spans="1:2" ht="15" hidden="1" x14ac:dyDescent="0.25">
      <c r="A849" s="425" t="s">
        <v>183</v>
      </c>
      <c r="B849" s="425" t="s">
        <v>317</v>
      </c>
    </row>
    <row r="850" spans="1:2" ht="15" hidden="1" x14ac:dyDescent="0.25">
      <c r="A850" s="425" t="s">
        <v>183</v>
      </c>
      <c r="B850" s="425" t="s">
        <v>317</v>
      </c>
    </row>
    <row r="851" spans="1:2" ht="15" hidden="1" x14ac:dyDescent="0.25">
      <c r="A851" s="425" t="s">
        <v>183</v>
      </c>
      <c r="B851" s="425" t="s">
        <v>317</v>
      </c>
    </row>
    <row r="852" spans="1:2" ht="15" hidden="1" x14ac:dyDescent="0.25">
      <c r="A852" s="425" t="s">
        <v>184</v>
      </c>
      <c r="B852" s="425" t="s">
        <v>318</v>
      </c>
    </row>
    <row r="853" spans="1:2" ht="15" hidden="1" x14ac:dyDescent="0.25">
      <c r="A853" s="425" t="s">
        <v>185</v>
      </c>
      <c r="B853" s="425" t="s">
        <v>319</v>
      </c>
    </row>
    <row r="854" spans="1:2" ht="15" hidden="1" x14ac:dyDescent="0.25">
      <c r="A854" s="425" t="s">
        <v>185</v>
      </c>
      <c r="B854" s="425" t="s">
        <v>319</v>
      </c>
    </row>
    <row r="855" spans="1:2" ht="15" hidden="1" x14ac:dyDescent="0.25">
      <c r="A855" s="425" t="s">
        <v>185</v>
      </c>
      <c r="B855" s="425" t="s">
        <v>319</v>
      </c>
    </row>
    <row r="856" spans="1:2" ht="15" hidden="1" x14ac:dyDescent="0.25">
      <c r="A856" s="425" t="s">
        <v>185</v>
      </c>
      <c r="B856" s="425" t="s">
        <v>319</v>
      </c>
    </row>
    <row r="857" spans="1:2" ht="15" hidden="1" x14ac:dyDescent="0.25">
      <c r="A857" s="425" t="s">
        <v>185</v>
      </c>
      <c r="B857" s="425" t="s">
        <v>319</v>
      </c>
    </row>
    <row r="858" spans="1:2" ht="15" hidden="1" x14ac:dyDescent="0.25">
      <c r="A858" s="425" t="s">
        <v>854</v>
      </c>
      <c r="B858" s="425" t="s">
        <v>855</v>
      </c>
    </row>
    <row r="859" spans="1:2" ht="15" hidden="1" x14ac:dyDescent="0.25">
      <c r="A859" s="425" t="s">
        <v>401</v>
      </c>
      <c r="B859" s="425" t="s">
        <v>402</v>
      </c>
    </row>
    <row r="860" spans="1:2" ht="15" hidden="1" x14ac:dyDescent="0.25">
      <c r="A860" s="425" t="s">
        <v>401</v>
      </c>
      <c r="B860" s="425" t="s">
        <v>402</v>
      </c>
    </row>
    <row r="861" spans="1:2" ht="15" hidden="1" x14ac:dyDescent="0.25">
      <c r="A861" s="425" t="s">
        <v>401</v>
      </c>
      <c r="B861" s="425" t="s">
        <v>402</v>
      </c>
    </row>
    <row r="862" spans="1:2" ht="15" hidden="1" x14ac:dyDescent="0.25">
      <c r="A862" s="425" t="s">
        <v>401</v>
      </c>
      <c r="B862" s="425" t="s">
        <v>402</v>
      </c>
    </row>
    <row r="863" spans="1:2" ht="15" hidden="1" x14ac:dyDescent="0.25">
      <c r="A863" s="425" t="s">
        <v>401</v>
      </c>
      <c r="B863" s="425" t="s">
        <v>402</v>
      </c>
    </row>
    <row r="864" spans="1:2" ht="15" hidden="1" x14ac:dyDescent="0.25">
      <c r="A864" s="425" t="s">
        <v>401</v>
      </c>
      <c r="B864" s="425" t="s">
        <v>402</v>
      </c>
    </row>
    <row r="865" spans="1:2" ht="15" hidden="1" x14ac:dyDescent="0.25">
      <c r="A865" s="425" t="s">
        <v>401</v>
      </c>
      <c r="B865" s="425" t="s">
        <v>402</v>
      </c>
    </row>
    <row r="866" spans="1:2" ht="15" hidden="1" x14ac:dyDescent="0.25">
      <c r="A866" s="425" t="s">
        <v>401</v>
      </c>
      <c r="B866" s="425" t="s">
        <v>402</v>
      </c>
    </row>
    <row r="867" spans="1:2" ht="15" hidden="1" x14ac:dyDescent="0.25">
      <c r="A867" s="425" t="s">
        <v>401</v>
      </c>
      <c r="B867" s="425" t="s">
        <v>402</v>
      </c>
    </row>
    <row r="868" spans="1:2" ht="15" hidden="1" x14ac:dyDescent="0.25">
      <c r="A868" s="425" t="s">
        <v>401</v>
      </c>
      <c r="B868" s="425" t="s">
        <v>402</v>
      </c>
    </row>
    <row r="869" spans="1:2" ht="15" hidden="1" x14ac:dyDescent="0.25">
      <c r="A869" s="425" t="s">
        <v>401</v>
      </c>
      <c r="B869" s="425" t="s">
        <v>402</v>
      </c>
    </row>
    <row r="870" spans="1:2" ht="15" hidden="1" x14ac:dyDescent="0.25">
      <c r="A870" s="425" t="s">
        <v>401</v>
      </c>
      <c r="B870" s="425" t="s">
        <v>402</v>
      </c>
    </row>
    <row r="871" spans="1:2" ht="15" hidden="1" x14ac:dyDescent="0.25">
      <c r="A871" s="425" t="s">
        <v>401</v>
      </c>
      <c r="B871" s="425" t="s">
        <v>402</v>
      </c>
    </row>
    <row r="872" spans="1:2" ht="15" hidden="1" x14ac:dyDescent="0.25">
      <c r="A872" s="425" t="s">
        <v>856</v>
      </c>
      <c r="B872" s="425" t="s">
        <v>857</v>
      </c>
    </row>
    <row r="873" spans="1:2" ht="15" hidden="1" x14ac:dyDescent="0.25">
      <c r="A873" s="425" t="s">
        <v>856</v>
      </c>
      <c r="B873" s="425" t="s">
        <v>857</v>
      </c>
    </row>
    <row r="874" spans="1:2" ht="15" hidden="1" x14ac:dyDescent="0.25">
      <c r="A874" s="425" t="s">
        <v>856</v>
      </c>
      <c r="B874" s="425" t="s">
        <v>857</v>
      </c>
    </row>
    <row r="875" spans="1:2" ht="15" hidden="1" x14ac:dyDescent="0.25">
      <c r="A875" s="425" t="s">
        <v>856</v>
      </c>
      <c r="B875" s="425" t="s">
        <v>857</v>
      </c>
    </row>
    <row r="876" spans="1:2" ht="15" hidden="1" x14ac:dyDescent="0.25">
      <c r="A876" s="425" t="s">
        <v>856</v>
      </c>
      <c r="B876" s="425" t="s">
        <v>857</v>
      </c>
    </row>
    <row r="877" spans="1:2" ht="15" hidden="1" x14ac:dyDescent="0.25">
      <c r="A877" s="425" t="s">
        <v>856</v>
      </c>
      <c r="B877" s="425" t="s">
        <v>857</v>
      </c>
    </row>
    <row r="878" spans="1:2" ht="15" hidden="1" x14ac:dyDescent="0.25">
      <c r="A878" s="425" t="s">
        <v>856</v>
      </c>
      <c r="B878" s="425" t="s">
        <v>857</v>
      </c>
    </row>
    <row r="879" spans="1:2" ht="15" hidden="1" x14ac:dyDescent="0.25">
      <c r="A879" s="425" t="s">
        <v>856</v>
      </c>
      <c r="B879" s="425" t="s">
        <v>857</v>
      </c>
    </row>
    <row r="880" spans="1:2" ht="15" hidden="1" x14ac:dyDescent="0.25">
      <c r="A880" s="425" t="s">
        <v>856</v>
      </c>
      <c r="B880" s="425" t="s">
        <v>857</v>
      </c>
    </row>
    <row r="881" spans="1:2" ht="15" hidden="1" x14ac:dyDescent="0.25">
      <c r="A881" s="425" t="s">
        <v>856</v>
      </c>
      <c r="B881" s="425" t="s">
        <v>857</v>
      </c>
    </row>
    <row r="882" spans="1:2" ht="15" hidden="1" x14ac:dyDescent="0.25">
      <c r="A882" s="425" t="s">
        <v>186</v>
      </c>
      <c r="B882" s="425" t="s">
        <v>321</v>
      </c>
    </row>
    <row r="883" spans="1:2" ht="15" hidden="1" x14ac:dyDescent="0.25">
      <c r="A883" s="425" t="s">
        <v>186</v>
      </c>
      <c r="B883" s="425" t="s">
        <v>321</v>
      </c>
    </row>
    <row r="884" spans="1:2" ht="15" hidden="1" x14ac:dyDescent="0.25">
      <c r="A884" s="425" t="s">
        <v>186</v>
      </c>
      <c r="B884" s="425" t="s">
        <v>321</v>
      </c>
    </row>
    <row r="885" spans="1:2" ht="15" hidden="1" x14ac:dyDescent="0.25">
      <c r="A885" s="425" t="s">
        <v>186</v>
      </c>
      <c r="B885" s="425" t="s">
        <v>321</v>
      </c>
    </row>
    <row r="886" spans="1:2" ht="15" hidden="1" x14ac:dyDescent="0.25">
      <c r="A886" s="425" t="s">
        <v>187</v>
      </c>
      <c r="B886" s="425" t="s">
        <v>322</v>
      </c>
    </row>
    <row r="887" spans="1:2" ht="15" hidden="1" x14ac:dyDescent="0.25">
      <c r="A887" s="425" t="s">
        <v>188</v>
      </c>
      <c r="B887" s="425" t="s">
        <v>323</v>
      </c>
    </row>
    <row r="888" spans="1:2" ht="15" hidden="1" x14ac:dyDescent="0.25">
      <c r="A888" s="425" t="s">
        <v>858</v>
      </c>
      <c r="B888" s="425" t="s">
        <v>858</v>
      </c>
    </row>
    <row r="889" spans="1:2" ht="15" hidden="1" x14ac:dyDescent="0.25">
      <c r="A889" s="425" t="s">
        <v>859</v>
      </c>
      <c r="B889" s="425" t="s">
        <v>859</v>
      </c>
    </row>
    <row r="890" spans="1:2" ht="15" hidden="1" x14ac:dyDescent="0.25">
      <c r="A890" s="425" t="s">
        <v>859</v>
      </c>
      <c r="B890" s="425" t="s">
        <v>859</v>
      </c>
    </row>
    <row r="891" spans="1:2" ht="15" hidden="1" x14ac:dyDescent="0.25">
      <c r="A891" s="425" t="s">
        <v>860</v>
      </c>
      <c r="B891" s="425" t="s">
        <v>860</v>
      </c>
    </row>
    <row r="892" spans="1:2" ht="15" hidden="1" x14ac:dyDescent="0.25">
      <c r="A892" s="425" t="s">
        <v>860</v>
      </c>
      <c r="B892" s="425" t="s">
        <v>860</v>
      </c>
    </row>
    <row r="893" spans="1:2" ht="15" hidden="1" x14ac:dyDescent="0.25">
      <c r="A893" s="425" t="s">
        <v>861</v>
      </c>
      <c r="B893" s="425" t="s">
        <v>861</v>
      </c>
    </row>
    <row r="894" spans="1:2" ht="15" hidden="1" x14ac:dyDescent="0.25">
      <c r="A894" s="425" t="s">
        <v>862</v>
      </c>
      <c r="B894" s="425" t="s">
        <v>862</v>
      </c>
    </row>
    <row r="895" spans="1:2" ht="15" hidden="1" x14ac:dyDescent="0.25">
      <c r="A895" s="425" t="s">
        <v>863</v>
      </c>
      <c r="B895" s="425" t="s">
        <v>863</v>
      </c>
    </row>
    <row r="896" spans="1:2" ht="15" hidden="1" x14ac:dyDescent="0.25">
      <c r="A896" s="425" t="s">
        <v>864</v>
      </c>
      <c r="B896" s="425" t="s">
        <v>864</v>
      </c>
    </row>
    <row r="897" spans="1:2" ht="15" hidden="1" x14ac:dyDescent="0.25">
      <c r="A897" s="425" t="s">
        <v>865</v>
      </c>
      <c r="B897" s="425" t="s">
        <v>865</v>
      </c>
    </row>
    <row r="898" spans="1:2" ht="15" hidden="1" x14ac:dyDescent="0.25">
      <c r="A898" s="425" t="s">
        <v>866</v>
      </c>
      <c r="B898" s="425" t="s">
        <v>866</v>
      </c>
    </row>
    <row r="899" spans="1:2" ht="15" hidden="1" x14ac:dyDescent="0.25">
      <c r="A899" s="425" t="s">
        <v>866</v>
      </c>
      <c r="B899" s="425" t="s">
        <v>866</v>
      </c>
    </row>
    <row r="900" spans="1:2" ht="15" hidden="1" x14ac:dyDescent="0.25">
      <c r="A900" s="425" t="s">
        <v>867</v>
      </c>
      <c r="B900" s="425" t="s">
        <v>867</v>
      </c>
    </row>
    <row r="901" spans="1:2" ht="15" hidden="1" x14ac:dyDescent="0.25">
      <c r="A901" s="425" t="s">
        <v>868</v>
      </c>
      <c r="B901" s="425" t="s">
        <v>868</v>
      </c>
    </row>
    <row r="902" spans="1:2" ht="15" hidden="1" x14ac:dyDescent="0.25">
      <c r="A902" s="425" t="s">
        <v>869</v>
      </c>
      <c r="B902" s="425" t="s">
        <v>869</v>
      </c>
    </row>
    <row r="903" spans="1:2" ht="15" hidden="1" x14ac:dyDescent="0.25">
      <c r="A903" s="425" t="s">
        <v>870</v>
      </c>
      <c r="B903" s="425" t="s">
        <v>870</v>
      </c>
    </row>
    <row r="904" spans="1:2" ht="15" hidden="1" x14ac:dyDescent="0.25">
      <c r="A904" s="425" t="s">
        <v>871</v>
      </c>
      <c r="B904" s="425" t="s">
        <v>871</v>
      </c>
    </row>
    <row r="905" spans="1:2" ht="15" hidden="1" x14ac:dyDescent="0.25">
      <c r="A905" s="425" t="s">
        <v>872</v>
      </c>
      <c r="B905" s="425" t="s">
        <v>872</v>
      </c>
    </row>
    <row r="906" spans="1:2" ht="15" hidden="1" x14ac:dyDescent="0.25">
      <c r="A906" s="425" t="s">
        <v>873</v>
      </c>
      <c r="B906" s="425" t="s">
        <v>873</v>
      </c>
    </row>
    <row r="907" spans="1:2" ht="15" hidden="1" x14ac:dyDescent="0.25">
      <c r="A907" s="425" t="s">
        <v>874</v>
      </c>
      <c r="B907" s="425" t="s">
        <v>874</v>
      </c>
    </row>
    <row r="908" spans="1:2" ht="15" hidden="1" x14ac:dyDescent="0.25">
      <c r="A908" s="425" t="s">
        <v>875</v>
      </c>
      <c r="B908" s="425" t="s">
        <v>875</v>
      </c>
    </row>
    <row r="909" spans="1:2" ht="15" hidden="1" x14ac:dyDescent="0.25">
      <c r="A909" s="425" t="s">
        <v>876</v>
      </c>
      <c r="B909" s="425" t="s">
        <v>876</v>
      </c>
    </row>
    <row r="910" spans="1:2" ht="15" hidden="1" x14ac:dyDescent="0.25">
      <c r="A910" s="425" t="s">
        <v>877</v>
      </c>
      <c r="B910" s="425" t="s">
        <v>877</v>
      </c>
    </row>
    <row r="911" spans="1:2" ht="15" hidden="1" x14ac:dyDescent="0.25">
      <c r="A911" s="425" t="s">
        <v>878</v>
      </c>
      <c r="B911" s="425" t="s">
        <v>878</v>
      </c>
    </row>
    <row r="912" spans="1:2" ht="15" hidden="1" x14ac:dyDescent="0.25">
      <c r="A912" s="425" t="s">
        <v>879</v>
      </c>
      <c r="B912" s="425" t="s">
        <v>879</v>
      </c>
    </row>
    <row r="913" spans="1:2" ht="15" hidden="1" x14ac:dyDescent="0.25">
      <c r="A913" s="425" t="s">
        <v>880</v>
      </c>
      <c r="B913" s="425" t="s">
        <v>880</v>
      </c>
    </row>
    <row r="914" spans="1:2" ht="15" hidden="1" x14ac:dyDescent="0.25">
      <c r="A914" s="425" t="s">
        <v>881</v>
      </c>
      <c r="B914" s="425" t="s">
        <v>881</v>
      </c>
    </row>
    <row r="915" spans="1:2" ht="15" hidden="1" x14ac:dyDescent="0.25">
      <c r="A915" s="425" t="s">
        <v>882</v>
      </c>
      <c r="B915" s="425" t="s">
        <v>882</v>
      </c>
    </row>
    <row r="916" spans="1:2" ht="15" hidden="1" x14ac:dyDescent="0.25">
      <c r="A916" s="425" t="s">
        <v>883</v>
      </c>
      <c r="B916" s="425" t="s">
        <v>883</v>
      </c>
    </row>
    <row r="917" spans="1:2" ht="15" hidden="1" x14ac:dyDescent="0.25">
      <c r="A917" s="425" t="s">
        <v>884</v>
      </c>
      <c r="B917" s="425" t="s">
        <v>884</v>
      </c>
    </row>
    <row r="918" spans="1:2" ht="15" hidden="1" x14ac:dyDescent="0.25">
      <c r="A918" s="425" t="s">
        <v>885</v>
      </c>
      <c r="B918" s="425" t="s">
        <v>885</v>
      </c>
    </row>
    <row r="919" spans="1:2" ht="15" hidden="1" x14ac:dyDescent="0.25">
      <c r="A919" s="425" t="s">
        <v>886</v>
      </c>
      <c r="B919" s="425" t="s">
        <v>886</v>
      </c>
    </row>
    <row r="920" spans="1:2" ht="15" hidden="1" x14ac:dyDescent="0.25">
      <c r="A920" s="425" t="s">
        <v>887</v>
      </c>
      <c r="B920" s="425" t="s">
        <v>887</v>
      </c>
    </row>
    <row r="921" spans="1:2" ht="15" hidden="1" x14ac:dyDescent="0.25">
      <c r="A921" s="425" t="s">
        <v>887</v>
      </c>
      <c r="B921" s="425" t="s">
        <v>887</v>
      </c>
    </row>
    <row r="922" spans="1:2" ht="15" hidden="1" x14ac:dyDescent="0.25">
      <c r="A922" s="425" t="s">
        <v>888</v>
      </c>
      <c r="B922" s="425" t="s">
        <v>888</v>
      </c>
    </row>
    <row r="923" spans="1:2" ht="15" hidden="1" x14ac:dyDescent="0.25">
      <c r="A923" s="425" t="s">
        <v>889</v>
      </c>
      <c r="B923" s="425" t="s">
        <v>889</v>
      </c>
    </row>
    <row r="924" spans="1:2" ht="15" hidden="1" x14ac:dyDescent="0.25">
      <c r="A924" s="425" t="s">
        <v>890</v>
      </c>
      <c r="B924" s="425" t="s">
        <v>890</v>
      </c>
    </row>
    <row r="925" spans="1:2" ht="15" hidden="1" x14ac:dyDescent="0.25">
      <c r="A925" s="425" t="s">
        <v>891</v>
      </c>
      <c r="B925" s="425" t="s">
        <v>891</v>
      </c>
    </row>
    <row r="926" spans="1:2" ht="15" hidden="1" x14ac:dyDescent="0.25">
      <c r="A926" s="425" t="s">
        <v>892</v>
      </c>
      <c r="B926" s="425" t="s">
        <v>892</v>
      </c>
    </row>
    <row r="927" spans="1:2" ht="15" hidden="1" x14ac:dyDescent="0.25">
      <c r="A927" s="425" t="s">
        <v>893</v>
      </c>
      <c r="B927" s="425" t="s">
        <v>893</v>
      </c>
    </row>
    <row r="928" spans="1:2" ht="15" hidden="1" x14ac:dyDescent="0.25">
      <c r="A928" s="425" t="s">
        <v>894</v>
      </c>
      <c r="B928" s="425" t="s">
        <v>894</v>
      </c>
    </row>
    <row r="929" spans="1:2" ht="15" hidden="1" x14ac:dyDescent="0.25">
      <c r="A929" s="425" t="s">
        <v>895</v>
      </c>
      <c r="B929" s="425" t="s">
        <v>895</v>
      </c>
    </row>
    <row r="930" spans="1:2" ht="15" hidden="1" x14ac:dyDescent="0.25">
      <c r="A930" s="425" t="s">
        <v>896</v>
      </c>
      <c r="B930" s="425" t="s">
        <v>896</v>
      </c>
    </row>
    <row r="931" spans="1:2" ht="15" hidden="1" x14ac:dyDescent="0.25">
      <c r="A931" s="425" t="s">
        <v>897</v>
      </c>
      <c r="B931" s="425" t="s">
        <v>897</v>
      </c>
    </row>
    <row r="932" spans="1:2" ht="15" hidden="1" x14ac:dyDescent="0.25">
      <c r="A932" s="425" t="s">
        <v>897</v>
      </c>
      <c r="B932" s="425" t="s">
        <v>897</v>
      </c>
    </row>
    <row r="933" spans="1:2" ht="15" hidden="1" x14ac:dyDescent="0.25">
      <c r="A933" s="425" t="s">
        <v>898</v>
      </c>
      <c r="B933" s="425" t="s">
        <v>898</v>
      </c>
    </row>
    <row r="934" spans="1:2" ht="15" hidden="1" x14ac:dyDescent="0.25">
      <c r="A934" s="425" t="s">
        <v>899</v>
      </c>
      <c r="B934" s="425" t="s">
        <v>899</v>
      </c>
    </row>
    <row r="935" spans="1:2" ht="15" hidden="1" x14ac:dyDescent="0.25">
      <c r="A935" s="425" t="s">
        <v>900</v>
      </c>
      <c r="B935" s="425" t="s">
        <v>900</v>
      </c>
    </row>
    <row r="936" spans="1:2" ht="15" hidden="1" x14ac:dyDescent="0.25">
      <c r="A936" s="425" t="s">
        <v>901</v>
      </c>
      <c r="B936" s="425" t="s">
        <v>901</v>
      </c>
    </row>
    <row r="937" spans="1:2" ht="15" hidden="1" x14ac:dyDescent="0.25">
      <c r="A937" s="425" t="s">
        <v>902</v>
      </c>
      <c r="B937" s="425" t="s">
        <v>902</v>
      </c>
    </row>
    <row r="938" spans="1:2" ht="15" hidden="1" x14ac:dyDescent="0.25">
      <c r="A938" s="425" t="s">
        <v>903</v>
      </c>
      <c r="B938" s="425" t="s">
        <v>903</v>
      </c>
    </row>
    <row r="939" spans="1:2" ht="15" hidden="1" x14ac:dyDescent="0.25">
      <c r="A939" s="425" t="s">
        <v>904</v>
      </c>
      <c r="B939" s="425" t="s">
        <v>904</v>
      </c>
    </row>
    <row r="940" spans="1:2" ht="15" hidden="1" x14ac:dyDescent="0.25">
      <c r="A940" s="425" t="s">
        <v>905</v>
      </c>
      <c r="B940" s="425" t="s">
        <v>905</v>
      </c>
    </row>
    <row r="941" spans="1:2" ht="15" hidden="1" x14ac:dyDescent="0.25">
      <c r="A941" s="425" t="s">
        <v>906</v>
      </c>
      <c r="B941" s="425" t="s">
        <v>906</v>
      </c>
    </row>
    <row r="942" spans="1:2" ht="15" hidden="1" x14ac:dyDescent="0.25">
      <c r="A942" s="425" t="s">
        <v>907</v>
      </c>
      <c r="B942" s="425" t="s">
        <v>907</v>
      </c>
    </row>
    <row r="943" spans="1:2" ht="15" hidden="1" x14ac:dyDescent="0.25">
      <c r="A943" s="425" t="s">
        <v>907</v>
      </c>
      <c r="B943" s="425" t="s">
        <v>907</v>
      </c>
    </row>
    <row r="944" spans="1:2" ht="15" hidden="1" x14ac:dyDescent="0.25">
      <c r="A944" s="425" t="s">
        <v>908</v>
      </c>
      <c r="B944" s="425" t="s">
        <v>908</v>
      </c>
    </row>
    <row r="945" spans="1:2" ht="15" hidden="1" x14ac:dyDescent="0.25">
      <c r="A945" s="425" t="s">
        <v>909</v>
      </c>
      <c r="B945" s="425" t="s">
        <v>909</v>
      </c>
    </row>
    <row r="946" spans="1:2" ht="15" hidden="1" x14ac:dyDescent="0.25">
      <c r="A946" s="425" t="s">
        <v>910</v>
      </c>
      <c r="B946" s="425" t="s">
        <v>910</v>
      </c>
    </row>
    <row r="947" spans="1:2" ht="15" hidden="1" x14ac:dyDescent="0.25">
      <c r="A947" s="425" t="s">
        <v>910</v>
      </c>
      <c r="B947" s="425" t="s">
        <v>910</v>
      </c>
    </row>
    <row r="948" spans="1:2" ht="15" hidden="1" x14ac:dyDescent="0.25">
      <c r="A948" s="425" t="s">
        <v>911</v>
      </c>
      <c r="B948" s="425" t="s">
        <v>911</v>
      </c>
    </row>
    <row r="949" spans="1:2" ht="15" hidden="1" x14ac:dyDescent="0.25">
      <c r="A949" s="425" t="s">
        <v>912</v>
      </c>
      <c r="B949" s="425" t="s">
        <v>912</v>
      </c>
    </row>
    <row r="950" spans="1:2" ht="15" hidden="1" x14ac:dyDescent="0.25">
      <c r="A950" s="425" t="s">
        <v>913</v>
      </c>
      <c r="B950" s="425" t="s">
        <v>913</v>
      </c>
    </row>
    <row r="951" spans="1:2" ht="15" hidden="1" x14ac:dyDescent="0.25">
      <c r="A951" s="425" t="s">
        <v>914</v>
      </c>
      <c r="B951" s="425" t="s">
        <v>914</v>
      </c>
    </row>
    <row r="952" spans="1:2" ht="15" hidden="1" x14ac:dyDescent="0.25">
      <c r="A952" s="425" t="s">
        <v>915</v>
      </c>
      <c r="B952" s="425" t="s">
        <v>915</v>
      </c>
    </row>
    <row r="953" spans="1:2" ht="15" hidden="1" x14ac:dyDescent="0.25">
      <c r="A953" s="425" t="s">
        <v>916</v>
      </c>
      <c r="B953" s="425" t="s">
        <v>916</v>
      </c>
    </row>
    <row r="954" spans="1:2" ht="15" hidden="1" x14ac:dyDescent="0.25">
      <c r="A954" s="425" t="s">
        <v>917</v>
      </c>
      <c r="B954" s="425" t="s">
        <v>917</v>
      </c>
    </row>
    <row r="955" spans="1:2" ht="15" hidden="1" x14ac:dyDescent="0.25">
      <c r="A955" s="425" t="s">
        <v>918</v>
      </c>
      <c r="B955" s="425" t="s">
        <v>918</v>
      </c>
    </row>
    <row r="956" spans="1:2" ht="15" hidden="1" x14ac:dyDescent="0.25">
      <c r="A956" s="425" t="s">
        <v>919</v>
      </c>
      <c r="B956" s="425" t="s">
        <v>919</v>
      </c>
    </row>
    <row r="957" spans="1:2" ht="15" hidden="1" x14ac:dyDescent="0.25">
      <c r="A957" s="425" t="s">
        <v>920</v>
      </c>
      <c r="B957" s="425" t="s">
        <v>920</v>
      </c>
    </row>
    <row r="958" spans="1:2" ht="15" hidden="1" x14ac:dyDescent="0.25">
      <c r="A958" s="425" t="s">
        <v>921</v>
      </c>
      <c r="B958" s="425" t="s">
        <v>921</v>
      </c>
    </row>
    <row r="959" spans="1:2" ht="15" hidden="1" x14ac:dyDescent="0.25">
      <c r="A959" s="425" t="s">
        <v>922</v>
      </c>
      <c r="B959" s="425" t="s">
        <v>922</v>
      </c>
    </row>
    <row r="960" spans="1:2" ht="15" hidden="1" x14ac:dyDescent="0.25">
      <c r="A960" s="425" t="s">
        <v>923</v>
      </c>
      <c r="B960" s="425" t="s">
        <v>923</v>
      </c>
    </row>
    <row r="961" spans="1:2" ht="15" hidden="1" x14ac:dyDescent="0.25">
      <c r="A961" s="425" t="s">
        <v>924</v>
      </c>
      <c r="B961" s="425" t="s">
        <v>924</v>
      </c>
    </row>
    <row r="962" spans="1:2" ht="15" hidden="1" x14ac:dyDescent="0.25">
      <c r="A962" s="425" t="s">
        <v>925</v>
      </c>
      <c r="B962" s="425" t="s">
        <v>925</v>
      </c>
    </row>
    <row r="963" spans="1:2" ht="15" hidden="1" x14ac:dyDescent="0.25">
      <c r="A963" s="425" t="s">
        <v>926</v>
      </c>
      <c r="B963" s="425" t="s">
        <v>926</v>
      </c>
    </row>
    <row r="964" spans="1:2" ht="15" hidden="1" x14ac:dyDescent="0.25">
      <c r="A964" s="425" t="s">
        <v>927</v>
      </c>
      <c r="B964" s="425" t="s">
        <v>927</v>
      </c>
    </row>
    <row r="965" spans="1:2" ht="15" hidden="1" x14ac:dyDescent="0.25">
      <c r="A965" s="425" t="s">
        <v>928</v>
      </c>
      <c r="B965" s="425" t="s">
        <v>928</v>
      </c>
    </row>
    <row r="966" spans="1:2" ht="15" hidden="1" x14ac:dyDescent="0.25">
      <c r="A966" s="425" t="s">
        <v>929</v>
      </c>
      <c r="B966" s="425" t="s">
        <v>929</v>
      </c>
    </row>
    <row r="967" spans="1:2" ht="15" hidden="1" x14ac:dyDescent="0.25">
      <c r="A967" s="425" t="s">
        <v>930</v>
      </c>
      <c r="B967" s="425" t="s">
        <v>930</v>
      </c>
    </row>
    <row r="968" spans="1:2" ht="15" hidden="1" x14ac:dyDescent="0.25">
      <c r="A968" s="425" t="s">
        <v>931</v>
      </c>
      <c r="B968" s="425" t="s">
        <v>931</v>
      </c>
    </row>
    <row r="969" spans="1:2" ht="15" hidden="1" x14ac:dyDescent="0.25">
      <c r="A969" s="425" t="s">
        <v>931</v>
      </c>
      <c r="B969" s="425" t="s">
        <v>931</v>
      </c>
    </row>
    <row r="970" spans="1:2" ht="15" hidden="1" x14ac:dyDescent="0.25">
      <c r="A970" s="425" t="s">
        <v>932</v>
      </c>
      <c r="B970" s="425" t="s">
        <v>932</v>
      </c>
    </row>
    <row r="971" spans="1:2" ht="15" hidden="1" x14ac:dyDescent="0.25">
      <c r="A971" s="425" t="s">
        <v>932</v>
      </c>
      <c r="B971" s="425" t="s">
        <v>932</v>
      </c>
    </row>
    <row r="972" spans="1:2" ht="15" hidden="1" x14ac:dyDescent="0.25">
      <c r="A972" s="425" t="s">
        <v>933</v>
      </c>
      <c r="B972" s="425" t="s">
        <v>933</v>
      </c>
    </row>
    <row r="973" spans="1:2" ht="15" hidden="1" x14ac:dyDescent="0.25">
      <c r="A973" s="425" t="s">
        <v>934</v>
      </c>
      <c r="B973" s="425" t="s">
        <v>934</v>
      </c>
    </row>
    <row r="974" spans="1:2" ht="15" hidden="1" x14ac:dyDescent="0.25">
      <c r="A974" s="425" t="s">
        <v>935</v>
      </c>
      <c r="B974" s="425" t="s">
        <v>935</v>
      </c>
    </row>
    <row r="975" spans="1:2" ht="15" hidden="1" x14ac:dyDescent="0.25">
      <c r="A975" s="425" t="s">
        <v>936</v>
      </c>
      <c r="B975" s="425" t="s">
        <v>936</v>
      </c>
    </row>
    <row r="976" spans="1:2" ht="15" hidden="1" x14ac:dyDescent="0.25">
      <c r="A976" s="425" t="s">
        <v>937</v>
      </c>
      <c r="B976" s="425" t="s">
        <v>937</v>
      </c>
    </row>
    <row r="977" spans="1:2" ht="15" hidden="1" x14ac:dyDescent="0.25">
      <c r="A977" s="425" t="s">
        <v>937</v>
      </c>
      <c r="B977" s="425" t="s">
        <v>937</v>
      </c>
    </row>
    <row r="978" spans="1:2" ht="15" hidden="1" x14ac:dyDescent="0.25">
      <c r="A978" s="425" t="s">
        <v>938</v>
      </c>
      <c r="B978" s="425" t="s">
        <v>938</v>
      </c>
    </row>
    <row r="979" spans="1:2" ht="15" hidden="1" x14ac:dyDescent="0.25">
      <c r="A979" s="425" t="s">
        <v>939</v>
      </c>
      <c r="B979" s="425" t="s">
        <v>939</v>
      </c>
    </row>
    <row r="980" spans="1:2" ht="15" hidden="1" x14ac:dyDescent="0.25">
      <c r="A980" s="425" t="s">
        <v>940</v>
      </c>
      <c r="B980" s="425" t="s">
        <v>940</v>
      </c>
    </row>
    <row r="981" spans="1:2" ht="15" hidden="1" x14ac:dyDescent="0.25">
      <c r="A981" s="425" t="s">
        <v>941</v>
      </c>
      <c r="B981" s="425" t="s">
        <v>941</v>
      </c>
    </row>
    <row r="982" spans="1:2" ht="15" hidden="1" x14ac:dyDescent="0.25">
      <c r="A982" s="425" t="s">
        <v>942</v>
      </c>
      <c r="B982" s="425" t="s">
        <v>942</v>
      </c>
    </row>
    <row r="983" spans="1:2" ht="15" hidden="1" x14ac:dyDescent="0.25">
      <c r="A983" s="425" t="s">
        <v>943</v>
      </c>
      <c r="B983" s="425" t="s">
        <v>943</v>
      </c>
    </row>
    <row r="984" spans="1:2" ht="15" hidden="1" x14ac:dyDescent="0.25">
      <c r="A984" s="425" t="s">
        <v>944</v>
      </c>
      <c r="B984" s="425" t="s">
        <v>944</v>
      </c>
    </row>
    <row r="985" spans="1:2" ht="15" hidden="1" x14ac:dyDescent="0.25">
      <c r="A985" s="425" t="s">
        <v>945</v>
      </c>
      <c r="B985" s="425" t="s">
        <v>945</v>
      </c>
    </row>
    <row r="986" spans="1:2" ht="15" hidden="1" x14ac:dyDescent="0.25">
      <c r="A986" s="425" t="s">
        <v>946</v>
      </c>
      <c r="B986" s="425" t="s">
        <v>946</v>
      </c>
    </row>
    <row r="987" spans="1:2" ht="15" hidden="1" x14ac:dyDescent="0.25">
      <c r="A987" s="425" t="s">
        <v>946</v>
      </c>
      <c r="B987" s="425" t="s">
        <v>946</v>
      </c>
    </row>
    <row r="988" spans="1:2" ht="15" hidden="1" x14ac:dyDescent="0.25">
      <c r="A988" s="425" t="s">
        <v>947</v>
      </c>
      <c r="B988" s="425" t="s">
        <v>947</v>
      </c>
    </row>
    <row r="989" spans="1:2" ht="15" hidden="1" x14ac:dyDescent="0.25">
      <c r="A989" s="425" t="s">
        <v>948</v>
      </c>
      <c r="B989" s="425" t="s">
        <v>948</v>
      </c>
    </row>
    <row r="990" spans="1:2" ht="15" hidden="1" x14ac:dyDescent="0.25">
      <c r="A990" s="425" t="s">
        <v>948</v>
      </c>
      <c r="B990" s="425" t="s">
        <v>948</v>
      </c>
    </row>
    <row r="991" spans="1:2" ht="15" hidden="1" x14ac:dyDescent="0.25">
      <c r="A991" s="425" t="s">
        <v>949</v>
      </c>
      <c r="B991" s="425" t="s">
        <v>949</v>
      </c>
    </row>
    <row r="992" spans="1:2" ht="15" hidden="1" x14ac:dyDescent="0.25">
      <c r="A992" s="425" t="s">
        <v>950</v>
      </c>
      <c r="B992" s="425" t="s">
        <v>950</v>
      </c>
    </row>
    <row r="993" spans="1:2" ht="15" hidden="1" x14ac:dyDescent="0.25">
      <c r="A993" s="425" t="s">
        <v>951</v>
      </c>
      <c r="B993" s="425" t="s">
        <v>951</v>
      </c>
    </row>
    <row r="994" spans="1:2" ht="15" hidden="1" x14ac:dyDescent="0.25">
      <c r="A994" s="425" t="s">
        <v>951</v>
      </c>
      <c r="B994" s="425" t="s">
        <v>951</v>
      </c>
    </row>
    <row r="995" spans="1:2" ht="15" hidden="1" x14ac:dyDescent="0.25">
      <c r="A995" s="425" t="s">
        <v>952</v>
      </c>
      <c r="B995" s="425" t="s">
        <v>952</v>
      </c>
    </row>
    <row r="996" spans="1:2" ht="15" hidden="1" x14ac:dyDescent="0.25">
      <c r="A996" s="425" t="s">
        <v>953</v>
      </c>
      <c r="B996" s="425" t="s">
        <v>953</v>
      </c>
    </row>
    <row r="997" spans="1:2" ht="15" hidden="1" x14ac:dyDescent="0.25">
      <c r="A997" s="425" t="s">
        <v>954</v>
      </c>
      <c r="B997" s="425" t="s">
        <v>954</v>
      </c>
    </row>
    <row r="998" spans="1:2" ht="15" hidden="1" x14ac:dyDescent="0.25">
      <c r="A998" s="425" t="s">
        <v>955</v>
      </c>
      <c r="B998" s="425" t="s">
        <v>955</v>
      </c>
    </row>
    <row r="999" spans="1:2" ht="15" hidden="1" x14ac:dyDescent="0.25">
      <c r="A999" s="425" t="s">
        <v>956</v>
      </c>
      <c r="B999" s="425" t="s">
        <v>956</v>
      </c>
    </row>
    <row r="1000" spans="1:2" ht="15" hidden="1" x14ac:dyDescent="0.25">
      <c r="A1000" s="425" t="s">
        <v>957</v>
      </c>
      <c r="B1000" s="425" t="s">
        <v>957</v>
      </c>
    </row>
    <row r="1001" spans="1:2" ht="15" hidden="1" x14ac:dyDescent="0.25">
      <c r="A1001" s="425" t="s">
        <v>957</v>
      </c>
      <c r="B1001" s="425" t="s">
        <v>957</v>
      </c>
    </row>
    <row r="1002" spans="1:2" ht="15" hidden="1" x14ac:dyDescent="0.25">
      <c r="A1002" s="425" t="s">
        <v>958</v>
      </c>
      <c r="B1002" s="425" t="s">
        <v>958</v>
      </c>
    </row>
    <row r="1003" spans="1:2" ht="15" hidden="1" x14ac:dyDescent="0.25">
      <c r="A1003" s="425" t="s">
        <v>959</v>
      </c>
      <c r="B1003" s="425" t="s">
        <v>959</v>
      </c>
    </row>
    <row r="1004" spans="1:2" ht="15" hidden="1" x14ac:dyDescent="0.25">
      <c r="A1004" s="425" t="s">
        <v>959</v>
      </c>
      <c r="B1004" s="425" t="s">
        <v>959</v>
      </c>
    </row>
    <row r="1005" spans="1:2" ht="15" hidden="1" x14ac:dyDescent="0.25">
      <c r="A1005" s="425" t="s">
        <v>960</v>
      </c>
      <c r="B1005" s="425" t="s">
        <v>960</v>
      </c>
    </row>
    <row r="1006" spans="1:2" ht="15" hidden="1" x14ac:dyDescent="0.25">
      <c r="A1006" s="425" t="s">
        <v>961</v>
      </c>
      <c r="B1006" s="425" t="s">
        <v>961</v>
      </c>
    </row>
    <row r="1007" spans="1:2" ht="15" hidden="1" x14ac:dyDescent="0.25">
      <c r="A1007" s="425" t="s">
        <v>962</v>
      </c>
      <c r="B1007" s="425" t="s">
        <v>962</v>
      </c>
    </row>
    <row r="1008" spans="1:2" ht="15" hidden="1" x14ac:dyDescent="0.25">
      <c r="A1008" s="425" t="s">
        <v>963</v>
      </c>
      <c r="B1008" s="425" t="s">
        <v>963</v>
      </c>
    </row>
    <row r="1009" spans="1:2" ht="15" hidden="1" x14ac:dyDescent="0.25">
      <c r="A1009" s="425" t="s">
        <v>964</v>
      </c>
      <c r="B1009" s="425" t="s">
        <v>964</v>
      </c>
    </row>
    <row r="1010" spans="1:2" ht="15" hidden="1" x14ac:dyDescent="0.25">
      <c r="A1010" s="425" t="s">
        <v>965</v>
      </c>
      <c r="B1010" s="425" t="s">
        <v>965</v>
      </c>
    </row>
    <row r="1011" spans="1:2" ht="15" hidden="1" x14ac:dyDescent="0.25">
      <c r="A1011" s="425" t="s">
        <v>966</v>
      </c>
      <c r="B1011" s="425" t="s">
        <v>966</v>
      </c>
    </row>
    <row r="1012" spans="1:2" ht="15" hidden="1" x14ac:dyDescent="0.25">
      <c r="A1012" s="425" t="s">
        <v>967</v>
      </c>
      <c r="B1012" s="425" t="s">
        <v>967</v>
      </c>
    </row>
    <row r="1013" spans="1:2" ht="15" hidden="1" x14ac:dyDescent="0.25">
      <c r="A1013" s="425" t="s">
        <v>967</v>
      </c>
      <c r="B1013" s="425" t="s">
        <v>967</v>
      </c>
    </row>
    <row r="1014" spans="1:2" ht="15" hidden="1" x14ac:dyDescent="0.25">
      <c r="A1014" s="425" t="s">
        <v>968</v>
      </c>
      <c r="B1014" s="425" t="s">
        <v>968</v>
      </c>
    </row>
    <row r="1015" spans="1:2" ht="15" hidden="1" x14ac:dyDescent="0.25">
      <c r="A1015" s="425" t="s">
        <v>969</v>
      </c>
      <c r="B1015" s="425" t="s">
        <v>969</v>
      </c>
    </row>
    <row r="1016" spans="1:2" ht="15" hidden="1" x14ac:dyDescent="0.25">
      <c r="A1016" s="425" t="s">
        <v>970</v>
      </c>
      <c r="B1016" s="425" t="s">
        <v>970</v>
      </c>
    </row>
    <row r="1017" spans="1:2" ht="15" hidden="1" x14ac:dyDescent="0.25">
      <c r="A1017" s="425" t="s">
        <v>971</v>
      </c>
      <c r="B1017" s="425" t="s">
        <v>971</v>
      </c>
    </row>
    <row r="1018" spans="1:2" ht="15" hidden="1" x14ac:dyDescent="0.25">
      <c r="A1018" s="425" t="s">
        <v>972</v>
      </c>
      <c r="B1018" s="425" t="s">
        <v>972</v>
      </c>
    </row>
    <row r="1019" spans="1:2" ht="15" hidden="1" x14ac:dyDescent="0.25">
      <c r="A1019" s="425" t="s">
        <v>973</v>
      </c>
      <c r="B1019" s="425" t="s">
        <v>973</v>
      </c>
    </row>
    <row r="1020" spans="1:2" ht="15" hidden="1" x14ac:dyDescent="0.25">
      <c r="A1020" s="425" t="s">
        <v>974</v>
      </c>
      <c r="B1020" s="425" t="s">
        <v>974</v>
      </c>
    </row>
    <row r="1021" spans="1:2" ht="15" hidden="1" x14ac:dyDescent="0.25">
      <c r="A1021" s="425" t="s">
        <v>975</v>
      </c>
      <c r="B1021" s="425" t="s">
        <v>975</v>
      </c>
    </row>
    <row r="1022" spans="1:2" ht="15" hidden="1" x14ac:dyDescent="0.25">
      <c r="A1022" s="425" t="s">
        <v>976</v>
      </c>
      <c r="B1022" s="425" t="s">
        <v>976</v>
      </c>
    </row>
    <row r="1023" spans="1:2" ht="15" hidden="1" x14ac:dyDescent="0.25">
      <c r="A1023" s="425" t="s">
        <v>977</v>
      </c>
      <c r="B1023" s="425" t="s">
        <v>977</v>
      </c>
    </row>
    <row r="1024" spans="1:2" ht="15" hidden="1" x14ac:dyDescent="0.25">
      <c r="A1024" s="425" t="s">
        <v>978</v>
      </c>
      <c r="B1024" s="425" t="s">
        <v>978</v>
      </c>
    </row>
    <row r="1025" spans="1:2" ht="15" hidden="1" x14ac:dyDescent="0.25">
      <c r="A1025" s="425" t="s">
        <v>979</v>
      </c>
      <c r="B1025" s="425" t="s">
        <v>979</v>
      </c>
    </row>
    <row r="1026" spans="1:2" ht="15" hidden="1" x14ac:dyDescent="0.25">
      <c r="A1026" s="425" t="s">
        <v>980</v>
      </c>
      <c r="B1026" s="425" t="s">
        <v>980</v>
      </c>
    </row>
    <row r="1027" spans="1:2" ht="15" hidden="1" x14ac:dyDescent="0.25">
      <c r="A1027" s="425" t="s">
        <v>981</v>
      </c>
      <c r="B1027" s="425" t="s">
        <v>981</v>
      </c>
    </row>
    <row r="1028" spans="1:2" ht="15" hidden="1" x14ac:dyDescent="0.25">
      <c r="A1028" s="425" t="s">
        <v>982</v>
      </c>
      <c r="B1028" s="425" t="s">
        <v>982</v>
      </c>
    </row>
    <row r="1029" spans="1:2" ht="15" hidden="1" x14ac:dyDescent="0.25">
      <c r="A1029" s="425" t="s">
        <v>983</v>
      </c>
      <c r="B1029" s="425" t="s">
        <v>983</v>
      </c>
    </row>
    <row r="1030" spans="1:2" ht="15" hidden="1" x14ac:dyDescent="0.25">
      <c r="A1030" s="425" t="s">
        <v>984</v>
      </c>
      <c r="B1030" s="425" t="s">
        <v>984</v>
      </c>
    </row>
    <row r="1031" spans="1:2" ht="15" hidden="1" x14ac:dyDescent="0.25">
      <c r="A1031" s="425" t="s">
        <v>985</v>
      </c>
      <c r="B1031" s="425" t="s">
        <v>985</v>
      </c>
    </row>
    <row r="1032" spans="1:2" ht="15" hidden="1" x14ac:dyDescent="0.25">
      <c r="A1032" s="425" t="s">
        <v>986</v>
      </c>
      <c r="B1032" s="425" t="s">
        <v>986</v>
      </c>
    </row>
    <row r="1033" spans="1:2" ht="15" hidden="1" x14ac:dyDescent="0.25">
      <c r="A1033" s="425" t="s">
        <v>987</v>
      </c>
      <c r="B1033" s="425" t="s">
        <v>987</v>
      </c>
    </row>
    <row r="1034" spans="1:2" ht="15" hidden="1" x14ac:dyDescent="0.25">
      <c r="A1034" s="425" t="s">
        <v>987</v>
      </c>
      <c r="B1034" s="425" t="s">
        <v>987</v>
      </c>
    </row>
    <row r="1035" spans="1:2" ht="15" hidden="1" x14ac:dyDescent="0.25">
      <c r="A1035" s="425" t="s">
        <v>988</v>
      </c>
      <c r="B1035" s="425" t="s">
        <v>988</v>
      </c>
    </row>
    <row r="1036" spans="1:2" ht="15" hidden="1" x14ac:dyDescent="0.25">
      <c r="A1036" s="425" t="s">
        <v>989</v>
      </c>
      <c r="B1036" s="425" t="s">
        <v>989</v>
      </c>
    </row>
    <row r="1037" spans="1:2" ht="15" hidden="1" x14ac:dyDescent="0.25">
      <c r="A1037" s="425" t="s">
        <v>990</v>
      </c>
      <c r="B1037" s="425" t="s">
        <v>990</v>
      </c>
    </row>
    <row r="1038" spans="1:2" ht="15" hidden="1" x14ac:dyDescent="0.25">
      <c r="A1038" s="425" t="s">
        <v>990</v>
      </c>
      <c r="B1038" s="425" t="s">
        <v>990</v>
      </c>
    </row>
    <row r="1039" spans="1:2" ht="15" hidden="1" x14ac:dyDescent="0.25">
      <c r="A1039" s="425" t="s">
        <v>991</v>
      </c>
      <c r="B1039" s="425" t="s">
        <v>991</v>
      </c>
    </row>
    <row r="1040" spans="1:2" ht="15" hidden="1" x14ac:dyDescent="0.25">
      <c r="A1040" s="425" t="s">
        <v>992</v>
      </c>
      <c r="B1040" s="425" t="s">
        <v>992</v>
      </c>
    </row>
    <row r="1041" spans="1:2" ht="15" hidden="1" x14ac:dyDescent="0.25">
      <c r="A1041" s="425" t="s">
        <v>993</v>
      </c>
      <c r="B1041" s="425" t="s">
        <v>993</v>
      </c>
    </row>
    <row r="1042" spans="1:2" ht="15" hidden="1" x14ac:dyDescent="0.25">
      <c r="A1042" s="425" t="s">
        <v>994</v>
      </c>
      <c r="B1042" s="425" t="s">
        <v>994</v>
      </c>
    </row>
    <row r="1043" spans="1:2" ht="15" hidden="1" x14ac:dyDescent="0.25">
      <c r="A1043" s="425" t="s">
        <v>995</v>
      </c>
      <c r="B1043" s="425" t="s">
        <v>995</v>
      </c>
    </row>
    <row r="1044" spans="1:2" ht="15" hidden="1" x14ac:dyDescent="0.25">
      <c r="A1044" s="425" t="s">
        <v>996</v>
      </c>
      <c r="B1044" s="425" t="s">
        <v>996</v>
      </c>
    </row>
    <row r="1045" spans="1:2" ht="15" hidden="1" x14ac:dyDescent="0.25">
      <c r="A1045" s="425" t="s">
        <v>996</v>
      </c>
      <c r="B1045" s="425" t="s">
        <v>996</v>
      </c>
    </row>
    <row r="1046" spans="1:2" ht="15" hidden="1" x14ac:dyDescent="0.25">
      <c r="A1046" s="425" t="s">
        <v>997</v>
      </c>
      <c r="B1046" s="425" t="s">
        <v>997</v>
      </c>
    </row>
    <row r="1047" spans="1:2" ht="15" hidden="1" x14ac:dyDescent="0.25">
      <c r="A1047" s="425" t="s">
        <v>998</v>
      </c>
      <c r="B1047" s="425" t="s">
        <v>998</v>
      </c>
    </row>
    <row r="1048" spans="1:2" ht="15" hidden="1" x14ac:dyDescent="0.25">
      <c r="A1048" s="425" t="s">
        <v>999</v>
      </c>
      <c r="B1048" s="425" t="s">
        <v>999</v>
      </c>
    </row>
    <row r="1049" spans="1:2" ht="15" hidden="1" x14ac:dyDescent="0.25">
      <c r="A1049" s="425" t="s">
        <v>1000</v>
      </c>
      <c r="B1049" s="425" t="s">
        <v>1000</v>
      </c>
    </row>
    <row r="1050" spans="1:2" ht="15" hidden="1" x14ac:dyDescent="0.25">
      <c r="A1050" s="425" t="s">
        <v>1001</v>
      </c>
      <c r="B1050" s="425" t="s">
        <v>1001</v>
      </c>
    </row>
    <row r="1051" spans="1:2" ht="15" hidden="1" x14ac:dyDescent="0.25">
      <c r="A1051" s="425" t="s">
        <v>1001</v>
      </c>
      <c r="B1051" s="425" t="s">
        <v>1001</v>
      </c>
    </row>
    <row r="1052" spans="1:2" ht="15" hidden="1" x14ac:dyDescent="0.25">
      <c r="A1052" s="425" t="s">
        <v>1002</v>
      </c>
      <c r="B1052" s="425" t="s">
        <v>1002</v>
      </c>
    </row>
    <row r="1053" spans="1:2" ht="15" hidden="1" x14ac:dyDescent="0.25">
      <c r="A1053" s="425" t="s">
        <v>1002</v>
      </c>
      <c r="B1053" s="425" t="s">
        <v>1002</v>
      </c>
    </row>
    <row r="1054" spans="1:2" ht="15" hidden="1" x14ac:dyDescent="0.25">
      <c r="A1054" s="425" t="s">
        <v>1003</v>
      </c>
      <c r="B1054" s="425" t="s">
        <v>1003</v>
      </c>
    </row>
    <row r="1055" spans="1:2" ht="15" hidden="1" x14ac:dyDescent="0.25">
      <c r="A1055" s="425" t="s">
        <v>1004</v>
      </c>
      <c r="B1055" s="425" t="s">
        <v>1004</v>
      </c>
    </row>
    <row r="1056" spans="1:2" ht="15" hidden="1" x14ac:dyDescent="0.25">
      <c r="A1056" s="425" t="s">
        <v>1005</v>
      </c>
      <c r="B1056" s="425" t="s">
        <v>1005</v>
      </c>
    </row>
    <row r="1057" spans="1:2" ht="15" hidden="1" x14ac:dyDescent="0.25">
      <c r="A1057" s="425" t="s">
        <v>1005</v>
      </c>
      <c r="B1057" s="425" t="s">
        <v>1005</v>
      </c>
    </row>
    <row r="1058" spans="1:2" ht="15" hidden="1" x14ac:dyDescent="0.25">
      <c r="A1058" s="425" t="s">
        <v>1006</v>
      </c>
      <c r="B1058" s="425" t="s">
        <v>1006</v>
      </c>
    </row>
    <row r="1059" spans="1:2" ht="15" hidden="1" x14ac:dyDescent="0.25">
      <c r="A1059" s="425" t="s">
        <v>1007</v>
      </c>
      <c r="B1059" s="425" t="s">
        <v>1007</v>
      </c>
    </row>
    <row r="1060" spans="1:2" ht="15" hidden="1" x14ac:dyDescent="0.25">
      <c r="A1060" s="425" t="s">
        <v>1008</v>
      </c>
      <c r="B1060" s="425" t="s">
        <v>1008</v>
      </c>
    </row>
    <row r="1061" spans="1:2" ht="15" hidden="1" x14ac:dyDescent="0.25">
      <c r="A1061" s="425" t="s">
        <v>1009</v>
      </c>
      <c r="B1061" s="425" t="s">
        <v>1009</v>
      </c>
    </row>
    <row r="1062" spans="1:2" ht="15" hidden="1" x14ac:dyDescent="0.25">
      <c r="A1062" s="425" t="s">
        <v>1010</v>
      </c>
      <c r="B1062" s="425" t="s">
        <v>1010</v>
      </c>
    </row>
    <row r="1063" spans="1:2" ht="15" hidden="1" x14ac:dyDescent="0.25">
      <c r="A1063" s="425" t="s">
        <v>1011</v>
      </c>
      <c r="B1063" s="425" t="s">
        <v>1011</v>
      </c>
    </row>
    <row r="1064" spans="1:2" ht="15" hidden="1" x14ac:dyDescent="0.25">
      <c r="A1064" s="425" t="s">
        <v>1012</v>
      </c>
      <c r="B1064" s="425" t="s">
        <v>1012</v>
      </c>
    </row>
    <row r="1065" spans="1:2" ht="15" hidden="1" x14ac:dyDescent="0.25">
      <c r="A1065" s="425" t="s">
        <v>1013</v>
      </c>
      <c r="B1065" s="425" t="s">
        <v>1013</v>
      </c>
    </row>
    <row r="1066" spans="1:2" ht="15" hidden="1" x14ac:dyDescent="0.25">
      <c r="A1066" s="425" t="s">
        <v>1013</v>
      </c>
      <c r="B1066" s="425" t="s">
        <v>1013</v>
      </c>
    </row>
    <row r="1067" spans="1:2" ht="15" hidden="1" x14ac:dyDescent="0.25">
      <c r="A1067" s="425" t="s">
        <v>1014</v>
      </c>
      <c r="B1067" s="425" t="s">
        <v>1014</v>
      </c>
    </row>
    <row r="1068" spans="1:2" ht="15" hidden="1" x14ac:dyDescent="0.25">
      <c r="A1068" s="425" t="s">
        <v>1015</v>
      </c>
      <c r="B1068" s="425" t="s">
        <v>1015</v>
      </c>
    </row>
    <row r="1069" spans="1:2" ht="15" hidden="1" x14ac:dyDescent="0.25">
      <c r="A1069" s="425" t="s">
        <v>1016</v>
      </c>
      <c r="B1069" s="425" t="s">
        <v>1016</v>
      </c>
    </row>
    <row r="1070" spans="1:2" ht="15" hidden="1" x14ac:dyDescent="0.25">
      <c r="A1070" s="425" t="s">
        <v>1017</v>
      </c>
      <c r="B1070" s="425" t="s">
        <v>1017</v>
      </c>
    </row>
    <row r="1071" spans="1:2" ht="15" hidden="1" x14ac:dyDescent="0.25">
      <c r="A1071" s="425" t="s">
        <v>1017</v>
      </c>
      <c r="B1071" s="425" t="s">
        <v>1017</v>
      </c>
    </row>
    <row r="1072" spans="1:2" ht="15" hidden="1" x14ac:dyDescent="0.25">
      <c r="A1072" s="425" t="s">
        <v>1018</v>
      </c>
      <c r="B1072" s="425" t="s">
        <v>1018</v>
      </c>
    </row>
    <row r="1073" spans="1:2" ht="15" hidden="1" x14ac:dyDescent="0.25">
      <c r="A1073" s="425" t="s">
        <v>1018</v>
      </c>
      <c r="B1073" s="425" t="s">
        <v>1018</v>
      </c>
    </row>
    <row r="1074" spans="1:2" ht="15" hidden="1" x14ac:dyDescent="0.25">
      <c r="A1074" s="425" t="s">
        <v>1019</v>
      </c>
      <c r="B1074" s="425" t="s">
        <v>1019</v>
      </c>
    </row>
    <row r="1075" spans="1:2" ht="15" hidden="1" x14ac:dyDescent="0.25">
      <c r="A1075" s="425" t="s">
        <v>1020</v>
      </c>
      <c r="B1075" s="425" t="s">
        <v>1020</v>
      </c>
    </row>
    <row r="1076" spans="1:2" ht="15" hidden="1" x14ac:dyDescent="0.25">
      <c r="A1076" s="425" t="s">
        <v>1021</v>
      </c>
      <c r="B1076" s="425" t="s">
        <v>1021</v>
      </c>
    </row>
    <row r="1077" spans="1:2" ht="15" hidden="1" x14ac:dyDescent="0.25">
      <c r="A1077" s="425" t="s">
        <v>1022</v>
      </c>
      <c r="B1077" s="425" t="s">
        <v>1022</v>
      </c>
    </row>
    <row r="1078" spans="1:2" ht="15" hidden="1" x14ac:dyDescent="0.25">
      <c r="A1078" s="425" t="s">
        <v>1023</v>
      </c>
      <c r="B1078" s="425" t="s">
        <v>1023</v>
      </c>
    </row>
    <row r="1079" spans="1:2" ht="15" hidden="1" x14ac:dyDescent="0.25">
      <c r="A1079" s="425" t="s">
        <v>1024</v>
      </c>
      <c r="B1079" s="425" t="s">
        <v>1024</v>
      </c>
    </row>
    <row r="1080" spans="1:2" ht="15" hidden="1" x14ac:dyDescent="0.25">
      <c r="A1080" s="425" t="s">
        <v>1025</v>
      </c>
      <c r="B1080" s="425" t="s">
        <v>1025</v>
      </c>
    </row>
    <row r="1081" spans="1:2" ht="15" hidden="1" x14ac:dyDescent="0.25">
      <c r="A1081" s="425" t="s">
        <v>1026</v>
      </c>
      <c r="B1081" s="425" t="s">
        <v>1026</v>
      </c>
    </row>
    <row r="1082" spans="1:2" ht="15" hidden="1" x14ac:dyDescent="0.25">
      <c r="A1082" s="425" t="s">
        <v>1027</v>
      </c>
      <c r="B1082" s="425" t="s">
        <v>1027</v>
      </c>
    </row>
    <row r="1083" spans="1:2" ht="15" hidden="1" x14ac:dyDescent="0.25">
      <c r="A1083" s="425" t="s">
        <v>1028</v>
      </c>
      <c r="B1083" s="425" t="s">
        <v>1028</v>
      </c>
    </row>
    <row r="1084" spans="1:2" ht="15" hidden="1" x14ac:dyDescent="0.25">
      <c r="A1084" s="425" t="s">
        <v>1029</v>
      </c>
      <c r="B1084" s="425" t="s">
        <v>1029</v>
      </c>
    </row>
    <row r="1085" spans="1:2" ht="15" hidden="1" x14ac:dyDescent="0.25">
      <c r="A1085" s="425" t="s">
        <v>1030</v>
      </c>
      <c r="B1085" s="425" t="s">
        <v>1030</v>
      </c>
    </row>
    <row r="1086" spans="1:2" ht="15" hidden="1" x14ac:dyDescent="0.25">
      <c r="A1086" s="425" t="s">
        <v>1031</v>
      </c>
      <c r="B1086" s="425" t="s">
        <v>1031</v>
      </c>
    </row>
    <row r="1087" spans="1:2" ht="15" hidden="1" x14ac:dyDescent="0.25">
      <c r="A1087" s="425" t="s">
        <v>1032</v>
      </c>
      <c r="B1087" s="425" t="s">
        <v>1032</v>
      </c>
    </row>
    <row r="1088" spans="1:2" ht="15" hidden="1" x14ac:dyDescent="0.25">
      <c r="A1088" s="425" t="s">
        <v>1033</v>
      </c>
      <c r="B1088" s="425" t="s">
        <v>1033</v>
      </c>
    </row>
    <row r="1089" spans="1:2" ht="15" hidden="1" x14ac:dyDescent="0.25">
      <c r="A1089" s="425" t="s">
        <v>1034</v>
      </c>
      <c r="B1089" s="425" t="s">
        <v>1034</v>
      </c>
    </row>
    <row r="1090" spans="1:2" ht="15" hidden="1" x14ac:dyDescent="0.25">
      <c r="A1090" s="425" t="s">
        <v>1035</v>
      </c>
      <c r="B1090" s="425" t="s">
        <v>1035</v>
      </c>
    </row>
    <row r="1091" spans="1:2" ht="15" hidden="1" x14ac:dyDescent="0.25">
      <c r="A1091" s="425" t="s">
        <v>1036</v>
      </c>
      <c r="B1091" s="425" t="s">
        <v>1036</v>
      </c>
    </row>
    <row r="1092" spans="1:2" ht="15" hidden="1" x14ac:dyDescent="0.25">
      <c r="A1092" s="425" t="s">
        <v>1037</v>
      </c>
      <c r="B1092" s="425" t="s">
        <v>1037</v>
      </c>
    </row>
    <row r="1093" spans="1:2" ht="15" hidden="1" x14ac:dyDescent="0.25">
      <c r="A1093" s="425" t="s">
        <v>1038</v>
      </c>
      <c r="B1093" s="425" t="s">
        <v>1038</v>
      </c>
    </row>
    <row r="1094" spans="1:2" ht="15" hidden="1" x14ac:dyDescent="0.25">
      <c r="A1094" s="425" t="s">
        <v>1039</v>
      </c>
      <c r="B1094" s="425" t="s">
        <v>1039</v>
      </c>
    </row>
    <row r="1095" spans="1:2" ht="15" hidden="1" x14ac:dyDescent="0.25">
      <c r="A1095" s="425" t="s">
        <v>1040</v>
      </c>
      <c r="B1095" s="425" t="s">
        <v>1040</v>
      </c>
    </row>
    <row r="1096" spans="1:2" ht="15" hidden="1" x14ac:dyDescent="0.25">
      <c r="A1096" s="425" t="s">
        <v>1041</v>
      </c>
      <c r="B1096" s="425" t="s">
        <v>1041</v>
      </c>
    </row>
    <row r="1097" spans="1:2" ht="15" hidden="1" x14ac:dyDescent="0.25">
      <c r="A1097" s="425" t="s">
        <v>1042</v>
      </c>
      <c r="B1097" s="425" t="s">
        <v>1042</v>
      </c>
    </row>
    <row r="1098" spans="1:2" ht="15" hidden="1" x14ac:dyDescent="0.25">
      <c r="A1098" s="425" t="s">
        <v>1042</v>
      </c>
      <c r="B1098" s="425" t="s">
        <v>1042</v>
      </c>
    </row>
    <row r="1099" spans="1:2" ht="15" hidden="1" x14ac:dyDescent="0.25">
      <c r="A1099" s="425" t="s">
        <v>1043</v>
      </c>
      <c r="B1099" s="425" t="s">
        <v>1043</v>
      </c>
    </row>
    <row r="1100" spans="1:2" ht="15" hidden="1" x14ac:dyDescent="0.25">
      <c r="A1100" s="425" t="s">
        <v>1044</v>
      </c>
      <c r="B1100" s="425" t="s">
        <v>1044</v>
      </c>
    </row>
    <row r="1101" spans="1:2" ht="15" hidden="1" x14ac:dyDescent="0.25">
      <c r="A1101" s="425" t="s">
        <v>1045</v>
      </c>
      <c r="B1101" s="425" t="s">
        <v>1045</v>
      </c>
    </row>
    <row r="1102" spans="1:2" ht="15" hidden="1" x14ac:dyDescent="0.25">
      <c r="A1102" s="425" t="s">
        <v>1046</v>
      </c>
      <c r="B1102" s="425" t="s">
        <v>1046</v>
      </c>
    </row>
    <row r="1103" spans="1:2" ht="15" hidden="1" x14ac:dyDescent="0.25">
      <c r="A1103" s="425" t="s">
        <v>1046</v>
      </c>
      <c r="B1103" s="425" t="s">
        <v>1046</v>
      </c>
    </row>
    <row r="1104" spans="1:2" ht="15" hidden="1" x14ac:dyDescent="0.25">
      <c r="A1104" s="425" t="s">
        <v>1047</v>
      </c>
      <c r="B1104" s="425" t="s">
        <v>1047</v>
      </c>
    </row>
    <row r="1105" spans="1:2" ht="15" hidden="1" x14ac:dyDescent="0.25">
      <c r="A1105" s="425" t="s">
        <v>1048</v>
      </c>
      <c r="B1105" s="425" t="s">
        <v>1048</v>
      </c>
    </row>
    <row r="1106" spans="1:2" ht="15" hidden="1" x14ac:dyDescent="0.25">
      <c r="A1106" s="425" t="s">
        <v>1049</v>
      </c>
      <c r="B1106" s="425" t="s">
        <v>1049</v>
      </c>
    </row>
    <row r="1107" spans="1:2" ht="15" hidden="1" x14ac:dyDescent="0.25">
      <c r="A1107" s="425" t="s">
        <v>1049</v>
      </c>
      <c r="B1107" s="425" t="s">
        <v>1049</v>
      </c>
    </row>
    <row r="1108" spans="1:2" ht="15" hidden="1" x14ac:dyDescent="0.25">
      <c r="A1108" s="425" t="s">
        <v>1050</v>
      </c>
      <c r="B1108" s="425" t="s">
        <v>1050</v>
      </c>
    </row>
    <row r="1109" spans="1:2" ht="15" hidden="1" x14ac:dyDescent="0.25">
      <c r="A1109" s="425" t="s">
        <v>1050</v>
      </c>
      <c r="B1109" s="425" t="s">
        <v>1050</v>
      </c>
    </row>
    <row r="1110" spans="1:2" ht="15" hidden="1" x14ac:dyDescent="0.25">
      <c r="A1110" s="425" t="s">
        <v>1051</v>
      </c>
      <c r="B1110" s="425" t="s">
        <v>1051</v>
      </c>
    </row>
    <row r="1111" spans="1:2" ht="15" hidden="1" x14ac:dyDescent="0.25">
      <c r="A1111" s="425" t="s">
        <v>1051</v>
      </c>
      <c r="B1111" s="425" t="s">
        <v>1051</v>
      </c>
    </row>
    <row r="1112" spans="1:2" ht="15" hidden="1" x14ac:dyDescent="0.25">
      <c r="A1112" s="425" t="s">
        <v>1052</v>
      </c>
      <c r="B1112" s="425" t="s">
        <v>1052</v>
      </c>
    </row>
    <row r="1113" spans="1:2" ht="15" hidden="1" x14ac:dyDescent="0.25">
      <c r="A1113" s="425" t="s">
        <v>1053</v>
      </c>
      <c r="B1113" s="425" t="s">
        <v>1053</v>
      </c>
    </row>
    <row r="1114" spans="1:2" ht="15" hidden="1" x14ac:dyDescent="0.25">
      <c r="A1114" s="425" t="s">
        <v>1054</v>
      </c>
      <c r="B1114" s="425" t="s">
        <v>1054</v>
      </c>
    </row>
    <row r="1115" spans="1:2" ht="15" hidden="1" x14ac:dyDescent="0.25">
      <c r="A1115" s="425" t="s">
        <v>1055</v>
      </c>
      <c r="B1115" s="425" t="s">
        <v>1055</v>
      </c>
    </row>
    <row r="1116" spans="1:2" ht="15" hidden="1" x14ac:dyDescent="0.25">
      <c r="A1116" s="425" t="s">
        <v>1055</v>
      </c>
      <c r="B1116" s="425" t="s">
        <v>1055</v>
      </c>
    </row>
    <row r="1117" spans="1:2" ht="15" hidden="1" x14ac:dyDescent="0.25">
      <c r="A1117" s="425" t="s">
        <v>1056</v>
      </c>
      <c r="B1117" s="425" t="s">
        <v>1056</v>
      </c>
    </row>
    <row r="1118" spans="1:2" ht="15" hidden="1" x14ac:dyDescent="0.25">
      <c r="A1118" s="425" t="s">
        <v>1057</v>
      </c>
      <c r="B1118" s="425" t="s">
        <v>1057</v>
      </c>
    </row>
    <row r="1119" spans="1:2" ht="15" hidden="1" x14ac:dyDescent="0.25">
      <c r="A1119" s="425" t="s">
        <v>1058</v>
      </c>
      <c r="B1119" s="425" t="s">
        <v>1058</v>
      </c>
    </row>
    <row r="1120" spans="1:2" ht="15" hidden="1" x14ac:dyDescent="0.25">
      <c r="A1120" s="425" t="s">
        <v>1059</v>
      </c>
      <c r="B1120" s="425" t="s">
        <v>1059</v>
      </c>
    </row>
    <row r="1121" spans="1:2" ht="15" hidden="1" x14ac:dyDescent="0.25">
      <c r="A1121" s="425" t="s">
        <v>1060</v>
      </c>
      <c r="B1121" s="425" t="s">
        <v>1060</v>
      </c>
    </row>
    <row r="1122" spans="1:2" ht="15" hidden="1" x14ac:dyDescent="0.25">
      <c r="A1122" s="425" t="s">
        <v>1061</v>
      </c>
      <c r="B1122" s="425" t="s">
        <v>1061</v>
      </c>
    </row>
    <row r="1123" spans="1:2" ht="15" hidden="1" x14ac:dyDescent="0.25">
      <c r="A1123" s="425" t="s">
        <v>1062</v>
      </c>
      <c r="B1123" s="425" t="s">
        <v>1062</v>
      </c>
    </row>
    <row r="1124" spans="1:2" ht="15" hidden="1" x14ac:dyDescent="0.25">
      <c r="A1124" s="425" t="s">
        <v>1063</v>
      </c>
      <c r="B1124" s="425" t="s">
        <v>1063</v>
      </c>
    </row>
    <row r="1125" spans="1:2" ht="15" hidden="1" x14ac:dyDescent="0.25">
      <c r="A1125" s="425" t="s">
        <v>1064</v>
      </c>
      <c r="B1125" s="425" t="s">
        <v>1065</v>
      </c>
    </row>
    <row r="1126" spans="1:2" ht="15" hidden="1" x14ac:dyDescent="0.25">
      <c r="A1126" s="425" t="s">
        <v>1064</v>
      </c>
      <c r="B1126" s="425" t="s">
        <v>1065</v>
      </c>
    </row>
    <row r="1127" spans="1:2" ht="15" hidden="1" x14ac:dyDescent="0.25">
      <c r="A1127" s="425" t="s">
        <v>1066</v>
      </c>
      <c r="B1127" s="425" t="s">
        <v>1067</v>
      </c>
    </row>
    <row r="1128" spans="1:2" ht="15" hidden="1" x14ac:dyDescent="0.25">
      <c r="A1128" s="425" t="s">
        <v>1068</v>
      </c>
      <c r="B1128" s="425" t="s">
        <v>1069</v>
      </c>
    </row>
    <row r="1129" spans="1:2" ht="15" hidden="1" x14ac:dyDescent="0.25">
      <c r="A1129" s="425" t="s">
        <v>1070</v>
      </c>
      <c r="B1129" s="425" t="s">
        <v>1071</v>
      </c>
    </row>
    <row r="1130" spans="1:2" ht="15" hidden="1" x14ac:dyDescent="0.25">
      <c r="A1130" s="426" t="s">
        <v>1070</v>
      </c>
      <c r="B1130" s="425" t="s">
        <v>1071</v>
      </c>
    </row>
    <row r="1131" spans="1:2" ht="15" hidden="1" x14ac:dyDescent="0.25">
      <c r="A1131" s="425" t="s">
        <v>1072</v>
      </c>
      <c r="B1131" s="425" t="s">
        <v>1073</v>
      </c>
    </row>
    <row r="1132" spans="1:2" ht="15" hidden="1" x14ac:dyDescent="0.25">
      <c r="A1132" s="425" t="s">
        <v>1074</v>
      </c>
      <c r="B1132" s="425" t="s">
        <v>1075</v>
      </c>
    </row>
    <row r="1133" spans="1:2" ht="15" hidden="1" x14ac:dyDescent="0.25">
      <c r="A1133" s="425" t="s">
        <v>1074</v>
      </c>
      <c r="B1133" s="425" t="s">
        <v>1075</v>
      </c>
    </row>
    <row r="1134" spans="1:2" ht="15" hidden="1" x14ac:dyDescent="0.25">
      <c r="A1134" s="425" t="s">
        <v>619</v>
      </c>
      <c r="B1134" s="425" t="s">
        <v>620</v>
      </c>
    </row>
    <row r="1135" spans="1:2" ht="15" hidden="1" x14ac:dyDescent="0.25">
      <c r="A1135" s="425" t="s">
        <v>1076</v>
      </c>
      <c r="B1135" s="425" t="s">
        <v>1077</v>
      </c>
    </row>
    <row r="1136" spans="1:2" ht="15" hidden="1" x14ac:dyDescent="0.25">
      <c r="A1136" s="425" t="s">
        <v>1078</v>
      </c>
      <c r="B1136" s="425" t="s">
        <v>1079</v>
      </c>
    </row>
    <row r="1137" spans="1:2" ht="15" hidden="1" x14ac:dyDescent="0.25">
      <c r="A1137" s="425" t="s">
        <v>1080</v>
      </c>
      <c r="B1137" s="425" t="s">
        <v>1081</v>
      </c>
    </row>
    <row r="1138" spans="1:2" ht="15" hidden="1" x14ac:dyDescent="0.25">
      <c r="A1138" s="425" t="s">
        <v>623</v>
      </c>
      <c r="B1138" s="425" t="s">
        <v>624</v>
      </c>
    </row>
    <row r="1139" spans="1:2" ht="15" hidden="1" x14ac:dyDescent="0.25">
      <c r="A1139" s="425" t="s">
        <v>623</v>
      </c>
      <c r="B1139" s="425" t="s">
        <v>624</v>
      </c>
    </row>
    <row r="1140" spans="1:2" ht="15" hidden="1" x14ac:dyDescent="0.25">
      <c r="A1140" s="425" t="s">
        <v>623</v>
      </c>
      <c r="B1140" s="425" t="s">
        <v>624</v>
      </c>
    </row>
    <row r="1141" spans="1:2" ht="15" hidden="1" x14ac:dyDescent="0.25">
      <c r="A1141" s="425" t="s">
        <v>1082</v>
      </c>
      <c r="B1141" s="425" t="s">
        <v>1083</v>
      </c>
    </row>
    <row r="1142" spans="1:2" ht="15" hidden="1" x14ac:dyDescent="0.25">
      <c r="A1142" s="425" t="s">
        <v>1082</v>
      </c>
      <c r="B1142" s="425" t="s">
        <v>1083</v>
      </c>
    </row>
    <row r="1143" spans="1:2" ht="15" hidden="1" x14ac:dyDescent="0.25">
      <c r="A1143" s="425" t="s">
        <v>1084</v>
      </c>
      <c r="B1143" s="425" t="s">
        <v>1085</v>
      </c>
    </row>
    <row r="1144" spans="1:2" ht="15" hidden="1" x14ac:dyDescent="0.25">
      <c r="A1144" s="425" t="s">
        <v>1084</v>
      </c>
      <c r="B1144" s="425" t="s">
        <v>1085</v>
      </c>
    </row>
    <row r="1145" spans="1:2" ht="15" hidden="1" x14ac:dyDescent="0.25">
      <c r="A1145" s="425" t="s">
        <v>1086</v>
      </c>
      <c r="B1145" s="425" t="s">
        <v>1087</v>
      </c>
    </row>
    <row r="1146" spans="1:2" ht="15" hidden="1" x14ac:dyDescent="0.25">
      <c r="A1146" s="425" t="s">
        <v>1088</v>
      </c>
      <c r="B1146" s="425" t="s">
        <v>1089</v>
      </c>
    </row>
    <row r="1147" spans="1:2" ht="15" hidden="1" x14ac:dyDescent="0.25">
      <c r="A1147" s="425" t="s">
        <v>1088</v>
      </c>
      <c r="B1147" s="425" t="s">
        <v>1089</v>
      </c>
    </row>
    <row r="1148" spans="1:2" ht="15" hidden="1" x14ac:dyDescent="0.25">
      <c r="A1148" s="425" t="s">
        <v>1090</v>
      </c>
      <c r="B1148" s="425" t="s">
        <v>1091</v>
      </c>
    </row>
    <row r="1149" spans="1:2" ht="15" hidden="1" x14ac:dyDescent="0.25">
      <c r="A1149" s="425" t="s">
        <v>1090</v>
      </c>
      <c r="B1149" s="425" t="s">
        <v>1091</v>
      </c>
    </row>
    <row r="1150" spans="1:2" ht="15" hidden="1" x14ac:dyDescent="0.25">
      <c r="A1150" s="425" t="s">
        <v>1092</v>
      </c>
      <c r="B1150" s="425" t="s">
        <v>1093</v>
      </c>
    </row>
    <row r="1151" spans="1:2" ht="15" hidden="1" x14ac:dyDescent="0.25">
      <c r="A1151" s="425" t="s">
        <v>1094</v>
      </c>
      <c r="B1151" s="425" t="s">
        <v>1095</v>
      </c>
    </row>
    <row r="1152" spans="1:2" ht="15" hidden="1" x14ac:dyDescent="0.25">
      <c r="A1152" s="425" t="s">
        <v>1096</v>
      </c>
      <c r="B1152" s="425" t="s">
        <v>1097</v>
      </c>
    </row>
    <row r="1153" spans="1:2" ht="15" hidden="1" x14ac:dyDescent="0.25">
      <c r="A1153" s="425" t="s">
        <v>1098</v>
      </c>
      <c r="B1153" s="425" t="s">
        <v>1099</v>
      </c>
    </row>
    <row r="1154" spans="1:2" ht="15" hidden="1" x14ac:dyDescent="0.25">
      <c r="A1154" s="425" t="s">
        <v>669</v>
      </c>
      <c r="B1154" s="425" t="s">
        <v>670</v>
      </c>
    </row>
    <row r="1155" spans="1:2" ht="15" hidden="1" x14ac:dyDescent="0.25">
      <c r="A1155" s="425" t="s">
        <v>669</v>
      </c>
      <c r="B1155" s="425" t="s">
        <v>670</v>
      </c>
    </row>
    <row r="1156" spans="1:2" ht="15" hidden="1" x14ac:dyDescent="0.25">
      <c r="A1156" s="425" t="s">
        <v>669</v>
      </c>
      <c r="B1156" s="425" t="s">
        <v>670</v>
      </c>
    </row>
    <row r="1157" spans="1:2" ht="15" hidden="1" x14ac:dyDescent="0.25">
      <c r="A1157" s="425" t="s">
        <v>669</v>
      </c>
      <c r="B1157" s="425" t="s">
        <v>670</v>
      </c>
    </row>
    <row r="1158" spans="1:2" ht="15" hidden="1" x14ac:dyDescent="0.25">
      <c r="A1158" s="425" t="s">
        <v>669</v>
      </c>
      <c r="B1158" s="425" t="s">
        <v>670</v>
      </c>
    </row>
    <row r="1159" spans="1:2" ht="15" hidden="1" x14ac:dyDescent="0.25">
      <c r="A1159" s="425" t="s">
        <v>1100</v>
      </c>
      <c r="B1159" s="425" t="s">
        <v>1101</v>
      </c>
    </row>
    <row r="1160" spans="1:2" ht="15" hidden="1" x14ac:dyDescent="0.25">
      <c r="A1160" s="425" t="s">
        <v>1102</v>
      </c>
      <c r="B1160" s="425" t="s">
        <v>1103</v>
      </c>
    </row>
    <row r="1161" spans="1:2" ht="15" hidden="1" x14ac:dyDescent="0.25">
      <c r="A1161" s="425" t="s">
        <v>1104</v>
      </c>
      <c r="B1161" s="425" t="s">
        <v>1105</v>
      </c>
    </row>
    <row r="1162" spans="1:2" ht="15" hidden="1" x14ac:dyDescent="0.25">
      <c r="A1162" s="425" t="s">
        <v>1106</v>
      </c>
      <c r="B1162" s="425" t="s">
        <v>1107</v>
      </c>
    </row>
    <row r="1163" spans="1:2" ht="15" hidden="1" x14ac:dyDescent="0.25">
      <c r="A1163" s="425" t="s">
        <v>1108</v>
      </c>
      <c r="B1163" s="425" t="s">
        <v>1109</v>
      </c>
    </row>
    <row r="1164" spans="1:2" ht="15" hidden="1" x14ac:dyDescent="0.25">
      <c r="A1164" s="425" t="s">
        <v>1110</v>
      </c>
      <c r="B1164" s="425" t="s">
        <v>1111</v>
      </c>
    </row>
    <row r="1165" spans="1:2" ht="15" hidden="1" x14ac:dyDescent="0.25">
      <c r="A1165" s="425" t="s">
        <v>1112</v>
      </c>
      <c r="B1165" s="425" t="s">
        <v>1113</v>
      </c>
    </row>
    <row r="1166" spans="1:2" ht="15" hidden="1" x14ac:dyDescent="0.25">
      <c r="A1166" s="425" t="s">
        <v>1114</v>
      </c>
      <c r="B1166" s="425" t="s">
        <v>1115</v>
      </c>
    </row>
    <row r="1167" spans="1:2" ht="15" hidden="1" x14ac:dyDescent="0.25">
      <c r="A1167" s="425" t="s">
        <v>1116</v>
      </c>
      <c r="B1167" s="425" t="s">
        <v>1117</v>
      </c>
    </row>
    <row r="1168" spans="1:2" ht="15" hidden="1" x14ac:dyDescent="0.25">
      <c r="A1168" s="425" t="s">
        <v>685</v>
      </c>
      <c r="B1168" s="425" t="s">
        <v>686</v>
      </c>
    </row>
    <row r="1169" spans="1:2" ht="15" hidden="1" x14ac:dyDescent="0.25">
      <c r="A1169" s="425" t="s">
        <v>685</v>
      </c>
      <c r="B1169" s="425" t="s">
        <v>686</v>
      </c>
    </row>
    <row r="1170" spans="1:2" ht="15" hidden="1" x14ac:dyDescent="0.25">
      <c r="A1170" s="425" t="s">
        <v>685</v>
      </c>
      <c r="B1170" s="425" t="s">
        <v>686</v>
      </c>
    </row>
    <row r="1171" spans="1:2" ht="15" hidden="1" x14ac:dyDescent="0.25">
      <c r="A1171" s="425" t="s">
        <v>1118</v>
      </c>
      <c r="B1171" s="425" t="s">
        <v>1119</v>
      </c>
    </row>
    <row r="1172" spans="1:2" ht="15" hidden="1" x14ac:dyDescent="0.25">
      <c r="A1172" s="425" t="s">
        <v>1120</v>
      </c>
      <c r="B1172" s="425" t="s">
        <v>1121</v>
      </c>
    </row>
    <row r="1173" spans="1:2" ht="15" hidden="1" x14ac:dyDescent="0.25">
      <c r="A1173" s="425" t="s">
        <v>1122</v>
      </c>
      <c r="B1173" s="425" t="s">
        <v>1123</v>
      </c>
    </row>
    <row r="1174" spans="1:2" ht="15" hidden="1" x14ac:dyDescent="0.25">
      <c r="A1174" s="425" t="s">
        <v>1124</v>
      </c>
      <c r="B1174" s="425" t="s">
        <v>1125</v>
      </c>
    </row>
    <row r="1175" spans="1:2" ht="15" hidden="1" x14ac:dyDescent="0.25">
      <c r="A1175" s="425" t="s">
        <v>1124</v>
      </c>
      <c r="B1175" s="425" t="s">
        <v>1125</v>
      </c>
    </row>
    <row r="1176" spans="1:2" ht="15" hidden="1" x14ac:dyDescent="0.25">
      <c r="A1176" s="425" t="s">
        <v>1126</v>
      </c>
      <c r="B1176" s="425" t="s">
        <v>1127</v>
      </c>
    </row>
    <row r="1177" spans="1:2" ht="15" hidden="1" x14ac:dyDescent="0.25">
      <c r="A1177" s="425" t="s">
        <v>1128</v>
      </c>
      <c r="B1177" s="425" t="s">
        <v>1129</v>
      </c>
    </row>
    <row r="1178" spans="1:2" ht="15" hidden="1" x14ac:dyDescent="0.25">
      <c r="A1178" s="425" t="s">
        <v>1128</v>
      </c>
      <c r="B1178" s="425" t="s">
        <v>1129</v>
      </c>
    </row>
    <row r="1179" spans="1:2" ht="15" hidden="1" x14ac:dyDescent="0.25">
      <c r="A1179" s="425" t="s">
        <v>1130</v>
      </c>
      <c r="B1179" s="425" t="s">
        <v>1129</v>
      </c>
    </row>
    <row r="1180" spans="1:2" ht="15" hidden="1" x14ac:dyDescent="0.25">
      <c r="A1180" s="425" t="s">
        <v>1130</v>
      </c>
      <c r="B1180" s="425" t="s">
        <v>1129</v>
      </c>
    </row>
    <row r="1181" spans="1:2" ht="15" hidden="1" x14ac:dyDescent="0.25">
      <c r="A1181" s="425" t="s">
        <v>1131</v>
      </c>
      <c r="B1181" s="425" t="s">
        <v>1132</v>
      </c>
    </row>
    <row r="1182" spans="1:2" ht="15" hidden="1" x14ac:dyDescent="0.25">
      <c r="A1182" s="425" t="s">
        <v>1133</v>
      </c>
      <c r="B1182" s="425" t="s">
        <v>1134</v>
      </c>
    </row>
    <row r="1183" spans="1:2" ht="15" hidden="1" x14ac:dyDescent="0.25">
      <c r="A1183" s="425" t="s">
        <v>1133</v>
      </c>
      <c r="B1183" s="425" t="s">
        <v>1134</v>
      </c>
    </row>
    <row r="1184" spans="1:2" ht="15" hidden="1" x14ac:dyDescent="0.25">
      <c r="A1184" s="425" t="s">
        <v>1135</v>
      </c>
      <c r="B1184" s="425" t="s">
        <v>1136</v>
      </c>
    </row>
    <row r="1185" spans="1:2" ht="15" hidden="1" x14ac:dyDescent="0.25">
      <c r="A1185" s="425" t="s">
        <v>1137</v>
      </c>
      <c r="B1185" s="425" t="s">
        <v>1138</v>
      </c>
    </row>
    <row r="1186" spans="1:2" ht="15" hidden="1" x14ac:dyDescent="0.25">
      <c r="A1186" s="425" t="s">
        <v>709</v>
      </c>
      <c r="B1186" s="425" t="s">
        <v>710</v>
      </c>
    </row>
    <row r="1187" spans="1:2" ht="15" hidden="1" x14ac:dyDescent="0.25">
      <c r="A1187" s="425" t="s">
        <v>1139</v>
      </c>
      <c r="B1187" s="425" t="s">
        <v>1140</v>
      </c>
    </row>
    <row r="1188" spans="1:2" ht="15" hidden="1" x14ac:dyDescent="0.25">
      <c r="A1188" s="425" t="s">
        <v>1141</v>
      </c>
      <c r="B1188" s="425" t="s">
        <v>1142</v>
      </c>
    </row>
    <row r="1189" spans="1:2" ht="15" hidden="1" x14ac:dyDescent="0.25">
      <c r="A1189" s="425" t="s">
        <v>1143</v>
      </c>
      <c r="B1189" s="425" t="s">
        <v>1144</v>
      </c>
    </row>
    <row r="1190" spans="1:2" ht="15" hidden="1" x14ac:dyDescent="0.25">
      <c r="A1190" s="425" t="s">
        <v>1145</v>
      </c>
      <c r="B1190" s="425" t="s">
        <v>1146</v>
      </c>
    </row>
    <row r="1191" spans="1:2" ht="15" hidden="1" x14ac:dyDescent="0.25">
      <c r="A1191" s="425" t="s">
        <v>713</v>
      </c>
      <c r="B1191" s="425" t="s">
        <v>714</v>
      </c>
    </row>
    <row r="1192" spans="1:2" ht="15" hidden="1" x14ac:dyDescent="0.25">
      <c r="A1192" s="425" t="s">
        <v>1147</v>
      </c>
      <c r="B1192" s="425" t="s">
        <v>1148</v>
      </c>
    </row>
    <row r="1193" spans="1:2" ht="15" hidden="1" x14ac:dyDescent="0.25">
      <c r="A1193" s="425" t="s">
        <v>1147</v>
      </c>
      <c r="B1193" s="425" t="s">
        <v>1148</v>
      </c>
    </row>
    <row r="1194" spans="1:2" ht="15" hidden="1" x14ac:dyDescent="0.25">
      <c r="A1194" s="425" t="s">
        <v>1147</v>
      </c>
      <c r="B1194" s="425" t="s">
        <v>1148</v>
      </c>
    </row>
    <row r="1195" spans="1:2" ht="15" hidden="1" x14ac:dyDescent="0.25">
      <c r="A1195" s="425" t="s">
        <v>1147</v>
      </c>
      <c r="B1195" s="425" t="s">
        <v>1148</v>
      </c>
    </row>
    <row r="1196" spans="1:2" ht="15" hidden="1" x14ac:dyDescent="0.25">
      <c r="A1196" s="425" t="s">
        <v>1149</v>
      </c>
      <c r="B1196" s="425" t="s">
        <v>1150</v>
      </c>
    </row>
    <row r="1197" spans="1:2" ht="15" hidden="1" x14ac:dyDescent="0.25">
      <c r="A1197" s="425" t="s">
        <v>1149</v>
      </c>
      <c r="B1197" s="425" t="s">
        <v>1150</v>
      </c>
    </row>
    <row r="1198" spans="1:2" ht="15" hidden="1" x14ac:dyDescent="0.25">
      <c r="A1198" s="425" t="s">
        <v>1151</v>
      </c>
      <c r="B1198" s="425" t="s">
        <v>1152</v>
      </c>
    </row>
    <row r="1199" spans="1:2" ht="15" hidden="1" x14ac:dyDescent="0.25">
      <c r="A1199" s="425" t="s">
        <v>1153</v>
      </c>
      <c r="B1199" s="425" t="s">
        <v>1154</v>
      </c>
    </row>
    <row r="1200" spans="1:2" ht="15" hidden="1" x14ac:dyDescent="0.25">
      <c r="A1200" s="425" t="s">
        <v>727</v>
      </c>
      <c r="B1200" s="425" t="s">
        <v>728</v>
      </c>
    </row>
    <row r="1201" spans="1:2" ht="15" hidden="1" x14ac:dyDescent="0.25">
      <c r="A1201" s="425" t="s">
        <v>727</v>
      </c>
      <c r="B1201" s="425" t="s">
        <v>728</v>
      </c>
    </row>
    <row r="1202" spans="1:2" ht="15" hidden="1" x14ac:dyDescent="0.25">
      <c r="A1202" s="425" t="s">
        <v>727</v>
      </c>
      <c r="B1202" s="425" t="s">
        <v>728</v>
      </c>
    </row>
    <row r="1203" spans="1:2" ht="15" hidden="1" x14ac:dyDescent="0.25">
      <c r="A1203" s="425" t="s">
        <v>1155</v>
      </c>
      <c r="B1203" s="425" t="s">
        <v>1156</v>
      </c>
    </row>
    <row r="1204" spans="1:2" ht="15" hidden="1" x14ac:dyDescent="0.25">
      <c r="A1204" s="425" t="s">
        <v>1155</v>
      </c>
      <c r="B1204" s="425" t="s">
        <v>1156</v>
      </c>
    </row>
    <row r="1205" spans="1:2" ht="15" hidden="1" x14ac:dyDescent="0.25">
      <c r="A1205" s="426" t="s">
        <v>1157</v>
      </c>
      <c r="B1205" s="425" t="s">
        <v>1158</v>
      </c>
    </row>
    <row r="1206" spans="1:2" ht="15" hidden="1" x14ac:dyDescent="0.25">
      <c r="A1206" s="425" t="s">
        <v>1159</v>
      </c>
      <c r="B1206" s="425" t="s">
        <v>1160</v>
      </c>
    </row>
    <row r="1207" spans="1:2" ht="15" hidden="1" x14ac:dyDescent="0.25">
      <c r="A1207" s="425" t="s">
        <v>1161</v>
      </c>
      <c r="B1207" s="425" t="s">
        <v>1162</v>
      </c>
    </row>
    <row r="1208" spans="1:2" ht="15" hidden="1" x14ac:dyDescent="0.25">
      <c r="A1208" s="425" t="s">
        <v>1163</v>
      </c>
      <c r="B1208" s="425" t="s">
        <v>1164</v>
      </c>
    </row>
    <row r="1209" spans="1:2" ht="15" hidden="1" x14ac:dyDescent="0.25">
      <c r="A1209" s="425" t="s">
        <v>1165</v>
      </c>
      <c r="B1209" s="425" t="s">
        <v>1166</v>
      </c>
    </row>
    <row r="1210" spans="1:2" ht="15" hidden="1" x14ac:dyDescent="0.25">
      <c r="A1210" s="425" t="s">
        <v>1165</v>
      </c>
      <c r="B1210" s="425" t="s">
        <v>1166</v>
      </c>
    </row>
    <row r="1211" spans="1:2" ht="15" hidden="1" x14ac:dyDescent="0.25">
      <c r="A1211" s="425" t="s">
        <v>1167</v>
      </c>
      <c r="B1211" s="425" t="s">
        <v>1168</v>
      </c>
    </row>
    <row r="1212" spans="1:2" ht="15" hidden="1" x14ac:dyDescent="0.25">
      <c r="A1212" s="425" t="s">
        <v>1169</v>
      </c>
      <c r="B1212" s="425" t="s">
        <v>1170</v>
      </c>
    </row>
    <row r="1213" spans="1:2" ht="15" hidden="1" x14ac:dyDescent="0.25">
      <c r="A1213" s="425" t="s">
        <v>1171</v>
      </c>
      <c r="B1213" s="425" t="s">
        <v>1172</v>
      </c>
    </row>
    <row r="1214" spans="1:2" ht="15" hidden="1" x14ac:dyDescent="0.25">
      <c r="A1214" s="425" t="s">
        <v>1173</v>
      </c>
      <c r="B1214" s="425" t="s">
        <v>1174</v>
      </c>
    </row>
    <row r="1215" spans="1:2" ht="15" hidden="1" x14ac:dyDescent="0.25">
      <c r="A1215" s="425" t="s">
        <v>1175</v>
      </c>
      <c r="B1215" s="425" t="s">
        <v>1176</v>
      </c>
    </row>
    <row r="1216" spans="1:2" ht="15" hidden="1" x14ac:dyDescent="0.25">
      <c r="A1216" s="425" t="s">
        <v>1175</v>
      </c>
      <c r="B1216" s="425" t="s">
        <v>1176</v>
      </c>
    </row>
    <row r="1217" spans="1:2" ht="15" hidden="1" x14ac:dyDescent="0.25">
      <c r="A1217" s="425" t="s">
        <v>1177</v>
      </c>
      <c r="B1217" s="425" t="s">
        <v>1178</v>
      </c>
    </row>
    <row r="1218" spans="1:2" ht="15" hidden="1" x14ac:dyDescent="0.25">
      <c r="A1218" s="427" t="s">
        <v>1177</v>
      </c>
      <c r="B1218" s="427" t="s">
        <v>1179</v>
      </c>
    </row>
    <row r="1219" spans="1:2" ht="15" hidden="1" x14ac:dyDescent="0.25">
      <c r="A1219" s="425" t="s">
        <v>1180</v>
      </c>
      <c r="B1219" s="425" t="s">
        <v>1181</v>
      </c>
    </row>
    <row r="1220" spans="1:2" ht="15" hidden="1" x14ac:dyDescent="0.25">
      <c r="A1220" s="425" t="s">
        <v>1180</v>
      </c>
      <c r="B1220" s="425" t="s">
        <v>1181</v>
      </c>
    </row>
    <row r="1221" spans="1:2" ht="15" hidden="1" x14ac:dyDescent="0.25">
      <c r="A1221" s="425" t="s">
        <v>1182</v>
      </c>
      <c r="B1221" s="425" t="s">
        <v>1183</v>
      </c>
    </row>
    <row r="1222" spans="1:2" ht="15" hidden="1" x14ac:dyDescent="0.25">
      <c r="A1222" s="425" t="s">
        <v>1184</v>
      </c>
      <c r="B1222" s="425" t="s">
        <v>1185</v>
      </c>
    </row>
    <row r="1223" spans="1:2" ht="15" hidden="1" x14ac:dyDescent="0.25">
      <c r="A1223" s="425" t="s">
        <v>1186</v>
      </c>
      <c r="B1223" s="425" t="s">
        <v>1187</v>
      </c>
    </row>
    <row r="1224" spans="1:2" ht="15" hidden="1" x14ac:dyDescent="0.25">
      <c r="A1224" s="425" t="s">
        <v>1188</v>
      </c>
      <c r="B1224" s="425" t="s">
        <v>1189</v>
      </c>
    </row>
    <row r="1225" spans="1:2" ht="15" hidden="1" x14ac:dyDescent="0.25">
      <c r="A1225" s="425" t="s">
        <v>1190</v>
      </c>
      <c r="B1225" s="425" t="s">
        <v>1191</v>
      </c>
    </row>
    <row r="1226" spans="1:2" ht="15" hidden="1" x14ac:dyDescent="0.25">
      <c r="A1226" s="425" t="s">
        <v>1192</v>
      </c>
      <c r="B1226" s="425" t="s">
        <v>1193</v>
      </c>
    </row>
    <row r="1227" spans="1:2" ht="15" hidden="1" x14ac:dyDescent="0.25">
      <c r="A1227" s="425" t="s">
        <v>1194</v>
      </c>
      <c r="B1227" s="425" t="s">
        <v>1195</v>
      </c>
    </row>
    <row r="1228" spans="1:2" ht="15" hidden="1" x14ac:dyDescent="0.25">
      <c r="A1228" s="425" t="s">
        <v>1194</v>
      </c>
      <c r="B1228" s="425" t="s">
        <v>1195</v>
      </c>
    </row>
    <row r="1229" spans="1:2" ht="15" hidden="1" x14ac:dyDescent="0.25">
      <c r="A1229" s="425" t="s">
        <v>1196</v>
      </c>
      <c r="B1229" s="425" t="s">
        <v>1197</v>
      </c>
    </row>
    <row r="1230" spans="1:2" ht="15" hidden="1" x14ac:dyDescent="0.25">
      <c r="A1230" s="425" t="s">
        <v>1196</v>
      </c>
      <c r="B1230" s="425" t="s">
        <v>1197</v>
      </c>
    </row>
    <row r="1231" spans="1:2" ht="15" hidden="1" x14ac:dyDescent="0.25">
      <c r="A1231" s="425" t="s">
        <v>789</v>
      </c>
      <c r="B1231" s="425" t="s">
        <v>790</v>
      </c>
    </row>
    <row r="1232" spans="1:2" ht="15" hidden="1" x14ac:dyDescent="0.25">
      <c r="A1232" s="425" t="s">
        <v>789</v>
      </c>
      <c r="B1232" s="425" t="s">
        <v>790</v>
      </c>
    </row>
    <row r="1233" spans="1:2" ht="15" hidden="1" x14ac:dyDescent="0.25">
      <c r="A1233" s="425" t="s">
        <v>1198</v>
      </c>
      <c r="B1233" s="425" t="s">
        <v>1199</v>
      </c>
    </row>
    <row r="1234" spans="1:2" ht="15" hidden="1" x14ac:dyDescent="0.25">
      <c r="A1234" s="425" t="s">
        <v>1200</v>
      </c>
      <c r="B1234" s="425" t="s">
        <v>1201</v>
      </c>
    </row>
    <row r="1235" spans="1:2" ht="15" hidden="1" x14ac:dyDescent="0.25">
      <c r="A1235" s="425" t="s">
        <v>1200</v>
      </c>
      <c r="B1235" s="425" t="s">
        <v>1201</v>
      </c>
    </row>
    <row r="1236" spans="1:2" ht="15" hidden="1" x14ac:dyDescent="0.25">
      <c r="A1236" s="425" t="s">
        <v>1200</v>
      </c>
      <c r="B1236" s="425" t="s">
        <v>1201</v>
      </c>
    </row>
    <row r="1237" spans="1:2" ht="15" hidden="1" x14ac:dyDescent="0.25">
      <c r="A1237" s="425" t="s">
        <v>1202</v>
      </c>
      <c r="B1237" s="425" t="s">
        <v>1203</v>
      </c>
    </row>
    <row r="1238" spans="1:2" ht="15" hidden="1" x14ac:dyDescent="0.25">
      <c r="A1238" s="425" t="s">
        <v>1202</v>
      </c>
      <c r="B1238" s="425" t="s">
        <v>1203</v>
      </c>
    </row>
    <row r="1239" spans="1:2" ht="15" hidden="1" x14ac:dyDescent="0.25">
      <c r="A1239" s="425" t="s">
        <v>795</v>
      </c>
      <c r="B1239" s="425" t="s">
        <v>796</v>
      </c>
    </row>
    <row r="1240" spans="1:2" ht="15" hidden="1" x14ac:dyDescent="0.25">
      <c r="A1240" s="425" t="s">
        <v>1204</v>
      </c>
      <c r="B1240" s="425" t="s">
        <v>1205</v>
      </c>
    </row>
    <row r="1241" spans="1:2" ht="15" hidden="1" x14ac:dyDescent="0.25">
      <c r="A1241" s="425" t="s">
        <v>1206</v>
      </c>
      <c r="B1241" s="425" t="s">
        <v>1207</v>
      </c>
    </row>
    <row r="1242" spans="1:2" ht="15" hidden="1" x14ac:dyDescent="0.25">
      <c r="A1242" s="425" t="s">
        <v>1208</v>
      </c>
      <c r="B1242" s="425" t="s">
        <v>1209</v>
      </c>
    </row>
    <row r="1243" spans="1:2" ht="15" hidden="1" x14ac:dyDescent="0.25">
      <c r="A1243" s="425" t="s">
        <v>1210</v>
      </c>
      <c r="B1243" s="425" t="s">
        <v>1211</v>
      </c>
    </row>
    <row r="1244" spans="1:2" ht="15" hidden="1" x14ac:dyDescent="0.25">
      <c r="A1244" s="425" t="s">
        <v>1212</v>
      </c>
      <c r="B1244" s="425" t="s">
        <v>1213</v>
      </c>
    </row>
    <row r="1245" spans="1:2" ht="15" hidden="1" x14ac:dyDescent="0.25">
      <c r="A1245" s="425" t="s">
        <v>1214</v>
      </c>
      <c r="B1245" s="425" t="s">
        <v>818</v>
      </c>
    </row>
    <row r="1246" spans="1:2" ht="15" hidden="1" x14ac:dyDescent="0.25">
      <c r="A1246" s="425" t="s">
        <v>1215</v>
      </c>
      <c r="B1246" s="425" t="s">
        <v>1216</v>
      </c>
    </row>
    <row r="1247" spans="1:2" ht="15" hidden="1" x14ac:dyDescent="0.25">
      <c r="A1247" s="425" t="s">
        <v>1217</v>
      </c>
      <c r="B1247" s="425" t="s">
        <v>1218</v>
      </c>
    </row>
    <row r="1248" spans="1:2" ht="15" hidden="1" x14ac:dyDescent="0.25">
      <c r="A1248" s="425" t="s">
        <v>1219</v>
      </c>
      <c r="B1248" s="425" t="s">
        <v>1220</v>
      </c>
    </row>
    <row r="1249" spans="1:2" ht="15" hidden="1" x14ac:dyDescent="0.25">
      <c r="A1249" s="426" t="s">
        <v>1219</v>
      </c>
      <c r="B1249" s="425" t="s">
        <v>1220</v>
      </c>
    </row>
    <row r="1250" spans="1:2" ht="15" hidden="1" x14ac:dyDescent="0.25">
      <c r="A1250" s="425" t="s">
        <v>1221</v>
      </c>
      <c r="B1250" s="425" t="s">
        <v>1222</v>
      </c>
    </row>
    <row r="1251" spans="1:2" ht="15" hidden="1" x14ac:dyDescent="0.25">
      <c r="A1251" s="425" t="s">
        <v>1221</v>
      </c>
      <c r="B1251" s="425" t="s">
        <v>1222</v>
      </c>
    </row>
    <row r="1252" spans="1:2" ht="15" hidden="1" x14ac:dyDescent="0.25">
      <c r="A1252" s="425" t="s">
        <v>1221</v>
      </c>
      <c r="B1252" s="425" t="s">
        <v>1222</v>
      </c>
    </row>
    <row r="1253" spans="1:2" ht="15" hidden="1" x14ac:dyDescent="0.25">
      <c r="A1253" s="425" t="s">
        <v>1223</v>
      </c>
      <c r="B1253" s="425" t="s">
        <v>1224</v>
      </c>
    </row>
    <row r="1254" spans="1:2" ht="15" hidden="1" x14ac:dyDescent="0.25">
      <c r="A1254" s="425" t="s">
        <v>1225</v>
      </c>
      <c r="B1254" s="425" t="s">
        <v>1226</v>
      </c>
    </row>
    <row r="1255" spans="1:2" ht="15" hidden="1" x14ac:dyDescent="0.25">
      <c r="A1255" s="425" t="s">
        <v>1227</v>
      </c>
      <c r="B1255" s="425" t="s">
        <v>1228</v>
      </c>
    </row>
    <row r="1256" spans="1:2" ht="15" hidden="1" x14ac:dyDescent="0.25">
      <c r="A1256" s="425" t="s">
        <v>1229</v>
      </c>
      <c r="B1256" s="425" t="s">
        <v>1230</v>
      </c>
    </row>
    <row r="1257" spans="1:2" ht="15" hidden="1" x14ac:dyDescent="0.25">
      <c r="A1257" s="425" t="s">
        <v>1231</v>
      </c>
      <c r="B1257" s="425" t="s">
        <v>1232</v>
      </c>
    </row>
    <row r="1258" spans="1:2" ht="15" hidden="1" x14ac:dyDescent="0.25">
      <c r="A1258" s="425" t="s">
        <v>1233</v>
      </c>
      <c r="B1258" s="425" t="s">
        <v>1234</v>
      </c>
    </row>
    <row r="1259" spans="1:2" ht="15" hidden="1" x14ac:dyDescent="0.25">
      <c r="A1259" s="425" t="s">
        <v>1235</v>
      </c>
      <c r="B1259" s="425" t="s">
        <v>1236</v>
      </c>
    </row>
    <row r="1260" spans="1:2" ht="15" hidden="1" x14ac:dyDescent="0.25">
      <c r="A1260" s="425" t="s">
        <v>1237</v>
      </c>
      <c r="B1260" s="425" t="s">
        <v>1238</v>
      </c>
    </row>
    <row r="1261" spans="1:2" ht="15" hidden="1" x14ac:dyDescent="0.25">
      <c r="A1261" s="426" t="s">
        <v>1237</v>
      </c>
      <c r="B1261" s="425" t="s">
        <v>1238</v>
      </c>
    </row>
    <row r="1262" spans="1:2" ht="15" hidden="1" x14ac:dyDescent="0.25">
      <c r="A1262" s="425" t="s">
        <v>1237</v>
      </c>
      <c r="B1262" s="425" t="s">
        <v>1238</v>
      </c>
    </row>
    <row r="1263" spans="1:2" ht="15" hidden="1" x14ac:dyDescent="0.25">
      <c r="A1263" s="425" t="s">
        <v>1239</v>
      </c>
      <c r="B1263" s="425" t="s">
        <v>1240</v>
      </c>
    </row>
    <row r="1264" spans="1:2" ht="15" hidden="1" x14ac:dyDescent="0.25">
      <c r="A1264" s="425" t="s">
        <v>1241</v>
      </c>
      <c r="B1264" s="425" t="s">
        <v>1242</v>
      </c>
    </row>
    <row r="1265" spans="1:2" ht="15" hidden="1" x14ac:dyDescent="0.25">
      <c r="A1265" s="425" t="s">
        <v>1241</v>
      </c>
      <c r="B1265" s="425" t="s">
        <v>1242</v>
      </c>
    </row>
    <row r="1266" spans="1:2" ht="15" hidden="1" x14ac:dyDescent="0.25">
      <c r="A1266" s="425" t="s">
        <v>1243</v>
      </c>
      <c r="B1266" s="425" t="s">
        <v>1244</v>
      </c>
    </row>
    <row r="1267" spans="1:2" ht="15" hidden="1" x14ac:dyDescent="0.25">
      <c r="A1267" s="425" t="s">
        <v>1245</v>
      </c>
      <c r="B1267" s="425" t="s">
        <v>1246</v>
      </c>
    </row>
    <row r="1268" spans="1:2" ht="15" hidden="1" x14ac:dyDescent="0.25">
      <c r="A1268" s="425" t="s">
        <v>1247</v>
      </c>
      <c r="B1268" s="425" t="s">
        <v>1248</v>
      </c>
    </row>
    <row r="1269" spans="1:2" ht="15" hidden="1" x14ac:dyDescent="0.25">
      <c r="A1269" s="425" t="s">
        <v>1249</v>
      </c>
      <c r="B1269" s="425" t="s">
        <v>1250</v>
      </c>
    </row>
    <row r="1270" spans="1:2" ht="15" hidden="1" x14ac:dyDescent="0.25">
      <c r="A1270" s="425" t="s">
        <v>1251</v>
      </c>
      <c r="B1270" s="425" t="s">
        <v>1252</v>
      </c>
    </row>
    <row r="1271" spans="1:2" ht="15" hidden="1" x14ac:dyDescent="0.25">
      <c r="A1271" s="426" t="s">
        <v>1253</v>
      </c>
      <c r="B1271" s="425" t="s">
        <v>1254</v>
      </c>
    </row>
    <row r="1272" spans="1:2" ht="15" hidden="1" x14ac:dyDescent="0.25">
      <c r="A1272" s="425" t="s">
        <v>1255</v>
      </c>
      <c r="B1272" s="425" t="s">
        <v>1256</v>
      </c>
    </row>
    <row r="1273" spans="1:2" ht="15" hidden="1" x14ac:dyDescent="0.25">
      <c r="A1273" s="425" t="s">
        <v>1257</v>
      </c>
      <c r="B1273" s="425" t="s">
        <v>1258</v>
      </c>
    </row>
    <row r="1274" spans="1:2" ht="15" hidden="1" x14ac:dyDescent="0.25">
      <c r="A1274" s="425" t="s">
        <v>1259</v>
      </c>
      <c r="B1274" s="425" t="s">
        <v>1260</v>
      </c>
    </row>
    <row r="1275" spans="1:2" ht="15" hidden="1" x14ac:dyDescent="0.25">
      <c r="A1275" s="425" t="s">
        <v>208</v>
      </c>
      <c r="B1275" s="425" t="s">
        <v>309</v>
      </c>
    </row>
    <row r="1276" spans="1:2" ht="15" hidden="1" x14ac:dyDescent="0.25">
      <c r="A1276" s="425" t="s">
        <v>208</v>
      </c>
      <c r="B1276" s="425" t="s">
        <v>309</v>
      </c>
    </row>
    <row r="1277" spans="1:2" ht="15" hidden="1" x14ac:dyDescent="0.25">
      <c r="A1277" s="425" t="s">
        <v>208</v>
      </c>
      <c r="B1277" s="425" t="s">
        <v>309</v>
      </c>
    </row>
    <row r="1278" spans="1:2" ht="15" hidden="1" x14ac:dyDescent="0.25">
      <c r="A1278" s="425" t="s">
        <v>208</v>
      </c>
      <c r="B1278" s="425" t="s">
        <v>309</v>
      </c>
    </row>
    <row r="1279" spans="1:2" ht="15" hidden="1" x14ac:dyDescent="0.25">
      <c r="A1279" s="425" t="s">
        <v>208</v>
      </c>
      <c r="B1279" s="425" t="s">
        <v>309</v>
      </c>
    </row>
    <row r="1280" spans="1:2" ht="15" hidden="1" x14ac:dyDescent="0.25">
      <c r="A1280" s="425" t="s">
        <v>208</v>
      </c>
      <c r="B1280" s="425" t="s">
        <v>309</v>
      </c>
    </row>
    <row r="1281" spans="1:2" ht="15" hidden="1" x14ac:dyDescent="0.25">
      <c r="A1281" s="425" t="s">
        <v>208</v>
      </c>
      <c r="B1281" s="425" t="s">
        <v>309</v>
      </c>
    </row>
    <row r="1282" spans="1:2" ht="15" hidden="1" x14ac:dyDescent="0.25">
      <c r="A1282" s="425" t="s">
        <v>208</v>
      </c>
      <c r="B1282" s="425" t="s">
        <v>309</v>
      </c>
    </row>
    <row r="1283" spans="1:2" ht="15" hidden="1" x14ac:dyDescent="0.25">
      <c r="A1283" s="425" t="s">
        <v>179</v>
      </c>
      <c r="B1283" s="425" t="s">
        <v>311</v>
      </c>
    </row>
    <row r="1284" spans="1:2" ht="15" hidden="1" x14ac:dyDescent="0.25">
      <c r="A1284" s="425" t="s">
        <v>179</v>
      </c>
      <c r="B1284" s="425" t="s">
        <v>311</v>
      </c>
    </row>
    <row r="1285" spans="1:2" ht="15" hidden="1" x14ac:dyDescent="0.25">
      <c r="A1285" s="425" t="s">
        <v>179</v>
      </c>
      <c r="B1285" s="425" t="s">
        <v>311</v>
      </c>
    </row>
    <row r="1286" spans="1:2" ht="15" hidden="1" x14ac:dyDescent="0.25">
      <c r="A1286" s="425" t="s">
        <v>179</v>
      </c>
      <c r="B1286" s="425" t="s">
        <v>311</v>
      </c>
    </row>
    <row r="1287" spans="1:2" ht="15" hidden="1" x14ac:dyDescent="0.25">
      <c r="A1287" s="425" t="s">
        <v>179</v>
      </c>
      <c r="B1287" s="425" t="s">
        <v>311</v>
      </c>
    </row>
    <row r="1288" spans="1:2" ht="15" hidden="1" x14ac:dyDescent="0.25">
      <c r="A1288" s="425" t="s">
        <v>179</v>
      </c>
      <c r="B1288" s="425" t="s">
        <v>311</v>
      </c>
    </row>
    <row r="1289" spans="1:2" ht="15" hidden="1" x14ac:dyDescent="0.25">
      <c r="A1289" s="425" t="s">
        <v>179</v>
      </c>
      <c r="B1289" s="425" t="s">
        <v>311</v>
      </c>
    </row>
    <row r="1290" spans="1:2" ht="15" hidden="1" x14ac:dyDescent="0.25">
      <c r="A1290" s="425" t="s">
        <v>179</v>
      </c>
      <c r="B1290" s="425" t="s">
        <v>311</v>
      </c>
    </row>
    <row r="1291" spans="1:2" ht="15" hidden="1" x14ac:dyDescent="0.25">
      <c r="A1291" s="425" t="s">
        <v>179</v>
      </c>
      <c r="B1291" s="425" t="s">
        <v>311</v>
      </c>
    </row>
    <row r="1292" spans="1:2" ht="15" hidden="1" x14ac:dyDescent="0.25">
      <c r="A1292" s="425" t="s">
        <v>179</v>
      </c>
      <c r="B1292" s="425" t="s">
        <v>311</v>
      </c>
    </row>
    <row r="1293" spans="1:2" ht="15" hidden="1" x14ac:dyDescent="0.25">
      <c r="A1293" s="425" t="s">
        <v>179</v>
      </c>
      <c r="B1293" s="425" t="s">
        <v>311</v>
      </c>
    </row>
    <row r="1294" spans="1:2" ht="15" hidden="1" x14ac:dyDescent="0.25">
      <c r="A1294" s="425" t="s">
        <v>179</v>
      </c>
      <c r="B1294" s="425" t="s">
        <v>311</v>
      </c>
    </row>
    <row r="1295" spans="1:2" ht="15" hidden="1" x14ac:dyDescent="0.25">
      <c r="A1295" s="425" t="s">
        <v>179</v>
      </c>
      <c r="B1295" s="425" t="s">
        <v>311</v>
      </c>
    </row>
    <row r="1296" spans="1:2" ht="15" hidden="1" x14ac:dyDescent="0.25">
      <c r="A1296" s="425" t="s">
        <v>395</v>
      </c>
      <c r="B1296" s="425" t="s">
        <v>396</v>
      </c>
    </row>
    <row r="1297" spans="1:2" ht="15" hidden="1" x14ac:dyDescent="0.25">
      <c r="A1297" s="425" t="s">
        <v>395</v>
      </c>
      <c r="B1297" s="425" t="s">
        <v>396</v>
      </c>
    </row>
    <row r="1298" spans="1:2" ht="15" hidden="1" x14ac:dyDescent="0.25">
      <c r="A1298" s="425" t="s">
        <v>395</v>
      </c>
      <c r="B1298" s="425" t="s">
        <v>396</v>
      </c>
    </row>
    <row r="1299" spans="1:2" ht="15" hidden="1" x14ac:dyDescent="0.25">
      <c r="A1299" s="425" t="s">
        <v>395</v>
      </c>
      <c r="B1299" s="425" t="s">
        <v>396</v>
      </c>
    </row>
    <row r="1300" spans="1:2" ht="15" hidden="1" x14ac:dyDescent="0.25">
      <c r="A1300" s="425" t="s">
        <v>395</v>
      </c>
      <c r="B1300" s="425" t="s">
        <v>396</v>
      </c>
    </row>
    <row r="1301" spans="1:2" ht="15" hidden="1" x14ac:dyDescent="0.25">
      <c r="A1301" s="425" t="s">
        <v>395</v>
      </c>
      <c r="B1301" s="425" t="s">
        <v>396</v>
      </c>
    </row>
    <row r="1302" spans="1:2" ht="15" hidden="1" x14ac:dyDescent="0.25">
      <c r="A1302" s="425" t="s">
        <v>1261</v>
      </c>
      <c r="B1302" s="425" t="s">
        <v>1262</v>
      </c>
    </row>
    <row r="1303" spans="1:2" ht="15" hidden="1" x14ac:dyDescent="0.25">
      <c r="A1303" s="425" t="s">
        <v>209</v>
      </c>
      <c r="B1303" s="425" t="s">
        <v>314</v>
      </c>
    </row>
    <row r="1304" spans="1:2" ht="15" hidden="1" x14ac:dyDescent="0.25">
      <c r="A1304" s="425" t="s">
        <v>209</v>
      </c>
      <c r="B1304" s="425" t="s">
        <v>314</v>
      </c>
    </row>
    <row r="1305" spans="1:2" ht="15" hidden="1" x14ac:dyDescent="0.25">
      <c r="A1305" s="425" t="s">
        <v>182</v>
      </c>
      <c r="B1305" s="425" t="s">
        <v>315</v>
      </c>
    </row>
    <row r="1306" spans="1:2" ht="15" hidden="1" x14ac:dyDescent="0.25">
      <c r="A1306" s="425" t="s">
        <v>182</v>
      </c>
      <c r="B1306" s="425" t="s">
        <v>315</v>
      </c>
    </row>
    <row r="1307" spans="1:2" ht="15" hidden="1" x14ac:dyDescent="0.25">
      <c r="A1307" s="425" t="s">
        <v>182</v>
      </c>
      <c r="B1307" s="425" t="s">
        <v>315</v>
      </c>
    </row>
    <row r="1308" spans="1:2" ht="15" hidden="1" x14ac:dyDescent="0.25">
      <c r="A1308" s="425" t="s">
        <v>210</v>
      </c>
      <c r="B1308" s="425" t="s">
        <v>316</v>
      </c>
    </row>
    <row r="1309" spans="1:2" ht="15" hidden="1" x14ac:dyDescent="0.25">
      <c r="A1309" s="425" t="s">
        <v>210</v>
      </c>
      <c r="B1309" s="425" t="s">
        <v>316</v>
      </c>
    </row>
    <row r="1310" spans="1:2" ht="15" hidden="1" x14ac:dyDescent="0.25">
      <c r="A1310" s="425" t="s">
        <v>210</v>
      </c>
      <c r="B1310" s="425" t="s">
        <v>316</v>
      </c>
    </row>
    <row r="1311" spans="1:2" ht="15" hidden="1" x14ac:dyDescent="0.25">
      <c r="A1311" s="425" t="s">
        <v>210</v>
      </c>
      <c r="B1311" s="425" t="s">
        <v>316</v>
      </c>
    </row>
    <row r="1312" spans="1:2" ht="15" hidden="1" x14ac:dyDescent="0.25">
      <c r="A1312" s="425" t="s">
        <v>210</v>
      </c>
      <c r="B1312" s="425" t="s">
        <v>316</v>
      </c>
    </row>
    <row r="1313" spans="1:2" ht="15" hidden="1" x14ac:dyDescent="0.25">
      <c r="A1313" s="425" t="s">
        <v>183</v>
      </c>
      <c r="B1313" s="425" t="s">
        <v>317</v>
      </c>
    </row>
    <row r="1314" spans="1:2" ht="15" hidden="1" x14ac:dyDescent="0.25">
      <c r="A1314" s="425" t="s">
        <v>184</v>
      </c>
      <c r="B1314" s="425" t="s">
        <v>318</v>
      </c>
    </row>
    <row r="1315" spans="1:2" ht="15" hidden="1" x14ac:dyDescent="0.25">
      <c r="A1315" s="425" t="s">
        <v>185</v>
      </c>
      <c r="B1315" s="425" t="s">
        <v>319</v>
      </c>
    </row>
    <row r="1316" spans="1:2" ht="15" hidden="1" x14ac:dyDescent="0.25">
      <c r="A1316" s="425" t="s">
        <v>185</v>
      </c>
      <c r="B1316" s="425" t="s">
        <v>319</v>
      </c>
    </row>
    <row r="1317" spans="1:2" ht="15" hidden="1" x14ac:dyDescent="0.25">
      <c r="A1317" s="425" t="s">
        <v>185</v>
      </c>
      <c r="B1317" s="425" t="s">
        <v>319</v>
      </c>
    </row>
    <row r="1318" spans="1:2" ht="15" hidden="1" x14ac:dyDescent="0.25">
      <c r="A1318" s="425" t="s">
        <v>185</v>
      </c>
      <c r="B1318" s="425" t="s">
        <v>319</v>
      </c>
    </row>
    <row r="1319" spans="1:2" ht="15" hidden="1" x14ac:dyDescent="0.25">
      <c r="A1319" s="425" t="s">
        <v>1263</v>
      </c>
      <c r="B1319" s="425" t="s">
        <v>1264</v>
      </c>
    </row>
    <row r="1320" spans="1:2" ht="15" hidden="1" x14ac:dyDescent="0.25">
      <c r="A1320" s="425" t="s">
        <v>1265</v>
      </c>
      <c r="B1320" s="425" t="s">
        <v>1266</v>
      </c>
    </row>
    <row r="1321" spans="1:2" ht="15" hidden="1" x14ac:dyDescent="0.25">
      <c r="A1321" s="425" t="s">
        <v>1267</v>
      </c>
      <c r="B1321" s="425" t="s">
        <v>1268</v>
      </c>
    </row>
    <row r="1322" spans="1:2" ht="15" hidden="1" x14ac:dyDescent="0.25">
      <c r="A1322" s="425" t="s">
        <v>1267</v>
      </c>
      <c r="B1322" s="425" t="s">
        <v>1268</v>
      </c>
    </row>
    <row r="1323" spans="1:2" ht="15" hidden="1" x14ac:dyDescent="0.25">
      <c r="A1323" s="425" t="s">
        <v>1267</v>
      </c>
      <c r="B1323" s="425" t="s">
        <v>1268</v>
      </c>
    </row>
    <row r="1324" spans="1:2" ht="15" hidden="1" x14ac:dyDescent="0.25">
      <c r="A1324" s="425" t="s">
        <v>1267</v>
      </c>
      <c r="B1324" s="425" t="s">
        <v>1268</v>
      </c>
    </row>
    <row r="1325" spans="1:2" ht="15" hidden="1" x14ac:dyDescent="0.25">
      <c r="A1325" s="425" t="s">
        <v>187</v>
      </c>
      <c r="B1325" s="425" t="s">
        <v>322</v>
      </c>
    </row>
    <row r="1326" spans="1:2" ht="15" hidden="1" x14ac:dyDescent="0.25">
      <c r="A1326" s="425" t="s">
        <v>1269</v>
      </c>
      <c r="B1326" s="425" t="s">
        <v>1270</v>
      </c>
    </row>
    <row r="1327" spans="1:2" ht="15" hidden="1" x14ac:dyDescent="0.25">
      <c r="A1327" s="425" t="s">
        <v>1269</v>
      </c>
      <c r="B1327" s="425" t="s">
        <v>1270</v>
      </c>
    </row>
    <row r="1328" spans="1:2" ht="15" hidden="1" x14ac:dyDescent="0.25">
      <c r="A1328" s="425" t="s">
        <v>1271</v>
      </c>
      <c r="B1328" s="425" t="s">
        <v>1271</v>
      </c>
    </row>
    <row r="1329" spans="1:2" ht="15" hidden="1" x14ac:dyDescent="0.25">
      <c r="A1329" s="425" t="s">
        <v>1272</v>
      </c>
      <c r="B1329" s="425" t="s">
        <v>1272</v>
      </c>
    </row>
    <row r="1330" spans="1:2" ht="15" hidden="1" x14ac:dyDescent="0.25">
      <c r="A1330" s="425" t="s">
        <v>1273</v>
      </c>
      <c r="B1330" s="425" t="s">
        <v>1273</v>
      </c>
    </row>
    <row r="1331" spans="1:2" ht="15" hidden="1" x14ac:dyDescent="0.25">
      <c r="A1331" s="425" t="s">
        <v>1274</v>
      </c>
      <c r="B1331" s="425" t="s">
        <v>1274</v>
      </c>
    </row>
    <row r="1332" spans="1:2" ht="15" hidden="1" x14ac:dyDescent="0.25">
      <c r="A1332" s="425" t="s">
        <v>1275</v>
      </c>
      <c r="B1332" s="425" t="s">
        <v>1275</v>
      </c>
    </row>
    <row r="1333" spans="1:2" ht="15" hidden="1" x14ac:dyDescent="0.25">
      <c r="A1333" s="425" t="s">
        <v>1276</v>
      </c>
      <c r="B1333" s="425" t="s">
        <v>1276</v>
      </c>
    </row>
    <row r="1334" spans="1:2" ht="15" hidden="1" x14ac:dyDescent="0.25">
      <c r="A1334" s="425" t="s">
        <v>1277</v>
      </c>
      <c r="B1334" s="425" t="s">
        <v>1277</v>
      </c>
    </row>
    <row r="1335" spans="1:2" ht="15" hidden="1" x14ac:dyDescent="0.25">
      <c r="A1335" s="425" t="s">
        <v>1278</v>
      </c>
      <c r="B1335" s="425" t="s">
        <v>1278</v>
      </c>
    </row>
    <row r="1336" spans="1:2" ht="15" hidden="1" x14ac:dyDescent="0.25">
      <c r="A1336" s="425" t="s">
        <v>1279</v>
      </c>
      <c r="B1336" s="425" t="s">
        <v>1279</v>
      </c>
    </row>
    <row r="1337" spans="1:2" ht="15" hidden="1" x14ac:dyDescent="0.25">
      <c r="A1337" s="425" t="s">
        <v>1280</v>
      </c>
      <c r="B1337" s="425" t="s">
        <v>1280</v>
      </c>
    </row>
    <row r="1338" spans="1:2" ht="15" hidden="1" x14ac:dyDescent="0.25">
      <c r="A1338" s="425" t="s">
        <v>1281</v>
      </c>
      <c r="B1338" s="425" t="s">
        <v>1281</v>
      </c>
    </row>
    <row r="1339" spans="1:2" ht="15" hidden="1" x14ac:dyDescent="0.25">
      <c r="A1339" s="425" t="s">
        <v>1282</v>
      </c>
      <c r="B1339" s="425" t="s">
        <v>1282</v>
      </c>
    </row>
    <row r="1340" spans="1:2" ht="15" hidden="1" x14ac:dyDescent="0.25">
      <c r="A1340" s="425" t="s">
        <v>1283</v>
      </c>
      <c r="B1340" s="425" t="s">
        <v>1283</v>
      </c>
    </row>
    <row r="1341" spans="1:2" ht="15" hidden="1" x14ac:dyDescent="0.25">
      <c r="A1341" s="425" t="s">
        <v>1284</v>
      </c>
      <c r="B1341" s="425" t="s">
        <v>1284</v>
      </c>
    </row>
    <row r="1342" spans="1:2" ht="15" hidden="1" x14ac:dyDescent="0.25">
      <c r="A1342" s="425" t="s">
        <v>1285</v>
      </c>
      <c r="B1342" s="425" t="s">
        <v>1285</v>
      </c>
    </row>
    <row r="1343" spans="1:2" ht="15" hidden="1" x14ac:dyDescent="0.25">
      <c r="A1343" s="425" t="s">
        <v>1286</v>
      </c>
      <c r="B1343" s="425" t="s">
        <v>1286</v>
      </c>
    </row>
    <row r="1344" spans="1:2" ht="15" hidden="1" x14ac:dyDescent="0.25">
      <c r="A1344" s="425" t="s">
        <v>1287</v>
      </c>
      <c r="B1344" s="425" t="s">
        <v>1287</v>
      </c>
    </row>
    <row r="1345" spans="1:2" ht="15" hidden="1" x14ac:dyDescent="0.25">
      <c r="A1345" s="425" t="s">
        <v>1288</v>
      </c>
      <c r="B1345" s="425" t="s">
        <v>1288</v>
      </c>
    </row>
    <row r="1346" spans="1:2" ht="15" hidden="1" x14ac:dyDescent="0.25">
      <c r="A1346" s="425" t="s">
        <v>1289</v>
      </c>
      <c r="B1346" s="425" t="s">
        <v>1289</v>
      </c>
    </row>
    <row r="1347" spans="1:2" ht="15" hidden="1" x14ac:dyDescent="0.25">
      <c r="A1347" s="425" t="s">
        <v>1290</v>
      </c>
      <c r="B1347" s="425" t="s">
        <v>1290</v>
      </c>
    </row>
    <row r="1348" spans="1:2" ht="15" hidden="1" x14ac:dyDescent="0.25">
      <c r="A1348" s="425" t="s">
        <v>1291</v>
      </c>
      <c r="B1348" s="425" t="s">
        <v>1291</v>
      </c>
    </row>
    <row r="1349" spans="1:2" ht="15" hidden="1" x14ac:dyDescent="0.25">
      <c r="A1349" s="425" t="s">
        <v>1292</v>
      </c>
      <c r="B1349" s="425" t="s">
        <v>1292</v>
      </c>
    </row>
    <row r="1350" spans="1:2" ht="15" hidden="1" x14ac:dyDescent="0.25">
      <c r="A1350" s="425" t="s">
        <v>1293</v>
      </c>
      <c r="B1350" s="425" t="s">
        <v>1293</v>
      </c>
    </row>
    <row r="1351" spans="1:2" ht="15" hidden="1" x14ac:dyDescent="0.25">
      <c r="A1351" s="425" t="s">
        <v>1293</v>
      </c>
      <c r="B1351" s="425" t="s">
        <v>1293</v>
      </c>
    </row>
    <row r="1352" spans="1:2" ht="15" hidden="1" x14ac:dyDescent="0.25">
      <c r="A1352" s="425" t="s">
        <v>1294</v>
      </c>
      <c r="B1352" s="425" t="s">
        <v>1294</v>
      </c>
    </row>
    <row r="1353" spans="1:2" ht="15" hidden="1" x14ac:dyDescent="0.25">
      <c r="A1353" s="425" t="s">
        <v>1295</v>
      </c>
      <c r="B1353" s="425" t="s">
        <v>1295</v>
      </c>
    </row>
    <row r="1354" spans="1:2" ht="15" hidden="1" x14ac:dyDescent="0.25">
      <c r="A1354" s="425" t="s">
        <v>1296</v>
      </c>
      <c r="B1354" s="425" t="s">
        <v>1296</v>
      </c>
    </row>
    <row r="1355" spans="1:2" ht="15" hidden="1" x14ac:dyDescent="0.25">
      <c r="A1355" s="425" t="s">
        <v>1297</v>
      </c>
      <c r="B1355" s="425" t="s">
        <v>1297</v>
      </c>
    </row>
    <row r="1356" spans="1:2" ht="15" hidden="1" x14ac:dyDescent="0.25">
      <c r="A1356" s="425" t="s">
        <v>1298</v>
      </c>
      <c r="B1356" s="425" t="s">
        <v>1298</v>
      </c>
    </row>
    <row r="1357" spans="1:2" ht="15" hidden="1" x14ac:dyDescent="0.25">
      <c r="A1357" s="425" t="s">
        <v>1299</v>
      </c>
      <c r="B1357" s="425" t="s">
        <v>1299</v>
      </c>
    </row>
    <row r="1358" spans="1:2" ht="15" hidden="1" x14ac:dyDescent="0.25">
      <c r="A1358" s="425" t="s">
        <v>1300</v>
      </c>
      <c r="B1358" s="425" t="s">
        <v>1300</v>
      </c>
    </row>
    <row r="1359" spans="1:2" ht="15" hidden="1" x14ac:dyDescent="0.25">
      <c r="A1359" s="425" t="s">
        <v>1301</v>
      </c>
      <c r="B1359" s="425" t="s">
        <v>1301</v>
      </c>
    </row>
    <row r="1360" spans="1:2" ht="15" hidden="1" x14ac:dyDescent="0.25">
      <c r="A1360" s="425" t="s">
        <v>1302</v>
      </c>
      <c r="B1360" s="425" t="s">
        <v>1302</v>
      </c>
    </row>
    <row r="1361" spans="1:2" ht="15" hidden="1" x14ac:dyDescent="0.25">
      <c r="A1361" s="425" t="s">
        <v>1302</v>
      </c>
      <c r="B1361" s="425" t="s">
        <v>1302</v>
      </c>
    </row>
    <row r="1362" spans="1:2" ht="15" hidden="1" x14ac:dyDescent="0.25">
      <c r="A1362" s="425" t="s">
        <v>1303</v>
      </c>
      <c r="B1362" s="425" t="s">
        <v>1303</v>
      </c>
    </row>
    <row r="1363" spans="1:2" ht="15" hidden="1" x14ac:dyDescent="0.25">
      <c r="A1363" s="425" t="s">
        <v>1304</v>
      </c>
      <c r="B1363" s="425" t="s">
        <v>1304</v>
      </c>
    </row>
    <row r="1364" spans="1:2" ht="15" hidden="1" x14ac:dyDescent="0.25">
      <c r="A1364" s="425" t="s">
        <v>1305</v>
      </c>
      <c r="B1364" s="425" t="s">
        <v>1305</v>
      </c>
    </row>
    <row r="1365" spans="1:2" ht="15" hidden="1" x14ac:dyDescent="0.25">
      <c r="A1365" s="425" t="s">
        <v>1306</v>
      </c>
      <c r="B1365" s="425" t="s">
        <v>1306</v>
      </c>
    </row>
    <row r="1366" spans="1:2" ht="15" hidden="1" x14ac:dyDescent="0.25">
      <c r="A1366" s="425" t="s">
        <v>1307</v>
      </c>
      <c r="B1366" s="425" t="s">
        <v>1307</v>
      </c>
    </row>
    <row r="1367" spans="1:2" ht="15" hidden="1" x14ac:dyDescent="0.25">
      <c r="A1367" s="425" t="s">
        <v>1308</v>
      </c>
      <c r="B1367" s="425" t="s">
        <v>1308</v>
      </c>
    </row>
    <row r="1368" spans="1:2" ht="15" hidden="1" x14ac:dyDescent="0.25">
      <c r="A1368" s="425" t="s">
        <v>1309</v>
      </c>
      <c r="B1368" s="425" t="s">
        <v>1309</v>
      </c>
    </row>
    <row r="1369" spans="1:2" ht="15" hidden="1" x14ac:dyDescent="0.25">
      <c r="A1369" s="425" t="s">
        <v>1310</v>
      </c>
      <c r="B1369" s="425" t="s">
        <v>1310</v>
      </c>
    </row>
    <row r="1370" spans="1:2" ht="15" hidden="1" x14ac:dyDescent="0.25">
      <c r="A1370" s="425" t="s">
        <v>1311</v>
      </c>
      <c r="B1370" s="425" t="s">
        <v>1311</v>
      </c>
    </row>
    <row r="1371" spans="1:2" ht="15" hidden="1" x14ac:dyDescent="0.25">
      <c r="A1371" s="425" t="s">
        <v>1312</v>
      </c>
      <c r="B1371" s="425" t="s">
        <v>1312</v>
      </c>
    </row>
    <row r="1372" spans="1:2" ht="15" hidden="1" x14ac:dyDescent="0.25">
      <c r="A1372" s="425" t="s">
        <v>1313</v>
      </c>
      <c r="B1372" s="425" t="s">
        <v>1313</v>
      </c>
    </row>
    <row r="1373" spans="1:2" ht="15" hidden="1" x14ac:dyDescent="0.25">
      <c r="A1373" s="425" t="s">
        <v>1314</v>
      </c>
      <c r="B1373" s="425" t="s">
        <v>1314</v>
      </c>
    </row>
    <row r="1374" spans="1:2" ht="15" hidden="1" x14ac:dyDescent="0.25">
      <c r="A1374" s="425" t="s">
        <v>1315</v>
      </c>
      <c r="B1374" s="425" t="s">
        <v>1315</v>
      </c>
    </row>
    <row r="1375" spans="1:2" ht="15" hidden="1" x14ac:dyDescent="0.25">
      <c r="A1375" s="425" t="s">
        <v>1316</v>
      </c>
      <c r="B1375" s="425" t="s">
        <v>1316</v>
      </c>
    </row>
    <row r="1376" spans="1:2" ht="15" hidden="1" x14ac:dyDescent="0.25">
      <c r="A1376" s="425" t="s">
        <v>1317</v>
      </c>
      <c r="B1376" s="425" t="s">
        <v>1317</v>
      </c>
    </row>
    <row r="1377" spans="1:2" ht="15" hidden="1" x14ac:dyDescent="0.25">
      <c r="A1377" s="425" t="s">
        <v>1318</v>
      </c>
      <c r="B1377" s="425" t="s">
        <v>1318</v>
      </c>
    </row>
    <row r="1378" spans="1:2" ht="15" hidden="1" x14ac:dyDescent="0.25">
      <c r="A1378" s="425" t="s">
        <v>1319</v>
      </c>
      <c r="B1378" s="425" t="s">
        <v>1319</v>
      </c>
    </row>
    <row r="1379" spans="1:2" ht="15" hidden="1" x14ac:dyDescent="0.25">
      <c r="A1379" s="425" t="s">
        <v>1320</v>
      </c>
      <c r="B1379" s="425" t="s">
        <v>1320</v>
      </c>
    </row>
    <row r="1380" spans="1:2" ht="15" hidden="1" x14ac:dyDescent="0.25">
      <c r="A1380" s="425" t="s">
        <v>1320</v>
      </c>
      <c r="B1380" s="425" t="s">
        <v>1320</v>
      </c>
    </row>
    <row r="1381" spans="1:2" ht="15" hidden="1" x14ac:dyDescent="0.25">
      <c r="A1381" s="425" t="s">
        <v>1321</v>
      </c>
      <c r="B1381" s="425" t="s">
        <v>1321</v>
      </c>
    </row>
    <row r="1382" spans="1:2" ht="15" hidden="1" x14ac:dyDescent="0.25">
      <c r="A1382" s="425" t="s">
        <v>1322</v>
      </c>
      <c r="B1382" s="425" t="s">
        <v>1322</v>
      </c>
    </row>
    <row r="1383" spans="1:2" ht="15" hidden="1" x14ac:dyDescent="0.25">
      <c r="A1383" s="425" t="s">
        <v>1323</v>
      </c>
      <c r="B1383" s="425" t="s">
        <v>1323</v>
      </c>
    </row>
    <row r="1384" spans="1:2" ht="15" hidden="1" x14ac:dyDescent="0.25">
      <c r="A1384" s="425" t="s">
        <v>1324</v>
      </c>
      <c r="B1384" s="425" t="s">
        <v>1324</v>
      </c>
    </row>
    <row r="1385" spans="1:2" ht="15" hidden="1" x14ac:dyDescent="0.25">
      <c r="A1385" s="425" t="s">
        <v>1324</v>
      </c>
      <c r="B1385" s="425" t="s">
        <v>1324</v>
      </c>
    </row>
    <row r="1386" spans="1:2" ht="15" hidden="1" x14ac:dyDescent="0.25">
      <c r="A1386" s="425" t="s">
        <v>1325</v>
      </c>
      <c r="B1386" s="425" t="s">
        <v>1325</v>
      </c>
    </row>
    <row r="1387" spans="1:2" ht="15" hidden="1" x14ac:dyDescent="0.25">
      <c r="A1387" s="425" t="s">
        <v>1326</v>
      </c>
      <c r="B1387" s="425" t="s">
        <v>1326</v>
      </c>
    </row>
    <row r="1388" spans="1:2" ht="15" hidden="1" x14ac:dyDescent="0.25">
      <c r="A1388" s="425" t="s">
        <v>1326</v>
      </c>
      <c r="B1388" s="425" t="s">
        <v>1326</v>
      </c>
    </row>
    <row r="1389" spans="1:2" ht="15" hidden="1" x14ac:dyDescent="0.25">
      <c r="A1389" s="425" t="s">
        <v>1327</v>
      </c>
      <c r="B1389" s="425" t="s">
        <v>1327</v>
      </c>
    </row>
    <row r="1390" spans="1:2" ht="15" hidden="1" x14ac:dyDescent="0.25">
      <c r="A1390" s="425" t="s">
        <v>1328</v>
      </c>
      <c r="B1390" s="425" t="s">
        <v>1328</v>
      </c>
    </row>
    <row r="1391" spans="1:2" ht="15" hidden="1" x14ac:dyDescent="0.25">
      <c r="A1391" s="425" t="s">
        <v>1329</v>
      </c>
      <c r="B1391" s="425" t="s">
        <v>1329</v>
      </c>
    </row>
    <row r="1392" spans="1:2" ht="15" hidden="1" x14ac:dyDescent="0.25">
      <c r="A1392" s="425" t="s">
        <v>1329</v>
      </c>
      <c r="B1392" s="425" t="s">
        <v>1329</v>
      </c>
    </row>
    <row r="1393" spans="1:2" ht="15" hidden="1" x14ac:dyDescent="0.25">
      <c r="A1393" s="425" t="s">
        <v>1330</v>
      </c>
      <c r="B1393" s="425" t="s">
        <v>1330</v>
      </c>
    </row>
    <row r="1394" spans="1:2" ht="15" hidden="1" x14ac:dyDescent="0.25">
      <c r="A1394" s="425" t="s">
        <v>1331</v>
      </c>
      <c r="B1394" s="425" t="s">
        <v>1331</v>
      </c>
    </row>
    <row r="1395" spans="1:2" ht="15" hidden="1" x14ac:dyDescent="0.25">
      <c r="A1395" s="425" t="s">
        <v>1332</v>
      </c>
      <c r="B1395" s="425" t="s">
        <v>1332</v>
      </c>
    </row>
    <row r="1396" spans="1:2" ht="15" hidden="1" x14ac:dyDescent="0.25">
      <c r="A1396" s="425" t="s">
        <v>1333</v>
      </c>
      <c r="B1396" s="425" t="s">
        <v>1333</v>
      </c>
    </row>
    <row r="1397" spans="1:2" ht="15" hidden="1" x14ac:dyDescent="0.25">
      <c r="A1397" s="425" t="s">
        <v>1334</v>
      </c>
      <c r="B1397" s="425" t="s">
        <v>1334</v>
      </c>
    </row>
    <row r="1398" spans="1:2" ht="15" hidden="1" x14ac:dyDescent="0.25">
      <c r="A1398" s="425" t="s">
        <v>1335</v>
      </c>
      <c r="B1398" s="425" t="s">
        <v>1335</v>
      </c>
    </row>
    <row r="1399" spans="1:2" ht="15" hidden="1" x14ac:dyDescent="0.25">
      <c r="A1399" s="425" t="s">
        <v>1336</v>
      </c>
      <c r="B1399" s="425" t="s">
        <v>1336</v>
      </c>
    </row>
    <row r="1400" spans="1:2" ht="15" hidden="1" x14ac:dyDescent="0.25">
      <c r="A1400" s="425" t="s">
        <v>1337</v>
      </c>
      <c r="B1400" s="425" t="s">
        <v>1337</v>
      </c>
    </row>
    <row r="1401" spans="1:2" ht="15" hidden="1" x14ac:dyDescent="0.25">
      <c r="A1401" s="425" t="s">
        <v>1338</v>
      </c>
      <c r="B1401" s="425" t="s">
        <v>1338</v>
      </c>
    </row>
    <row r="1402" spans="1:2" ht="15" hidden="1" x14ac:dyDescent="0.25">
      <c r="A1402" s="425" t="s">
        <v>1339</v>
      </c>
      <c r="B1402" s="425" t="s">
        <v>1339</v>
      </c>
    </row>
    <row r="1403" spans="1:2" ht="15" hidden="1" x14ac:dyDescent="0.25">
      <c r="A1403" s="425" t="s">
        <v>1340</v>
      </c>
      <c r="B1403" s="425" t="s">
        <v>1340</v>
      </c>
    </row>
    <row r="1404" spans="1:2" ht="15" hidden="1" x14ac:dyDescent="0.25">
      <c r="A1404" s="425" t="s">
        <v>1341</v>
      </c>
      <c r="B1404" s="425" t="s">
        <v>1341</v>
      </c>
    </row>
    <row r="1405" spans="1:2" ht="15" hidden="1" x14ac:dyDescent="0.25">
      <c r="A1405" s="425" t="s">
        <v>1342</v>
      </c>
      <c r="B1405" s="425" t="s">
        <v>1342</v>
      </c>
    </row>
    <row r="1406" spans="1:2" ht="15" hidden="1" x14ac:dyDescent="0.25">
      <c r="A1406" s="425" t="s">
        <v>1343</v>
      </c>
      <c r="B1406" s="425" t="s">
        <v>1343</v>
      </c>
    </row>
    <row r="1407" spans="1:2" ht="15" hidden="1" x14ac:dyDescent="0.25">
      <c r="A1407" s="425" t="s">
        <v>1344</v>
      </c>
      <c r="B1407" s="425" t="s">
        <v>1344</v>
      </c>
    </row>
    <row r="1408" spans="1:2" ht="15" hidden="1" x14ac:dyDescent="0.25">
      <c r="A1408" s="425" t="s">
        <v>1345</v>
      </c>
      <c r="B1408" s="425" t="s">
        <v>1345</v>
      </c>
    </row>
    <row r="1409" spans="1:2" ht="15" hidden="1" x14ac:dyDescent="0.25">
      <c r="A1409" s="425" t="s">
        <v>1345</v>
      </c>
      <c r="B1409" s="425" t="s">
        <v>1345</v>
      </c>
    </row>
    <row r="1410" spans="1:2" ht="15" hidden="1" x14ac:dyDescent="0.25">
      <c r="A1410" s="425" t="s">
        <v>1346</v>
      </c>
      <c r="B1410" s="425" t="s">
        <v>1346</v>
      </c>
    </row>
    <row r="1411" spans="1:2" ht="15" hidden="1" x14ac:dyDescent="0.25">
      <c r="A1411" s="425" t="s">
        <v>1347</v>
      </c>
      <c r="B1411" s="425" t="s">
        <v>1347</v>
      </c>
    </row>
    <row r="1412" spans="1:2" ht="15" hidden="1" x14ac:dyDescent="0.25">
      <c r="A1412" s="425" t="s">
        <v>1348</v>
      </c>
      <c r="B1412" s="425" t="s">
        <v>1348</v>
      </c>
    </row>
    <row r="1413" spans="1:2" ht="15" hidden="1" x14ac:dyDescent="0.25">
      <c r="A1413" s="425" t="s">
        <v>1349</v>
      </c>
      <c r="B1413" s="425" t="s">
        <v>1349</v>
      </c>
    </row>
    <row r="1414" spans="1:2" ht="15" hidden="1" x14ac:dyDescent="0.25">
      <c r="A1414" s="425" t="s">
        <v>1350</v>
      </c>
      <c r="B1414" s="425" t="s">
        <v>1350</v>
      </c>
    </row>
    <row r="1415" spans="1:2" ht="15" hidden="1" x14ac:dyDescent="0.25">
      <c r="A1415" s="425" t="s">
        <v>1351</v>
      </c>
      <c r="B1415" s="425" t="s">
        <v>1351</v>
      </c>
    </row>
    <row r="1416" spans="1:2" ht="15" hidden="1" x14ac:dyDescent="0.25">
      <c r="A1416" s="425" t="s">
        <v>1352</v>
      </c>
      <c r="B1416" s="425" t="s">
        <v>1353</v>
      </c>
    </row>
    <row r="1417" spans="1:2" ht="15" hidden="1" x14ac:dyDescent="0.25">
      <c r="A1417" s="425" t="s">
        <v>1354</v>
      </c>
      <c r="B1417" s="425" t="s">
        <v>1355</v>
      </c>
    </row>
    <row r="1418" spans="1:2" ht="15" hidden="1" x14ac:dyDescent="0.25">
      <c r="A1418" s="425" t="s">
        <v>1356</v>
      </c>
      <c r="B1418" s="425" t="s">
        <v>1340</v>
      </c>
    </row>
    <row r="1419" spans="1:2" ht="15" hidden="1" x14ac:dyDescent="0.25">
      <c r="A1419" s="425" t="s">
        <v>1357</v>
      </c>
      <c r="B1419" s="425" t="s">
        <v>1358</v>
      </c>
    </row>
    <row r="1420" spans="1:2" ht="15" hidden="1" x14ac:dyDescent="0.25">
      <c r="A1420" s="425" t="s">
        <v>1359</v>
      </c>
      <c r="B1420" s="425" t="s">
        <v>1360</v>
      </c>
    </row>
    <row r="1421" spans="1:2" ht="15" hidden="1" x14ac:dyDescent="0.25">
      <c r="A1421" s="425" t="s">
        <v>1361</v>
      </c>
      <c r="B1421" s="425" t="s">
        <v>1362</v>
      </c>
    </row>
    <row r="1422" spans="1:2" ht="15" hidden="1" x14ac:dyDescent="0.25">
      <c r="A1422" s="425" t="s">
        <v>1361</v>
      </c>
      <c r="B1422" s="425" t="s">
        <v>1362</v>
      </c>
    </row>
    <row r="1423" spans="1:2" ht="15" hidden="1" x14ac:dyDescent="0.25">
      <c r="A1423" s="425" t="s">
        <v>1361</v>
      </c>
      <c r="B1423" s="425" t="s">
        <v>1362</v>
      </c>
    </row>
    <row r="1424" spans="1:2" ht="15" hidden="1" x14ac:dyDescent="0.25">
      <c r="A1424" s="425" t="s">
        <v>1363</v>
      </c>
      <c r="B1424" s="425" t="s">
        <v>1364</v>
      </c>
    </row>
    <row r="1425" spans="1:2" ht="15" hidden="1" x14ac:dyDescent="0.25">
      <c r="A1425" s="425" t="s">
        <v>1365</v>
      </c>
      <c r="B1425" s="425" t="s">
        <v>1366</v>
      </c>
    </row>
    <row r="1426" spans="1:2" ht="15" hidden="1" x14ac:dyDescent="0.25">
      <c r="A1426" s="425" t="s">
        <v>1367</v>
      </c>
      <c r="B1426" s="425" t="s">
        <v>1368</v>
      </c>
    </row>
    <row r="1427" spans="1:2" ht="15" hidden="1" x14ac:dyDescent="0.25">
      <c r="A1427" s="425" t="s">
        <v>204</v>
      </c>
      <c r="B1427" s="425" t="s">
        <v>352</v>
      </c>
    </row>
    <row r="1428" spans="1:2" ht="15" hidden="1" x14ac:dyDescent="0.25">
      <c r="A1428" s="425" t="s">
        <v>1369</v>
      </c>
      <c r="B1428" s="425" t="s">
        <v>1370</v>
      </c>
    </row>
    <row r="1429" spans="1:2" ht="15" hidden="1" x14ac:dyDescent="0.25">
      <c r="A1429" s="425" t="s">
        <v>1371</v>
      </c>
      <c r="B1429" s="425" t="s">
        <v>1372</v>
      </c>
    </row>
    <row r="1430" spans="1:2" ht="15" hidden="1" x14ac:dyDescent="0.25">
      <c r="A1430" s="425" t="s">
        <v>1373</v>
      </c>
      <c r="B1430" s="425" t="s">
        <v>1374</v>
      </c>
    </row>
    <row r="1431" spans="1:2" ht="15" hidden="1" x14ac:dyDescent="0.25">
      <c r="A1431" s="427" t="s">
        <v>1375</v>
      </c>
      <c r="B1431" s="427" t="s">
        <v>1376</v>
      </c>
    </row>
    <row r="1432" spans="1:2" ht="15" hidden="1" x14ac:dyDescent="0.25">
      <c r="A1432" s="425" t="s">
        <v>1377</v>
      </c>
      <c r="B1432" s="425" t="s">
        <v>1378</v>
      </c>
    </row>
    <row r="1433" spans="1:2" ht="15" hidden="1" x14ac:dyDescent="0.25">
      <c r="A1433" s="425" t="s">
        <v>1377</v>
      </c>
      <c r="B1433" s="425" t="s">
        <v>1378</v>
      </c>
    </row>
    <row r="1434" spans="1:2" ht="15" hidden="1" x14ac:dyDescent="0.25">
      <c r="A1434" s="425" t="s">
        <v>1377</v>
      </c>
      <c r="B1434" s="425" t="s">
        <v>1378</v>
      </c>
    </row>
    <row r="1435" spans="1:2" ht="15" hidden="1" x14ac:dyDescent="0.25">
      <c r="A1435" s="425" t="s">
        <v>1379</v>
      </c>
      <c r="B1435" s="425" t="s">
        <v>1380</v>
      </c>
    </row>
    <row r="1436" spans="1:2" ht="15" hidden="1" x14ac:dyDescent="0.25">
      <c r="A1436" s="425" t="s">
        <v>1381</v>
      </c>
      <c r="B1436" s="425" t="s">
        <v>1382</v>
      </c>
    </row>
    <row r="1437" spans="1:2" ht="15" hidden="1" x14ac:dyDescent="0.25">
      <c r="A1437" s="425" t="s">
        <v>1381</v>
      </c>
      <c r="B1437" s="425" t="s">
        <v>1382</v>
      </c>
    </row>
    <row r="1438" spans="1:2" ht="15" hidden="1" x14ac:dyDescent="0.25">
      <c r="A1438" s="427" t="s">
        <v>1383</v>
      </c>
      <c r="B1438" s="425" t="s">
        <v>1384</v>
      </c>
    </row>
    <row r="1439" spans="1:2" ht="15" hidden="1" x14ac:dyDescent="0.25">
      <c r="A1439" s="425" t="s">
        <v>1385</v>
      </c>
      <c r="B1439" s="425" t="s">
        <v>1386</v>
      </c>
    </row>
    <row r="1440" spans="1:2" ht="15" hidden="1" x14ac:dyDescent="0.25">
      <c r="A1440" s="425" t="s">
        <v>1387</v>
      </c>
      <c r="B1440" s="425" t="s">
        <v>1388</v>
      </c>
    </row>
    <row r="1441" spans="1:2" ht="15" hidden="1" x14ac:dyDescent="0.25">
      <c r="A1441" s="425" t="s">
        <v>1389</v>
      </c>
      <c r="B1441" s="425" t="s">
        <v>1390</v>
      </c>
    </row>
    <row r="1442" spans="1:2" ht="15" hidden="1" x14ac:dyDescent="0.25">
      <c r="A1442" s="425" t="s">
        <v>1391</v>
      </c>
      <c r="B1442" s="425" t="s">
        <v>1392</v>
      </c>
    </row>
    <row r="1443" spans="1:2" ht="15" hidden="1" x14ac:dyDescent="0.25">
      <c r="A1443" s="425" t="s">
        <v>1391</v>
      </c>
      <c r="B1443" s="425" t="s">
        <v>1392</v>
      </c>
    </row>
    <row r="1444" spans="1:2" ht="15" hidden="1" x14ac:dyDescent="0.25">
      <c r="A1444" s="425" t="s">
        <v>1393</v>
      </c>
      <c r="B1444" s="425" t="s">
        <v>1394</v>
      </c>
    </row>
    <row r="1445" spans="1:2" ht="15" hidden="1" x14ac:dyDescent="0.25">
      <c r="A1445" s="425" t="s">
        <v>1393</v>
      </c>
      <c r="B1445" s="425" t="s">
        <v>1394</v>
      </c>
    </row>
    <row r="1446" spans="1:2" ht="15" hidden="1" x14ac:dyDescent="0.25">
      <c r="A1446" s="425" t="s">
        <v>1395</v>
      </c>
      <c r="B1446" s="425" t="s">
        <v>1396</v>
      </c>
    </row>
    <row r="1447" spans="1:2" ht="15" hidden="1" x14ac:dyDescent="0.25">
      <c r="A1447" s="425" t="s">
        <v>1395</v>
      </c>
      <c r="B1447" s="425" t="s">
        <v>1396</v>
      </c>
    </row>
    <row r="1448" spans="1:2" ht="15" hidden="1" x14ac:dyDescent="0.25">
      <c r="A1448" s="425" t="s">
        <v>1397</v>
      </c>
      <c r="B1448" s="425" t="s">
        <v>1398</v>
      </c>
    </row>
    <row r="1449" spans="1:2" ht="15" hidden="1" x14ac:dyDescent="0.25">
      <c r="A1449" s="425" t="s">
        <v>1399</v>
      </c>
      <c r="B1449" s="425" t="s">
        <v>1400</v>
      </c>
    </row>
    <row r="1450" spans="1:2" ht="15" hidden="1" x14ac:dyDescent="0.25">
      <c r="A1450" s="425" t="s">
        <v>1401</v>
      </c>
      <c r="B1450" s="425" t="s">
        <v>1402</v>
      </c>
    </row>
    <row r="1451" spans="1:2" ht="15" hidden="1" x14ac:dyDescent="0.25">
      <c r="A1451" s="425" t="s">
        <v>1401</v>
      </c>
      <c r="B1451" s="425" t="s">
        <v>1402</v>
      </c>
    </row>
    <row r="1452" spans="1:2" ht="15" hidden="1" x14ac:dyDescent="0.25">
      <c r="A1452" s="425" t="s">
        <v>1403</v>
      </c>
      <c r="B1452" s="425" t="s">
        <v>1404</v>
      </c>
    </row>
    <row r="1453" spans="1:2" ht="15" hidden="1" x14ac:dyDescent="0.25">
      <c r="A1453" s="425" t="s">
        <v>1405</v>
      </c>
      <c r="B1453" s="425" t="s">
        <v>1406</v>
      </c>
    </row>
    <row r="1454" spans="1:2" ht="15" hidden="1" x14ac:dyDescent="0.25">
      <c r="A1454" s="425" t="s">
        <v>1407</v>
      </c>
      <c r="B1454" s="425" t="s">
        <v>1408</v>
      </c>
    </row>
    <row r="1455" spans="1:2" ht="15" hidden="1" x14ac:dyDescent="0.25">
      <c r="A1455" s="425" t="s">
        <v>1409</v>
      </c>
      <c r="B1455" s="425" t="s">
        <v>1410</v>
      </c>
    </row>
    <row r="1456" spans="1:2" ht="15" hidden="1" x14ac:dyDescent="0.25">
      <c r="A1456" s="425" t="s">
        <v>1411</v>
      </c>
      <c r="B1456" s="425" t="s">
        <v>1412</v>
      </c>
    </row>
    <row r="1457" spans="1:2" ht="15" hidden="1" x14ac:dyDescent="0.25">
      <c r="A1457" s="425" t="s">
        <v>1411</v>
      </c>
      <c r="B1457" s="425" t="s">
        <v>1412</v>
      </c>
    </row>
    <row r="1458" spans="1:2" ht="15" hidden="1" x14ac:dyDescent="0.25">
      <c r="A1458" s="425" t="s">
        <v>1413</v>
      </c>
      <c r="B1458" s="425" t="s">
        <v>1414</v>
      </c>
    </row>
    <row r="1459" spans="1:2" ht="15" hidden="1" x14ac:dyDescent="0.25">
      <c r="A1459" s="425" t="s">
        <v>1415</v>
      </c>
      <c r="B1459" s="425" t="s">
        <v>1416</v>
      </c>
    </row>
    <row r="1460" spans="1:2" ht="15" hidden="1" x14ac:dyDescent="0.25">
      <c r="A1460" s="427" t="s">
        <v>1417</v>
      </c>
      <c r="B1460" s="425" t="s">
        <v>1418</v>
      </c>
    </row>
    <row r="1461" spans="1:2" ht="15" hidden="1" x14ac:dyDescent="0.25">
      <c r="A1461" s="425" t="s">
        <v>1419</v>
      </c>
      <c r="B1461" s="425" t="s">
        <v>1420</v>
      </c>
    </row>
    <row r="1462" spans="1:2" ht="15" hidden="1" x14ac:dyDescent="0.25">
      <c r="A1462" s="425" t="s">
        <v>1421</v>
      </c>
      <c r="B1462" s="425" t="s">
        <v>1323</v>
      </c>
    </row>
    <row r="1463" spans="1:2" ht="15" hidden="1" x14ac:dyDescent="0.25">
      <c r="A1463" s="425" t="s">
        <v>382</v>
      </c>
      <c r="B1463" s="425" t="s">
        <v>383</v>
      </c>
    </row>
    <row r="1464" spans="1:2" ht="15" hidden="1" x14ac:dyDescent="0.25">
      <c r="A1464" s="425" t="s">
        <v>382</v>
      </c>
      <c r="B1464" s="425" t="s">
        <v>383</v>
      </c>
    </row>
    <row r="1465" spans="1:2" ht="15" hidden="1" x14ac:dyDescent="0.25">
      <c r="A1465" s="425" t="s">
        <v>1422</v>
      </c>
      <c r="B1465" s="425" t="s">
        <v>1423</v>
      </c>
    </row>
    <row r="1466" spans="1:2" ht="15" hidden="1" x14ac:dyDescent="0.25">
      <c r="A1466" s="425" t="s">
        <v>1424</v>
      </c>
      <c r="B1466" s="425" t="s">
        <v>1425</v>
      </c>
    </row>
    <row r="1467" spans="1:2" ht="15" hidden="1" x14ac:dyDescent="0.25">
      <c r="A1467" s="425" t="s">
        <v>1426</v>
      </c>
      <c r="B1467" s="425" t="s">
        <v>1427</v>
      </c>
    </row>
    <row r="1468" spans="1:2" ht="15" hidden="1" x14ac:dyDescent="0.25">
      <c r="A1468" s="425" t="s">
        <v>1426</v>
      </c>
      <c r="B1468" s="425" t="s">
        <v>1427</v>
      </c>
    </row>
    <row r="1469" spans="1:2" ht="15" hidden="1" x14ac:dyDescent="0.25">
      <c r="A1469" s="425" t="s">
        <v>1428</v>
      </c>
      <c r="B1469" s="425" t="s">
        <v>1429</v>
      </c>
    </row>
    <row r="1470" spans="1:2" ht="15" hidden="1" x14ac:dyDescent="0.25">
      <c r="A1470" s="425" t="s">
        <v>1430</v>
      </c>
      <c r="B1470" s="425" t="s">
        <v>788</v>
      </c>
    </row>
    <row r="1471" spans="1:2" ht="15" hidden="1" x14ac:dyDescent="0.25">
      <c r="A1471" s="425" t="s">
        <v>1431</v>
      </c>
      <c r="B1471" s="425" t="s">
        <v>1432</v>
      </c>
    </row>
    <row r="1472" spans="1:2" ht="15" hidden="1" x14ac:dyDescent="0.25">
      <c r="A1472" s="425" t="s">
        <v>1433</v>
      </c>
      <c r="B1472" s="425" t="s">
        <v>1434</v>
      </c>
    </row>
    <row r="1473" spans="1:2" ht="15" hidden="1" x14ac:dyDescent="0.25">
      <c r="A1473" s="425" t="s">
        <v>1435</v>
      </c>
      <c r="B1473" s="425" t="s">
        <v>1436</v>
      </c>
    </row>
    <row r="1474" spans="1:2" ht="15" hidden="1" x14ac:dyDescent="0.25">
      <c r="A1474" s="425" t="s">
        <v>1437</v>
      </c>
      <c r="B1474" s="425" t="s">
        <v>1438</v>
      </c>
    </row>
    <row r="1475" spans="1:2" ht="15" hidden="1" x14ac:dyDescent="0.25">
      <c r="A1475" s="425" t="s">
        <v>1439</v>
      </c>
      <c r="B1475" s="425" t="s">
        <v>1440</v>
      </c>
    </row>
    <row r="1476" spans="1:2" ht="15" hidden="1" x14ac:dyDescent="0.25">
      <c r="A1476" s="425" t="s">
        <v>1441</v>
      </c>
      <c r="B1476" s="425" t="s">
        <v>1442</v>
      </c>
    </row>
    <row r="1477" spans="1:2" ht="15" hidden="1" x14ac:dyDescent="0.25">
      <c r="A1477" s="425" t="s">
        <v>1441</v>
      </c>
      <c r="B1477" s="425" t="s">
        <v>1442</v>
      </c>
    </row>
    <row r="1478" spans="1:2" ht="15" hidden="1" x14ac:dyDescent="0.25">
      <c r="A1478" s="425" t="s">
        <v>1443</v>
      </c>
      <c r="B1478" s="425" t="s">
        <v>1444</v>
      </c>
    </row>
    <row r="1479" spans="1:2" ht="15" hidden="1" x14ac:dyDescent="0.25">
      <c r="A1479" s="425" t="s">
        <v>1445</v>
      </c>
      <c r="B1479" s="425" t="s">
        <v>1446</v>
      </c>
    </row>
    <row r="1480" spans="1:2" ht="15" hidden="1" x14ac:dyDescent="0.25">
      <c r="A1480" s="425" t="s">
        <v>1447</v>
      </c>
      <c r="B1480" s="425" t="s">
        <v>1448</v>
      </c>
    </row>
    <row r="1481" spans="1:2" ht="15" hidden="1" x14ac:dyDescent="0.25">
      <c r="A1481" s="425" t="s">
        <v>1449</v>
      </c>
      <c r="B1481" s="425" t="s">
        <v>1450</v>
      </c>
    </row>
    <row r="1482" spans="1:2" ht="15" hidden="1" x14ac:dyDescent="0.25">
      <c r="A1482" s="425" t="s">
        <v>1449</v>
      </c>
      <c r="B1482" s="425" t="s">
        <v>1450</v>
      </c>
    </row>
    <row r="1483" spans="1:2" ht="15" hidden="1" x14ac:dyDescent="0.25">
      <c r="A1483" s="425" t="s">
        <v>1449</v>
      </c>
      <c r="B1483" s="425" t="s">
        <v>1450</v>
      </c>
    </row>
    <row r="1484" spans="1:2" ht="15" hidden="1" x14ac:dyDescent="0.25">
      <c r="A1484" s="425" t="s">
        <v>1451</v>
      </c>
      <c r="B1484" s="425" t="s">
        <v>1452</v>
      </c>
    </row>
    <row r="1485" spans="1:2" ht="15" hidden="1" x14ac:dyDescent="0.25">
      <c r="A1485" s="425" t="s">
        <v>1451</v>
      </c>
      <c r="B1485" s="425" t="s">
        <v>1452</v>
      </c>
    </row>
    <row r="1486" spans="1:2" ht="15" hidden="1" x14ac:dyDescent="0.25">
      <c r="A1486" s="425" t="s">
        <v>1451</v>
      </c>
      <c r="B1486" s="425" t="s">
        <v>1452</v>
      </c>
    </row>
    <row r="1487" spans="1:2" ht="15" hidden="1" x14ac:dyDescent="0.25">
      <c r="A1487" s="425" t="s">
        <v>1453</v>
      </c>
      <c r="B1487" s="425" t="s">
        <v>1454</v>
      </c>
    </row>
    <row r="1488" spans="1:2" ht="15" hidden="1" x14ac:dyDescent="0.25">
      <c r="A1488" s="425" t="s">
        <v>208</v>
      </c>
      <c r="B1488" s="425" t="s">
        <v>309</v>
      </c>
    </row>
    <row r="1489" spans="1:2" ht="15" hidden="1" x14ac:dyDescent="0.25">
      <c r="A1489" s="425" t="s">
        <v>208</v>
      </c>
      <c r="B1489" s="425" t="s">
        <v>309</v>
      </c>
    </row>
    <row r="1490" spans="1:2" ht="15" hidden="1" x14ac:dyDescent="0.25">
      <c r="A1490" s="425" t="s">
        <v>208</v>
      </c>
      <c r="B1490" s="425" t="s">
        <v>309</v>
      </c>
    </row>
    <row r="1491" spans="1:2" ht="15" hidden="1" x14ac:dyDescent="0.25">
      <c r="A1491" s="425" t="s">
        <v>208</v>
      </c>
      <c r="B1491" s="425" t="s">
        <v>309</v>
      </c>
    </row>
    <row r="1492" spans="1:2" ht="15" hidden="1" x14ac:dyDescent="0.25">
      <c r="A1492" s="425" t="s">
        <v>208</v>
      </c>
      <c r="B1492" s="425" t="s">
        <v>309</v>
      </c>
    </row>
    <row r="1493" spans="1:2" ht="15" hidden="1" x14ac:dyDescent="0.25">
      <c r="A1493" s="425" t="s">
        <v>208</v>
      </c>
      <c r="B1493" s="425" t="s">
        <v>309</v>
      </c>
    </row>
    <row r="1494" spans="1:2" ht="15" hidden="1" x14ac:dyDescent="0.25">
      <c r="A1494" s="425" t="s">
        <v>395</v>
      </c>
      <c r="B1494" s="425" t="s">
        <v>396</v>
      </c>
    </row>
    <row r="1495" spans="1:2" ht="15" hidden="1" x14ac:dyDescent="0.25">
      <c r="A1495" s="425" t="s">
        <v>395</v>
      </c>
      <c r="B1495" s="425" t="s">
        <v>396</v>
      </c>
    </row>
    <row r="1496" spans="1:2" ht="15" hidden="1" x14ac:dyDescent="0.25">
      <c r="A1496" s="425" t="s">
        <v>395</v>
      </c>
      <c r="B1496" s="425" t="s">
        <v>396</v>
      </c>
    </row>
    <row r="1497" spans="1:2" ht="15" hidden="1" x14ac:dyDescent="0.25">
      <c r="A1497" s="425" t="s">
        <v>395</v>
      </c>
      <c r="B1497" s="425" t="s">
        <v>396</v>
      </c>
    </row>
    <row r="1498" spans="1:2" ht="15" hidden="1" x14ac:dyDescent="0.25">
      <c r="A1498" s="425" t="s">
        <v>395</v>
      </c>
      <c r="B1498" s="425" t="s">
        <v>396</v>
      </c>
    </row>
    <row r="1499" spans="1:2" ht="15" hidden="1" x14ac:dyDescent="0.25">
      <c r="A1499" s="425" t="s">
        <v>1455</v>
      </c>
      <c r="B1499" s="425" t="s">
        <v>1456</v>
      </c>
    </row>
    <row r="1500" spans="1:2" ht="15" hidden="1" x14ac:dyDescent="0.25">
      <c r="A1500" s="425" t="s">
        <v>1455</v>
      </c>
      <c r="B1500" s="425" t="s">
        <v>1456</v>
      </c>
    </row>
    <row r="1501" spans="1:2" ht="15" hidden="1" x14ac:dyDescent="0.25">
      <c r="A1501" s="425" t="s">
        <v>182</v>
      </c>
      <c r="B1501" s="425" t="s">
        <v>315</v>
      </c>
    </row>
    <row r="1502" spans="1:2" ht="15" hidden="1" x14ac:dyDescent="0.25">
      <c r="A1502" s="425" t="s">
        <v>182</v>
      </c>
      <c r="B1502" s="425" t="s">
        <v>315</v>
      </c>
    </row>
    <row r="1503" spans="1:2" ht="15" hidden="1" x14ac:dyDescent="0.25">
      <c r="A1503" s="425" t="s">
        <v>182</v>
      </c>
      <c r="B1503" s="425" t="s">
        <v>315</v>
      </c>
    </row>
    <row r="1504" spans="1:2" ht="15" hidden="1" x14ac:dyDescent="0.25">
      <c r="A1504" s="425" t="s">
        <v>182</v>
      </c>
      <c r="B1504" s="425" t="s">
        <v>315</v>
      </c>
    </row>
    <row r="1505" spans="1:2" ht="15" hidden="1" x14ac:dyDescent="0.25">
      <c r="A1505" s="425" t="s">
        <v>182</v>
      </c>
      <c r="B1505" s="425" t="s">
        <v>315</v>
      </c>
    </row>
    <row r="1506" spans="1:2" ht="15" hidden="1" x14ac:dyDescent="0.25">
      <c r="A1506" s="425" t="s">
        <v>182</v>
      </c>
      <c r="B1506" s="425" t="s">
        <v>315</v>
      </c>
    </row>
    <row r="1507" spans="1:2" ht="15" hidden="1" x14ac:dyDescent="0.25">
      <c r="A1507" s="425" t="s">
        <v>210</v>
      </c>
      <c r="B1507" s="425" t="s">
        <v>316</v>
      </c>
    </row>
    <row r="1508" spans="1:2" ht="15" hidden="1" x14ac:dyDescent="0.25">
      <c r="A1508" s="425" t="s">
        <v>210</v>
      </c>
      <c r="B1508" s="425" t="s">
        <v>316</v>
      </c>
    </row>
    <row r="1509" spans="1:2" ht="15" hidden="1" x14ac:dyDescent="0.25">
      <c r="A1509" s="425" t="s">
        <v>210</v>
      </c>
      <c r="B1509" s="425" t="s">
        <v>316</v>
      </c>
    </row>
    <row r="1510" spans="1:2" ht="15" hidden="1" x14ac:dyDescent="0.25">
      <c r="A1510" s="425" t="s">
        <v>210</v>
      </c>
      <c r="B1510" s="425" t="s">
        <v>316</v>
      </c>
    </row>
    <row r="1511" spans="1:2" ht="15" hidden="1" x14ac:dyDescent="0.25">
      <c r="A1511" s="425" t="s">
        <v>210</v>
      </c>
      <c r="B1511" s="425" t="s">
        <v>316</v>
      </c>
    </row>
    <row r="1512" spans="1:2" ht="15" hidden="1" x14ac:dyDescent="0.25">
      <c r="A1512" s="425" t="s">
        <v>210</v>
      </c>
      <c r="B1512" s="425" t="s">
        <v>316</v>
      </c>
    </row>
    <row r="1513" spans="1:2" ht="15" hidden="1" x14ac:dyDescent="0.25">
      <c r="A1513" s="425" t="s">
        <v>210</v>
      </c>
      <c r="B1513" s="425" t="s">
        <v>316</v>
      </c>
    </row>
    <row r="1514" spans="1:2" ht="15" hidden="1" x14ac:dyDescent="0.25">
      <c r="A1514" s="425" t="s">
        <v>210</v>
      </c>
      <c r="B1514" s="425" t="s">
        <v>316</v>
      </c>
    </row>
    <row r="1515" spans="1:2" ht="15" hidden="1" x14ac:dyDescent="0.25">
      <c r="A1515" s="425" t="s">
        <v>210</v>
      </c>
      <c r="B1515" s="425" t="s">
        <v>316</v>
      </c>
    </row>
    <row r="1516" spans="1:2" ht="15" hidden="1" x14ac:dyDescent="0.25">
      <c r="A1516" s="425" t="s">
        <v>210</v>
      </c>
      <c r="B1516" s="425" t="s">
        <v>316</v>
      </c>
    </row>
    <row r="1517" spans="1:2" ht="15" hidden="1" x14ac:dyDescent="0.25">
      <c r="A1517" s="425" t="s">
        <v>210</v>
      </c>
      <c r="B1517" s="425" t="s">
        <v>316</v>
      </c>
    </row>
    <row r="1518" spans="1:2" ht="15" hidden="1" x14ac:dyDescent="0.25">
      <c r="A1518" s="425" t="s">
        <v>210</v>
      </c>
      <c r="B1518" s="425" t="s">
        <v>316</v>
      </c>
    </row>
    <row r="1519" spans="1:2" ht="15" hidden="1" x14ac:dyDescent="0.25">
      <c r="A1519" s="425" t="s">
        <v>185</v>
      </c>
      <c r="B1519" s="425" t="s">
        <v>319</v>
      </c>
    </row>
    <row r="1520" spans="1:2" ht="15" hidden="1" x14ac:dyDescent="0.25">
      <c r="A1520" s="425" t="s">
        <v>185</v>
      </c>
      <c r="B1520" s="425" t="s">
        <v>319</v>
      </c>
    </row>
    <row r="1521" spans="1:2" ht="15" hidden="1" x14ac:dyDescent="0.25">
      <c r="A1521" s="425" t="s">
        <v>187</v>
      </c>
      <c r="B1521" s="425" t="s">
        <v>322</v>
      </c>
    </row>
    <row r="1522" spans="1:2" ht="15" hidden="1" x14ac:dyDescent="0.25">
      <c r="A1522" s="425" t="s">
        <v>187</v>
      </c>
      <c r="B1522" s="425" t="s">
        <v>322</v>
      </c>
    </row>
    <row r="1523" spans="1:2" ht="15" hidden="1" x14ac:dyDescent="0.25">
      <c r="A1523" s="425" t="s">
        <v>187</v>
      </c>
      <c r="B1523" s="425" t="s">
        <v>322</v>
      </c>
    </row>
    <row r="1524" spans="1:2" ht="15" hidden="1" x14ac:dyDescent="0.25">
      <c r="A1524" s="425" t="s">
        <v>187</v>
      </c>
      <c r="B1524" s="425" t="s">
        <v>322</v>
      </c>
    </row>
    <row r="1525" spans="1:2" ht="15" hidden="1" x14ac:dyDescent="0.25">
      <c r="A1525" s="425" t="s">
        <v>187</v>
      </c>
      <c r="B1525" s="425" t="s">
        <v>322</v>
      </c>
    </row>
    <row r="1526" spans="1:2" ht="15" hidden="1" x14ac:dyDescent="0.25">
      <c r="A1526" s="425" t="s">
        <v>187</v>
      </c>
      <c r="B1526" s="425" t="s">
        <v>322</v>
      </c>
    </row>
    <row r="1527" spans="1:2" ht="15" hidden="1" x14ac:dyDescent="0.25">
      <c r="A1527" s="425" t="s">
        <v>187</v>
      </c>
      <c r="B1527" s="425" t="s">
        <v>322</v>
      </c>
    </row>
    <row r="1528" spans="1:2" ht="15" hidden="1" x14ac:dyDescent="0.25">
      <c r="A1528" s="425" t="s">
        <v>187</v>
      </c>
      <c r="B1528" s="425" t="s">
        <v>322</v>
      </c>
    </row>
    <row r="1529" spans="1:2" ht="15" hidden="1" x14ac:dyDescent="0.25">
      <c r="A1529" s="425" t="s">
        <v>1457</v>
      </c>
      <c r="B1529" s="425" t="s">
        <v>1458</v>
      </c>
    </row>
    <row r="1530" spans="1:2" ht="15" hidden="1" x14ac:dyDescent="0.25">
      <c r="A1530" s="425" t="s">
        <v>1459</v>
      </c>
      <c r="B1530" s="425" t="s">
        <v>1460</v>
      </c>
    </row>
    <row r="1531" spans="1:2" ht="15" hidden="1" x14ac:dyDescent="0.25">
      <c r="A1531" s="425" t="s">
        <v>1459</v>
      </c>
      <c r="B1531" s="425" t="s">
        <v>1460</v>
      </c>
    </row>
    <row r="1532" spans="1:2" ht="15" hidden="1" x14ac:dyDescent="0.25">
      <c r="A1532" s="425" t="s">
        <v>1459</v>
      </c>
      <c r="B1532" s="425" t="s">
        <v>1460</v>
      </c>
    </row>
    <row r="1533" spans="1:2" ht="15" hidden="1" x14ac:dyDescent="0.25">
      <c r="A1533" s="425" t="s">
        <v>1269</v>
      </c>
      <c r="B1533" s="425" t="s">
        <v>1270</v>
      </c>
    </row>
    <row r="1534" spans="1:2" ht="15" hidden="1" x14ac:dyDescent="0.25">
      <c r="A1534" s="425" t="s">
        <v>1269</v>
      </c>
      <c r="B1534" s="425" t="s">
        <v>1270</v>
      </c>
    </row>
    <row r="1535" spans="1:2" ht="15" hidden="1" x14ac:dyDescent="0.25">
      <c r="A1535" s="425" t="s">
        <v>1269</v>
      </c>
      <c r="B1535" s="425" t="s">
        <v>1270</v>
      </c>
    </row>
    <row r="1536" spans="1:2" ht="15" hidden="1" x14ac:dyDescent="0.25">
      <c r="A1536" s="425" t="s">
        <v>1269</v>
      </c>
      <c r="B1536" s="425" t="s">
        <v>1270</v>
      </c>
    </row>
    <row r="1537" spans="1:2" ht="15" hidden="1" x14ac:dyDescent="0.25">
      <c r="A1537" s="425" t="s">
        <v>1269</v>
      </c>
      <c r="B1537" s="425" t="s">
        <v>1270</v>
      </c>
    </row>
    <row r="1538" spans="1:2" ht="15" hidden="1" x14ac:dyDescent="0.25">
      <c r="A1538" s="425" t="s">
        <v>1269</v>
      </c>
      <c r="B1538" s="425" t="s">
        <v>1270</v>
      </c>
    </row>
    <row r="1539" spans="1:2" ht="15" hidden="1" x14ac:dyDescent="0.25">
      <c r="A1539" s="425" t="s">
        <v>1269</v>
      </c>
      <c r="B1539" s="425" t="s">
        <v>1270</v>
      </c>
    </row>
    <row r="1540" spans="1:2" ht="15" hidden="1" x14ac:dyDescent="0.25">
      <c r="A1540" s="425" t="s">
        <v>1269</v>
      </c>
      <c r="B1540" s="425" t="s">
        <v>1270</v>
      </c>
    </row>
    <row r="1541" spans="1:2" ht="15" hidden="1" x14ac:dyDescent="0.25">
      <c r="A1541" s="425" t="s">
        <v>1269</v>
      </c>
      <c r="B1541" s="425" t="s">
        <v>1270</v>
      </c>
    </row>
    <row r="1542" spans="1:2" ht="15" hidden="1" x14ac:dyDescent="0.25">
      <c r="A1542" s="425" t="s">
        <v>1461</v>
      </c>
      <c r="B1542" s="425" t="s">
        <v>1461</v>
      </c>
    </row>
    <row r="1543" spans="1:2" ht="15" hidden="1" x14ac:dyDescent="0.25">
      <c r="A1543" s="425" t="s">
        <v>1461</v>
      </c>
      <c r="B1543" s="425" t="s">
        <v>1461</v>
      </c>
    </row>
    <row r="1544" spans="1:2" ht="15" hidden="1" x14ac:dyDescent="0.25">
      <c r="A1544" s="425" t="s">
        <v>1462</v>
      </c>
      <c r="B1544" s="425" t="s">
        <v>1462</v>
      </c>
    </row>
    <row r="1545" spans="1:2" ht="15" hidden="1" x14ac:dyDescent="0.25">
      <c r="A1545" s="425" t="s">
        <v>1463</v>
      </c>
      <c r="B1545" s="425" t="s">
        <v>1463</v>
      </c>
    </row>
    <row r="1546" spans="1:2" ht="15" hidden="1" x14ac:dyDescent="0.25">
      <c r="A1546" s="425" t="s">
        <v>1464</v>
      </c>
      <c r="B1546" s="425" t="s">
        <v>1464</v>
      </c>
    </row>
    <row r="1547" spans="1:2" ht="15" hidden="1" x14ac:dyDescent="0.25">
      <c r="A1547" s="425" t="s">
        <v>1465</v>
      </c>
      <c r="B1547" s="425" t="s">
        <v>1465</v>
      </c>
    </row>
    <row r="1548" spans="1:2" ht="15" hidden="1" x14ac:dyDescent="0.25">
      <c r="A1548" s="425" t="s">
        <v>1466</v>
      </c>
      <c r="B1548" s="425" t="s">
        <v>1466</v>
      </c>
    </row>
    <row r="1549" spans="1:2" ht="15" hidden="1" x14ac:dyDescent="0.25">
      <c r="A1549" s="425" t="s">
        <v>1467</v>
      </c>
      <c r="B1549" s="425" t="s">
        <v>1467</v>
      </c>
    </row>
    <row r="1550" spans="1:2" ht="15" hidden="1" x14ac:dyDescent="0.25">
      <c r="A1550" s="425" t="s">
        <v>1468</v>
      </c>
      <c r="B1550" s="425" t="s">
        <v>1468</v>
      </c>
    </row>
    <row r="1551" spans="1:2" ht="15" hidden="1" x14ac:dyDescent="0.25">
      <c r="A1551" s="425" t="s">
        <v>1468</v>
      </c>
      <c r="B1551" s="425" t="s">
        <v>1468</v>
      </c>
    </row>
    <row r="1552" spans="1:2" ht="15" hidden="1" x14ac:dyDescent="0.25">
      <c r="A1552" s="425" t="s">
        <v>1469</v>
      </c>
      <c r="B1552" s="425" t="s">
        <v>1469</v>
      </c>
    </row>
    <row r="1553" spans="1:2" ht="15" hidden="1" x14ac:dyDescent="0.25">
      <c r="A1553" s="425" t="s">
        <v>1469</v>
      </c>
      <c r="B1553" s="425" t="s">
        <v>1469</v>
      </c>
    </row>
    <row r="1554" spans="1:2" ht="15" hidden="1" x14ac:dyDescent="0.25">
      <c r="A1554" s="425" t="s">
        <v>1470</v>
      </c>
      <c r="B1554" s="425" t="s">
        <v>1470</v>
      </c>
    </row>
    <row r="1555" spans="1:2" ht="15" hidden="1" x14ac:dyDescent="0.25">
      <c r="A1555" s="425" t="s">
        <v>1470</v>
      </c>
      <c r="B1555" s="425" t="s">
        <v>1470</v>
      </c>
    </row>
    <row r="1556" spans="1:2" ht="15" hidden="1" x14ac:dyDescent="0.25">
      <c r="A1556" s="425" t="s">
        <v>1471</v>
      </c>
      <c r="B1556" s="425" t="s">
        <v>1471</v>
      </c>
    </row>
    <row r="1557" spans="1:2" ht="15" hidden="1" x14ac:dyDescent="0.25">
      <c r="A1557" s="425" t="s">
        <v>1472</v>
      </c>
      <c r="B1557" s="425" t="s">
        <v>1472</v>
      </c>
    </row>
    <row r="1558" spans="1:2" ht="15" hidden="1" x14ac:dyDescent="0.25">
      <c r="A1558" s="425" t="s">
        <v>1473</v>
      </c>
      <c r="B1558" s="425" t="s">
        <v>1473</v>
      </c>
    </row>
    <row r="1559" spans="1:2" ht="15" hidden="1" x14ac:dyDescent="0.25">
      <c r="A1559" s="425" t="s">
        <v>1474</v>
      </c>
      <c r="B1559" s="425" t="s">
        <v>1474</v>
      </c>
    </row>
    <row r="1560" spans="1:2" ht="15" hidden="1" x14ac:dyDescent="0.25">
      <c r="A1560" s="425" t="s">
        <v>1474</v>
      </c>
      <c r="B1560" s="425" t="s">
        <v>1474</v>
      </c>
    </row>
    <row r="1561" spans="1:2" ht="15" hidden="1" x14ac:dyDescent="0.25">
      <c r="A1561" s="425" t="s">
        <v>1475</v>
      </c>
      <c r="B1561" s="425" t="s">
        <v>1475</v>
      </c>
    </row>
    <row r="1562" spans="1:2" ht="15" hidden="1" x14ac:dyDescent="0.25">
      <c r="A1562" s="425" t="s">
        <v>1476</v>
      </c>
      <c r="B1562" s="425" t="s">
        <v>1476</v>
      </c>
    </row>
    <row r="1563" spans="1:2" ht="15" hidden="1" x14ac:dyDescent="0.25">
      <c r="A1563" s="425" t="s">
        <v>1477</v>
      </c>
      <c r="B1563" s="425" t="s">
        <v>1477</v>
      </c>
    </row>
    <row r="1564" spans="1:2" ht="15" hidden="1" x14ac:dyDescent="0.25">
      <c r="A1564" s="425" t="s">
        <v>1477</v>
      </c>
      <c r="B1564" s="425" t="s">
        <v>1477</v>
      </c>
    </row>
    <row r="1565" spans="1:2" ht="15" hidden="1" x14ac:dyDescent="0.25">
      <c r="A1565" s="425" t="s">
        <v>1478</v>
      </c>
      <c r="B1565" s="425" t="s">
        <v>1478</v>
      </c>
    </row>
    <row r="1566" spans="1:2" ht="15" hidden="1" x14ac:dyDescent="0.25">
      <c r="A1566" s="425" t="s">
        <v>1479</v>
      </c>
      <c r="B1566" s="425" t="s">
        <v>1479</v>
      </c>
    </row>
    <row r="1567" spans="1:2" ht="15" hidden="1" x14ac:dyDescent="0.25">
      <c r="A1567" s="425" t="s">
        <v>1480</v>
      </c>
      <c r="B1567" s="425" t="s">
        <v>1480</v>
      </c>
    </row>
    <row r="1568" spans="1:2" ht="15" hidden="1" x14ac:dyDescent="0.25">
      <c r="A1568" s="425" t="s">
        <v>1480</v>
      </c>
      <c r="B1568" s="425" t="s">
        <v>1480</v>
      </c>
    </row>
    <row r="1569" spans="1:2" ht="15" hidden="1" x14ac:dyDescent="0.25">
      <c r="A1569" s="425" t="s">
        <v>1481</v>
      </c>
      <c r="B1569" s="425" t="s">
        <v>1481</v>
      </c>
    </row>
    <row r="1570" spans="1:2" ht="15" hidden="1" x14ac:dyDescent="0.25">
      <c r="A1570" s="425" t="s">
        <v>1481</v>
      </c>
      <c r="B1570" s="425" t="s">
        <v>1481</v>
      </c>
    </row>
    <row r="1571" spans="1:2" ht="15" hidden="1" x14ac:dyDescent="0.25">
      <c r="A1571" s="425" t="s">
        <v>1482</v>
      </c>
      <c r="B1571" s="425" t="s">
        <v>1482</v>
      </c>
    </row>
    <row r="1572" spans="1:2" ht="15" hidden="1" x14ac:dyDescent="0.25">
      <c r="A1572" s="425" t="s">
        <v>1483</v>
      </c>
      <c r="B1572" s="425" t="s">
        <v>1483</v>
      </c>
    </row>
    <row r="1573" spans="1:2" ht="15" hidden="1" x14ac:dyDescent="0.25">
      <c r="A1573" s="425" t="s">
        <v>1484</v>
      </c>
      <c r="B1573" s="425" t="s">
        <v>1484</v>
      </c>
    </row>
    <row r="1574" spans="1:2" ht="15" hidden="1" x14ac:dyDescent="0.25">
      <c r="A1574" s="425" t="s">
        <v>1485</v>
      </c>
      <c r="B1574" s="425" t="s">
        <v>1485</v>
      </c>
    </row>
    <row r="1575" spans="1:2" ht="15" hidden="1" x14ac:dyDescent="0.25">
      <c r="A1575" s="425" t="s">
        <v>1486</v>
      </c>
      <c r="B1575" s="425" t="s">
        <v>1486</v>
      </c>
    </row>
    <row r="1576" spans="1:2" ht="15" hidden="1" x14ac:dyDescent="0.25">
      <c r="A1576" s="425" t="s">
        <v>1487</v>
      </c>
      <c r="B1576" s="425" t="s">
        <v>1487</v>
      </c>
    </row>
    <row r="1577" spans="1:2" ht="15" hidden="1" x14ac:dyDescent="0.25">
      <c r="A1577" s="425" t="s">
        <v>1488</v>
      </c>
      <c r="B1577" s="425" t="s">
        <v>1488</v>
      </c>
    </row>
    <row r="1578" spans="1:2" ht="15" hidden="1" x14ac:dyDescent="0.25">
      <c r="A1578" s="425" t="s">
        <v>1488</v>
      </c>
      <c r="B1578" s="425" t="s">
        <v>1488</v>
      </c>
    </row>
    <row r="1579" spans="1:2" ht="15" hidden="1" x14ac:dyDescent="0.25">
      <c r="A1579" s="425" t="s">
        <v>1489</v>
      </c>
      <c r="B1579" s="425" t="s">
        <v>1489</v>
      </c>
    </row>
    <row r="1580" spans="1:2" ht="15" hidden="1" x14ac:dyDescent="0.25">
      <c r="A1580" s="425" t="s">
        <v>1490</v>
      </c>
      <c r="B1580" s="425" t="s">
        <v>1490</v>
      </c>
    </row>
    <row r="1581" spans="1:2" ht="15" hidden="1" x14ac:dyDescent="0.25">
      <c r="A1581" s="425" t="s">
        <v>1491</v>
      </c>
      <c r="B1581" s="425" t="s">
        <v>1491</v>
      </c>
    </row>
    <row r="1582" spans="1:2" ht="15" hidden="1" x14ac:dyDescent="0.25">
      <c r="A1582" s="425" t="s">
        <v>1491</v>
      </c>
      <c r="B1582" s="425" t="s">
        <v>1491</v>
      </c>
    </row>
    <row r="1583" spans="1:2" ht="15" hidden="1" x14ac:dyDescent="0.25">
      <c r="A1583" s="425" t="s">
        <v>1492</v>
      </c>
      <c r="B1583" s="425" t="s">
        <v>1492</v>
      </c>
    </row>
    <row r="1584" spans="1:2" ht="15" hidden="1" x14ac:dyDescent="0.25">
      <c r="A1584" s="425" t="s">
        <v>1493</v>
      </c>
      <c r="B1584" s="425" t="s">
        <v>1493</v>
      </c>
    </row>
    <row r="1585" spans="1:2" ht="15" hidden="1" x14ac:dyDescent="0.25">
      <c r="A1585" s="425" t="s">
        <v>1493</v>
      </c>
      <c r="B1585" s="425" t="s">
        <v>1493</v>
      </c>
    </row>
    <row r="1586" spans="1:2" ht="15" hidden="1" x14ac:dyDescent="0.25">
      <c r="A1586" s="425" t="s">
        <v>1494</v>
      </c>
      <c r="B1586" s="425" t="s">
        <v>1494</v>
      </c>
    </row>
    <row r="1587" spans="1:2" ht="15" hidden="1" x14ac:dyDescent="0.25">
      <c r="A1587" s="425" t="s">
        <v>1495</v>
      </c>
      <c r="B1587" s="425" t="s">
        <v>1495</v>
      </c>
    </row>
    <row r="1588" spans="1:2" ht="15" hidden="1" x14ac:dyDescent="0.25">
      <c r="A1588" s="425" t="s">
        <v>1495</v>
      </c>
      <c r="B1588" s="425" t="s">
        <v>1495</v>
      </c>
    </row>
    <row r="1589" spans="1:2" ht="15" hidden="1" x14ac:dyDescent="0.25">
      <c r="A1589" s="425" t="s">
        <v>1496</v>
      </c>
      <c r="B1589" s="425" t="s">
        <v>1496</v>
      </c>
    </row>
    <row r="1590" spans="1:2" ht="15" hidden="1" x14ac:dyDescent="0.25">
      <c r="A1590" s="425" t="s">
        <v>1497</v>
      </c>
      <c r="B1590" s="425" t="s">
        <v>1497</v>
      </c>
    </row>
    <row r="1591" spans="1:2" ht="15" hidden="1" x14ac:dyDescent="0.25">
      <c r="A1591" s="425" t="s">
        <v>1498</v>
      </c>
      <c r="B1591" s="425" t="s">
        <v>1498</v>
      </c>
    </row>
    <row r="1592" spans="1:2" ht="15" hidden="1" x14ac:dyDescent="0.25">
      <c r="A1592" s="425" t="s">
        <v>1499</v>
      </c>
      <c r="B1592" s="425" t="s">
        <v>1499</v>
      </c>
    </row>
    <row r="1593" spans="1:2" ht="15" hidden="1" x14ac:dyDescent="0.25">
      <c r="A1593" s="425" t="s">
        <v>1499</v>
      </c>
      <c r="B1593" s="425" t="s">
        <v>1499</v>
      </c>
    </row>
    <row r="1594" spans="1:2" ht="15" hidden="1" x14ac:dyDescent="0.25">
      <c r="A1594" s="425" t="s">
        <v>1500</v>
      </c>
      <c r="B1594" s="425" t="s">
        <v>1500</v>
      </c>
    </row>
    <row r="1595" spans="1:2" ht="15" hidden="1" x14ac:dyDescent="0.25">
      <c r="A1595" s="425" t="s">
        <v>1500</v>
      </c>
      <c r="B1595" s="425" t="s">
        <v>1500</v>
      </c>
    </row>
    <row r="1596" spans="1:2" ht="15" hidden="1" x14ac:dyDescent="0.25">
      <c r="A1596" s="425" t="s">
        <v>1501</v>
      </c>
      <c r="B1596" s="425" t="s">
        <v>1501</v>
      </c>
    </row>
    <row r="1597" spans="1:2" ht="15" hidden="1" x14ac:dyDescent="0.25">
      <c r="A1597" s="425" t="s">
        <v>1502</v>
      </c>
      <c r="B1597" s="425" t="s">
        <v>1502</v>
      </c>
    </row>
    <row r="1598" spans="1:2" ht="15" hidden="1" x14ac:dyDescent="0.25">
      <c r="A1598" s="425" t="s">
        <v>1503</v>
      </c>
      <c r="B1598" s="425" t="s">
        <v>1503</v>
      </c>
    </row>
    <row r="1599" spans="1:2" ht="15" hidden="1" x14ac:dyDescent="0.25">
      <c r="A1599" s="425" t="s">
        <v>1504</v>
      </c>
      <c r="B1599" s="425" t="s">
        <v>1504</v>
      </c>
    </row>
    <row r="1600" spans="1:2" ht="15" hidden="1" x14ac:dyDescent="0.25">
      <c r="A1600" s="425" t="s">
        <v>1505</v>
      </c>
      <c r="B1600" s="425" t="s">
        <v>1505</v>
      </c>
    </row>
    <row r="1601" spans="1:2" ht="15" hidden="1" x14ac:dyDescent="0.25">
      <c r="A1601" s="425" t="s">
        <v>1506</v>
      </c>
      <c r="B1601" s="425" t="s">
        <v>1506</v>
      </c>
    </row>
    <row r="1602" spans="1:2" ht="15" hidden="1" x14ac:dyDescent="0.25">
      <c r="A1602" s="425" t="s">
        <v>1506</v>
      </c>
      <c r="B1602" s="425" t="s">
        <v>1506</v>
      </c>
    </row>
    <row r="1603" spans="1:2" ht="15" hidden="1" x14ac:dyDescent="0.25">
      <c r="A1603" s="425" t="s">
        <v>1507</v>
      </c>
      <c r="B1603" s="425" t="s">
        <v>1507</v>
      </c>
    </row>
    <row r="1604" spans="1:2" ht="15" hidden="1" x14ac:dyDescent="0.25">
      <c r="A1604" s="425" t="s">
        <v>1507</v>
      </c>
      <c r="B1604" s="425" t="s">
        <v>1507</v>
      </c>
    </row>
    <row r="1605" spans="1:2" ht="15" hidden="1" x14ac:dyDescent="0.25">
      <c r="A1605" s="425" t="s">
        <v>1508</v>
      </c>
      <c r="B1605" s="425" t="s">
        <v>1508</v>
      </c>
    </row>
    <row r="1606" spans="1:2" ht="15" hidden="1" x14ac:dyDescent="0.25">
      <c r="A1606" s="425" t="s">
        <v>1508</v>
      </c>
      <c r="B1606" s="425" t="s">
        <v>1508</v>
      </c>
    </row>
    <row r="1607" spans="1:2" ht="15" hidden="1" x14ac:dyDescent="0.25">
      <c r="A1607" s="425" t="s">
        <v>1509</v>
      </c>
      <c r="B1607" s="425" t="s">
        <v>1509</v>
      </c>
    </row>
    <row r="1608" spans="1:2" ht="15" hidden="1" x14ac:dyDescent="0.25">
      <c r="A1608" s="425" t="s">
        <v>1510</v>
      </c>
      <c r="B1608" s="425" t="s">
        <v>1510</v>
      </c>
    </row>
    <row r="1609" spans="1:2" ht="15" hidden="1" x14ac:dyDescent="0.25">
      <c r="A1609" s="425" t="s">
        <v>1511</v>
      </c>
      <c r="B1609" s="425" t="s">
        <v>1511</v>
      </c>
    </row>
    <row r="1610" spans="1:2" ht="15" hidden="1" x14ac:dyDescent="0.25">
      <c r="A1610" s="425" t="s">
        <v>1512</v>
      </c>
      <c r="B1610" s="425" t="s">
        <v>1512</v>
      </c>
    </row>
    <row r="1611" spans="1:2" ht="15" hidden="1" x14ac:dyDescent="0.25">
      <c r="A1611" s="425" t="s">
        <v>1513</v>
      </c>
      <c r="B1611" s="425" t="s">
        <v>1513</v>
      </c>
    </row>
    <row r="1612" spans="1:2" ht="15" hidden="1" x14ac:dyDescent="0.25">
      <c r="A1612" s="425" t="s">
        <v>1514</v>
      </c>
      <c r="B1612" s="425" t="s">
        <v>1514</v>
      </c>
    </row>
    <row r="1613" spans="1:2" ht="15" hidden="1" x14ac:dyDescent="0.25">
      <c r="A1613" s="425" t="s">
        <v>1515</v>
      </c>
      <c r="B1613" s="425" t="s">
        <v>1515</v>
      </c>
    </row>
    <row r="1614" spans="1:2" ht="15" hidden="1" x14ac:dyDescent="0.25">
      <c r="A1614" s="425" t="s">
        <v>1516</v>
      </c>
      <c r="B1614" s="425" t="s">
        <v>1516</v>
      </c>
    </row>
    <row r="1615" spans="1:2" ht="15" hidden="1" x14ac:dyDescent="0.25">
      <c r="A1615" s="425" t="s">
        <v>1517</v>
      </c>
      <c r="B1615" s="425" t="s">
        <v>1517</v>
      </c>
    </row>
    <row r="1616" spans="1:2" ht="15" hidden="1" x14ac:dyDescent="0.25">
      <c r="A1616" s="425" t="s">
        <v>1518</v>
      </c>
      <c r="B1616" s="425" t="s">
        <v>1518</v>
      </c>
    </row>
    <row r="1617" spans="1:2" ht="15" hidden="1" x14ac:dyDescent="0.25">
      <c r="A1617" s="425" t="s">
        <v>1518</v>
      </c>
      <c r="B1617" s="425" t="s">
        <v>1518</v>
      </c>
    </row>
    <row r="1618" spans="1:2" ht="15" hidden="1" x14ac:dyDescent="0.25">
      <c r="A1618" s="425" t="s">
        <v>1519</v>
      </c>
      <c r="B1618" s="425" t="s">
        <v>1519</v>
      </c>
    </row>
    <row r="1619" spans="1:2" ht="15" hidden="1" x14ac:dyDescent="0.25">
      <c r="A1619" s="425" t="s">
        <v>1520</v>
      </c>
      <c r="B1619" s="425" t="s">
        <v>1520</v>
      </c>
    </row>
    <row r="1620" spans="1:2" ht="15" hidden="1" x14ac:dyDescent="0.25">
      <c r="A1620" s="425" t="s">
        <v>1521</v>
      </c>
      <c r="B1620" s="425" t="s">
        <v>1521</v>
      </c>
    </row>
    <row r="1621" spans="1:2" ht="15" hidden="1" x14ac:dyDescent="0.25">
      <c r="A1621" s="425" t="s">
        <v>1522</v>
      </c>
      <c r="B1621" s="425" t="s">
        <v>1522</v>
      </c>
    </row>
    <row r="1622" spans="1:2" ht="15" hidden="1" x14ac:dyDescent="0.25">
      <c r="A1622" s="425" t="s">
        <v>1523</v>
      </c>
      <c r="B1622" s="425" t="s">
        <v>1523</v>
      </c>
    </row>
    <row r="1623" spans="1:2" ht="15" hidden="1" x14ac:dyDescent="0.25">
      <c r="A1623" s="425" t="s">
        <v>1523</v>
      </c>
      <c r="B1623" s="425" t="s">
        <v>1523</v>
      </c>
    </row>
    <row r="1624" spans="1:2" ht="15" hidden="1" x14ac:dyDescent="0.25">
      <c r="A1624" s="425" t="s">
        <v>1524</v>
      </c>
      <c r="B1624" s="425" t="s">
        <v>1524</v>
      </c>
    </row>
    <row r="1625" spans="1:2" ht="15" hidden="1" x14ac:dyDescent="0.25">
      <c r="A1625" s="425" t="s">
        <v>1524</v>
      </c>
      <c r="B1625" s="425" t="s">
        <v>1524</v>
      </c>
    </row>
    <row r="1626" spans="1:2" ht="15" hidden="1" x14ac:dyDescent="0.25">
      <c r="A1626" s="425" t="s">
        <v>1525</v>
      </c>
      <c r="B1626" s="425" t="s">
        <v>1525</v>
      </c>
    </row>
    <row r="1627" spans="1:2" ht="15" hidden="1" x14ac:dyDescent="0.25">
      <c r="A1627" s="425" t="s">
        <v>1526</v>
      </c>
      <c r="B1627" s="425" t="s">
        <v>1526</v>
      </c>
    </row>
    <row r="1628" spans="1:2" ht="15" hidden="1" x14ac:dyDescent="0.25">
      <c r="A1628" s="425" t="s">
        <v>1527</v>
      </c>
      <c r="B1628" s="425" t="s">
        <v>1527</v>
      </c>
    </row>
    <row r="1629" spans="1:2" ht="15" hidden="1" x14ac:dyDescent="0.25">
      <c r="A1629" s="425" t="s">
        <v>1527</v>
      </c>
      <c r="B1629" s="425" t="s">
        <v>1527</v>
      </c>
    </row>
    <row r="1630" spans="1:2" ht="15" hidden="1" x14ac:dyDescent="0.25">
      <c r="A1630" s="425" t="s">
        <v>1528</v>
      </c>
      <c r="B1630" s="425" t="s">
        <v>1528</v>
      </c>
    </row>
    <row r="1631" spans="1:2" ht="15" hidden="1" x14ac:dyDescent="0.25">
      <c r="A1631" s="425" t="s">
        <v>1529</v>
      </c>
      <c r="B1631" s="425" t="s">
        <v>1530</v>
      </c>
    </row>
    <row r="1632" spans="1:2" ht="15" hidden="1" x14ac:dyDescent="0.25">
      <c r="A1632" s="425" t="s">
        <v>1531</v>
      </c>
      <c r="B1632" s="425" t="s">
        <v>1532</v>
      </c>
    </row>
    <row r="1633" spans="1:2" ht="15" hidden="1" x14ac:dyDescent="0.25">
      <c r="A1633" s="425" t="s">
        <v>1533</v>
      </c>
      <c r="B1633" s="425" t="s">
        <v>1534</v>
      </c>
    </row>
    <row r="1634" spans="1:2" ht="15" hidden="1" x14ac:dyDescent="0.25">
      <c r="A1634" s="425" t="s">
        <v>1533</v>
      </c>
      <c r="B1634" s="425" t="s">
        <v>1534</v>
      </c>
    </row>
    <row r="1635" spans="1:2" ht="15" hidden="1" x14ac:dyDescent="0.25">
      <c r="A1635" s="425" t="s">
        <v>1535</v>
      </c>
      <c r="B1635" s="425" t="s">
        <v>1536</v>
      </c>
    </row>
    <row r="1636" spans="1:2" ht="15" hidden="1" x14ac:dyDescent="0.25">
      <c r="A1636" s="425" t="s">
        <v>1537</v>
      </c>
      <c r="B1636" s="425" t="s">
        <v>1538</v>
      </c>
    </row>
    <row r="1637" spans="1:2" ht="15" hidden="1" x14ac:dyDescent="0.25">
      <c r="A1637" s="425" t="s">
        <v>1537</v>
      </c>
      <c r="B1637" s="425" t="s">
        <v>1538</v>
      </c>
    </row>
    <row r="1638" spans="1:2" ht="15" hidden="1" x14ac:dyDescent="0.25">
      <c r="A1638" s="425" t="s">
        <v>1537</v>
      </c>
      <c r="B1638" s="425" t="s">
        <v>1538</v>
      </c>
    </row>
    <row r="1639" spans="1:2" ht="15" hidden="1" x14ac:dyDescent="0.25">
      <c r="A1639" s="425" t="s">
        <v>1539</v>
      </c>
      <c r="B1639" s="425" t="s">
        <v>1479</v>
      </c>
    </row>
    <row r="1640" spans="1:2" ht="15" hidden="1" x14ac:dyDescent="0.25">
      <c r="A1640" s="425" t="s">
        <v>1540</v>
      </c>
      <c r="B1640" s="425" t="s">
        <v>1541</v>
      </c>
    </row>
    <row r="1641" spans="1:2" ht="15" hidden="1" x14ac:dyDescent="0.25">
      <c r="A1641" s="425" t="s">
        <v>1542</v>
      </c>
      <c r="B1641" s="425" t="s">
        <v>57</v>
      </c>
    </row>
    <row r="1642" spans="1:2" ht="15" hidden="1" x14ac:dyDescent="0.25">
      <c r="A1642" s="425" t="s">
        <v>1542</v>
      </c>
      <c r="B1642" s="425" t="s">
        <v>57</v>
      </c>
    </row>
    <row r="1643" spans="1:2" ht="15" hidden="1" x14ac:dyDescent="0.25">
      <c r="A1643" s="425" t="s">
        <v>1543</v>
      </c>
      <c r="B1643" s="425" t="s">
        <v>1544</v>
      </c>
    </row>
    <row r="1644" spans="1:2" ht="15" hidden="1" x14ac:dyDescent="0.25">
      <c r="A1644" s="425" t="s">
        <v>1545</v>
      </c>
      <c r="B1644" s="425" t="s">
        <v>1546</v>
      </c>
    </row>
    <row r="1645" spans="1:2" ht="15" hidden="1" x14ac:dyDescent="0.25">
      <c r="A1645" s="425" t="s">
        <v>1547</v>
      </c>
      <c r="B1645" s="425" t="s">
        <v>1548</v>
      </c>
    </row>
    <row r="1646" spans="1:2" ht="15" hidden="1" x14ac:dyDescent="0.25">
      <c r="A1646" s="425" t="s">
        <v>1549</v>
      </c>
      <c r="B1646" s="425" t="s">
        <v>1550</v>
      </c>
    </row>
    <row r="1647" spans="1:2" ht="15" hidden="1" x14ac:dyDescent="0.25">
      <c r="A1647" s="425" t="s">
        <v>1551</v>
      </c>
      <c r="B1647" s="425" t="s">
        <v>1552</v>
      </c>
    </row>
    <row r="1648" spans="1:2" ht="15" hidden="1" x14ac:dyDescent="0.25">
      <c r="A1648" s="425" t="s">
        <v>1553</v>
      </c>
      <c r="B1648" s="425" t="s">
        <v>1554</v>
      </c>
    </row>
    <row r="1649" spans="1:2" ht="15" hidden="1" x14ac:dyDescent="0.25">
      <c r="A1649" s="425" t="s">
        <v>1555</v>
      </c>
      <c r="B1649" s="425" t="s">
        <v>1556</v>
      </c>
    </row>
    <row r="1650" spans="1:2" ht="15" hidden="1" x14ac:dyDescent="0.25">
      <c r="A1650" s="425" t="s">
        <v>1555</v>
      </c>
      <c r="B1650" s="425" t="s">
        <v>1556</v>
      </c>
    </row>
    <row r="1651" spans="1:2" ht="15" hidden="1" x14ac:dyDescent="0.25">
      <c r="A1651" s="425" t="s">
        <v>1557</v>
      </c>
      <c r="B1651" s="425" t="s">
        <v>1558</v>
      </c>
    </row>
    <row r="1652" spans="1:2" ht="15" hidden="1" x14ac:dyDescent="0.25">
      <c r="A1652" s="425" t="s">
        <v>1559</v>
      </c>
      <c r="B1652" s="425" t="s">
        <v>1560</v>
      </c>
    </row>
    <row r="1653" spans="1:2" ht="15" hidden="1" x14ac:dyDescent="0.25">
      <c r="A1653" s="425" t="s">
        <v>1561</v>
      </c>
      <c r="B1653" s="425" t="s">
        <v>1562</v>
      </c>
    </row>
    <row r="1654" spans="1:2" ht="15" hidden="1" x14ac:dyDescent="0.25">
      <c r="A1654" s="425" t="s">
        <v>1561</v>
      </c>
      <c r="B1654" s="425" t="s">
        <v>1562</v>
      </c>
    </row>
    <row r="1655" spans="1:2" ht="15" hidden="1" x14ac:dyDescent="0.25">
      <c r="A1655" s="425" t="s">
        <v>1563</v>
      </c>
      <c r="B1655" s="425" t="s">
        <v>1564</v>
      </c>
    </row>
    <row r="1656" spans="1:2" ht="15" hidden="1" x14ac:dyDescent="0.25">
      <c r="A1656" s="425" t="s">
        <v>1565</v>
      </c>
      <c r="B1656" s="425" t="s">
        <v>1566</v>
      </c>
    </row>
    <row r="1657" spans="1:2" ht="15" hidden="1" x14ac:dyDescent="0.25">
      <c r="A1657" s="425" t="s">
        <v>1565</v>
      </c>
      <c r="B1657" s="425" t="s">
        <v>1566</v>
      </c>
    </row>
    <row r="1658" spans="1:2" ht="15" hidden="1" x14ac:dyDescent="0.25">
      <c r="A1658" s="425" t="s">
        <v>1567</v>
      </c>
      <c r="B1658" s="425" t="s">
        <v>1568</v>
      </c>
    </row>
    <row r="1659" spans="1:2" ht="15" hidden="1" x14ac:dyDescent="0.25">
      <c r="A1659" s="425" t="s">
        <v>1569</v>
      </c>
      <c r="B1659" s="425" t="s">
        <v>1570</v>
      </c>
    </row>
    <row r="1660" spans="1:2" ht="15" hidden="1" x14ac:dyDescent="0.25">
      <c r="A1660" s="425" t="s">
        <v>1571</v>
      </c>
      <c r="B1660" s="425" t="s">
        <v>1572</v>
      </c>
    </row>
    <row r="1661" spans="1:2" ht="15" hidden="1" x14ac:dyDescent="0.25">
      <c r="A1661" s="425" t="s">
        <v>1573</v>
      </c>
      <c r="B1661" s="425" t="s">
        <v>1574</v>
      </c>
    </row>
    <row r="1662" spans="1:2" ht="15" hidden="1" x14ac:dyDescent="0.25">
      <c r="A1662" s="425" t="s">
        <v>1575</v>
      </c>
      <c r="B1662" s="425" t="s">
        <v>1576</v>
      </c>
    </row>
    <row r="1663" spans="1:2" ht="15" hidden="1" x14ac:dyDescent="0.25">
      <c r="A1663" s="425" t="s">
        <v>1577</v>
      </c>
      <c r="B1663" s="425" t="s">
        <v>1578</v>
      </c>
    </row>
    <row r="1664" spans="1:2" ht="15" hidden="1" x14ac:dyDescent="0.25">
      <c r="A1664" s="425" t="s">
        <v>1579</v>
      </c>
      <c r="B1664" s="425" t="s">
        <v>1580</v>
      </c>
    </row>
    <row r="1665" spans="1:2" ht="15" hidden="1" x14ac:dyDescent="0.25">
      <c r="A1665" s="425" t="s">
        <v>1579</v>
      </c>
      <c r="B1665" s="425" t="s">
        <v>1580</v>
      </c>
    </row>
    <row r="1666" spans="1:2" ht="15" hidden="1" x14ac:dyDescent="0.25">
      <c r="A1666" s="425" t="s">
        <v>1581</v>
      </c>
      <c r="B1666" s="425" t="s">
        <v>1582</v>
      </c>
    </row>
    <row r="1667" spans="1:2" ht="15" hidden="1" x14ac:dyDescent="0.25">
      <c r="A1667" s="425" t="s">
        <v>1583</v>
      </c>
      <c r="B1667" s="425" t="s">
        <v>1584</v>
      </c>
    </row>
    <row r="1668" spans="1:2" ht="15" hidden="1" x14ac:dyDescent="0.25">
      <c r="A1668" s="425" t="s">
        <v>1585</v>
      </c>
      <c r="B1668" s="425" t="s">
        <v>1586</v>
      </c>
    </row>
    <row r="1669" spans="1:2" ht="15" hidden="1" x14ac:dyDescent="0.25">
      <c r="A1669" s="425" t="s">
        <v>1587</v>
      </c>
      <c r="B1669" s="425" t="s">
        <v>1588</v>
      </c>
    </row>
    <row r="1670" spans="1:2" ht="15" hidden="1" x14ac:dyDescent="0.25">
      <c r="A1670" s="425" t="s">
        <v>1587</v>
      </c>
      <c r="B1670" s="425" t="s">
        <v>1588</v>
      </c>
    </row>
    <row r="1671" spans="1:2" ht="15" hidden="1" x14ac:dyDescent="0.25">
      <c r="A1671" s="425" t="s">
        <v>1589</v>
      </c>
      <c r="B1671" s="425" t="s">
        <v>1590</v>
      </c>
    </row>
    <row r="1672" spans="1:2" ht="15" hidden="1" x14ac:dyDescent="0.25">
      <c r="A1672" s="425" t="s">
        <v>1591</v>
      </c>
      <c r="B1672" s="425" t="s">
        <v>1592</v>
      </c>
    </row>
    <row r="1673" spans="1:2" ht="15" hidden="1" x14ac:dyDescent="0.25">
      <c r="A1673" s="425" t="s">
        <v>1593</v>
      </c>
      <c r="B1673" s="425" t="s">
        <v>1594</v>
      </c>
    </row>
    <row r="1674" spans="1:2" ht="15" hidden="1" x14ac:dyDescent="0.25">
      <c r="A1674" s="425" t="s">
        <v>1593</v>
      </c>
      <c r="B1674" s="425" t="s">
        <v>1594</v>
      </c>
    </row>
    <row r="1675" spans="1:2" ht="15" hidden="1" x14ac:dyDescent="0.25">
      <c r="A1675" s="425" t="s">
        <v>1595</v>
      </c>
      <c r="B1675" s="425" t="s">
        <v>1596</v>
      </c>
    </row>
    <row r="1676" spans="1:2" ht="15" hidden="1" x14ac:dyDescent="0.25">
      <c r="A1676" s="425" t="s">
        <v>1595</v>
      </c>
      <c r="B1676" s="425" t="s">
        <v>1596</v>
      </c>
    </row>
    <row r="1677" spans="1:2" ht="15" hidden="1" x14ac:dyDescent="0.25">
      <c r="A1677" s="425" t="s">
        <v>1597</v>
      </c>
      <c r="B1677" s="425" t="s">
        <v>1598</v>
      </c>
    </row>
    <row r="1678" spans="1:2" ht="15" hidden="1" x14ac:dyDescent="0.25">
      <c r="A1678" s="425" t="s">
        <v>1599</v>
      </c>
      <c r="B1678" s="425" t="s">
        <v>1600</v>
      </c>
    </row>
    <row r="1679" spans="1:2" ht="15" hidden="1" x14ac:dyDescent="0.25">
      <c r="A1679" s="425" t="s">
        <v>1601</v>
      </c>
      <c r="B1679" s="425" t="s">
        <v>1602</v>
      </c>
    </row>
    <row r="1680" spans="1:2" ht="15" hidden="1" x14ac:dyDescent="0.25">
      <c r="A1680" s="425" t="s">
        <v>1601</v>
      </c>
      <c r="B1680" s="425" t="s">
        <v>1602</v>
      </c>
    </row>
    <row r="1681" spans="1:2" ht="15" hidden="1" x14ac:dyDescent="0.25">
      <c r="A1681" s="425" t="s">
        <v>1601</v>
      </c>
      <c r="B1681" s="425" t="s">
        <v>1602</v>
      </c>
    </row>
    <row r="1682" spans="1:2" ht="15" hidden="1" x14ac:dyDescent="0.25">
      <c r="A1682" s="425" t="s">
        <v>1603</v>
      </c>
      <c r="B1682" s="425" t="s">
        <v>1604</v>
      </c>
    </row>
    <row r="1683" spans="1:2" ht="15" hidden="1" x14ac:dyDescent="0.25">
      <c r="A1683" s="425" t="s">
        <v>1605</v>
      </c>
      <c r="B1683" s="425" t="s">
        <v>1606</v>
      </c>
    </row>
    <row r="1684" spans="1:2" ht="15" hidden="1" x14ac:dyDescent="0.25">
      <c r="A1684" s="425" t="s">
        <v>1607</v>
      </c>
      <c r="B1684" s="425" t="s">
        <v>1608</v>
      </c>
    </row>
    <row r="1685" spans="1:2" ht="15" hidden="1" x14ac:dyDescent="0.25">
      <c r="A1685" s="425" t="s">
        <v>1609</v>
      </c>
      <c r="B1685" s="425" t="s">
        <v>1610</v>
      </c>
    </row>
    <row r="1686" spans="1:2" ht="15" hidden="1" x14ac:dyDescent="0.25">
      <c r="A1686" s="425" t="s">
        <v>1611</v>
      </c>
      <c r="B1686" s="425" t="s">
        <v>1612</v>
      </c>
    </row>
    <row r="1687" spans="1:2" ht="15" hidden="1" x14ac:dyDescent="0.25">
      <c r="A1687" s="425" t="s">
        <v>1613</v>
      </c>
      <c r="B1687" s="425" t="s">
        <v>1614</v>
      </c>
    </row>
    <row r="1688" spans="1:2" ht="15" hidden="1" x14ac:dyDescent="0.25">
      <c r="A1688" s="425" t="s">
        <v>1613</v>
      </c>
      <c r="B1688" s="425" t="s">
        <v>1614</v>
      </c>
    </row>
    <row r="1689" spans="1:2" ht="15" hidden="1" x14ac:dyDescent="0.25">
      <c r="A1689" s="425" t="s">
        <v>1615</v>
      </c>
      <c r="B1689" s="425" t="s">
        <v>1616</v>
      </c>
    </row>
    <row r="1690" spans="1:2" ht="15" hidden="1" x14ac:dyDescent="0.25">
      <c r="A1690" s="425" t="s">
        <v>208</v>
      </c>
      <c r="B1690" s="425" t="s">
        <v>309</v>
      </c>
    </row>
    <row r="1691" spans="1:2" ht="15" hidden="1" x14ac:dyDescent="0.25">
      <c r="A1691" s="425" t="s">
        <v>208</v>
      </c>
      <c r="B1691" s="425" t="s">
        <v>309</v>
      </c>
    </row>
    <row r="1692" spans="1:2" ht="15" hidden="1" x14ac:dyDescent="0.25">
      <c r="A1692" s="425" t="s">
        <v>208</v>
      </c>
      <c r="B1692" s="425" t="s">
        <v>309</v>
      </c>
    </row>
    <row r="1693" spans="1:2" ht="15" hidden="1" x14ac:dyDescent="0.25">
      <c r="A1693" s="425" t="s">
        <v>208</v>
      </c>
      <c r="B1693" s="425" t="s">
        <v>309</v>
      </c>
    </row>
    <row r="1694" spans="1:2" ht="15" hidden="1" x14ac:dyDescent="0.25">
      <c r="A1694" s="425" t="s">
        <v>178</v>
      </c>
      <c r="B1694" s="425" t="s">
        <v>310</v>
      </c>
    </row>
    <row r="1695" spans="1:2" ht="15" hidden="1" x14ac:dyDescent="0.25">
      <c r="A1695" s="425" t="s">
        <v>178</v>
      </c>
      <c r="B1695" s="425" t="s">
        <v>310</v>
      </c>
    </row>
    <row r="1696" spans="1:2" ht="15" hidden="1" x14ac:dyDescent="0.25">
      <c r="A1696" s="425" t="s">
        <v>178</v>
      </c>
      <c r="B1696" s="425" t="s">
        <v>310</v>
      </c>
    </row>
    <row r="1697" spans="1:2" ht="15" hidden="1" x14ac:dyDescent="0.25">
      <c r="A1697" s="425" t="s">
        <v>178</v>
      </c>
      <c r="B1697" s="425" t="s">
        <v>310</v>
      </c>
    </row>
    <row r="1698" spans="1:2" ht="15" hidden="1" x14ac:dyDescent="0.25">
      <c r="A1698" s="425" t="s">
        <v>178</v>
      </c>
      <c r="B1698" s="425" t="s">
        <v>310</v>
      </c>
    </row>
    <row r="1699" spans="1:2" ht="15" hidden="1" x14ac:dyDescent="0.25">
      <c r="A1699" s="425" t="s">
        <v>178</v>
      </c>
      <c r="B1699" s="425" t="s">
        <v>310</v>
      </c>
    </row>
    <row r="1700" spans="1:2" ht="15" hidden="1" x14ac:dyDescent="0.25">
      <c r="A1700" s="425" t="s">
        <v>179</v>
      </c>
      <c r="B1700" s="425" t="s">
        <v>311</v>
      </c>
    </row>
    <row r="1701" spans="1:2" ht="15" hidden="1" x14ac:dyDescent="0.25">
      <c r="A1701" s="425" t="s">
        <v>1617</v>
      </c>
      <c r="B1701" s="425" t="s">
        <v>1618</v>
      </c>
    </row>
    <row r="1702" spans="1:2" ht="15" hidden="1" x14ac:dyDescent="0.25">
      <c r="A1702" s="425" t="s">
        <v>1617</v>
      </c>
      <c r="B1702" s="425" t="s">
        <v>1618</v>
      </c>
    </row>
    <row r="1703" spans="1:2" ht="15" hidden="1" x14ac:dyDescent="0.25">
      <c r="A1703" s="425" t="s">
        <v>1617</v>
      </c>
      <c r="B1703" s="425" t="s">
        <v>1618</v>
      </c>
    </row>
    <row r="1704" spans="1:2" ht="15" hidden="1" x14ac:dyDescent="0.25">
      <c r="A1704" s="425" t="s">
        <v>1617</v>
      </c>
      <c r="B1704" s="425" t="s">
        <v>1618</v>
      </c>
    </row>
    <row r="1705" spans="1:2" ht="15" hidden="1" x14ac:dyDescent="0.25">
      <c r="A1705" s="425" t="s">
        <v>180</v>
      </c>
      <c r="B1705" s="425" t="s">
        <v>312</v>
      </c>
    </row>
    <row r="1706" spans="1:2" ht="15" hidden="1" x14ac:dyDescent="0.25">
      <c r="A1706" s="425" t="s">
        <v>180</v>
      </c>
      <c r="B1706" s="425" t="s">
        <v>312</v>
      </c>
    </row>
    <row r="1707" spans="1:2" ht="15" hidden="1" x14ac:dyDescent="0.25">
      <c r="A1707" s="425" t="s">
        <v>180</v>
      </c>
      <c r="B1707" s="425" t="s">
        <v>312</v>
      </c>
    </row>
    <row r="1708" spans="1:2" ht="15" hidden="1" x14ac:dyDescent="0.25">
      <c r="A1708" s="425" t="s">
        <v>180</v>
      </c>
      <c r="B1708" s="425" t="s">
        <v>312</v>
      </c>
    </row>
    <row r="1709" spans="1:2" ht="15" hidden="1" x14ac:dyDescent="0.25">
      <c r="A1709" s="425" t="s">
        <v>180</v>
      </c>
      <c r="B1709" s="425" t="s">
        <v>312</v>
      </c>
    </row>
    <row r="1710" spans="1:2" ht="15" hidden="1" x14ac:dyDescent="0.25">
      <c r="A1710" s="425" t="s">
        <v>180</v>
      </c>
      <c r="B1710" s="425" t="s">
        <v>312</v>
      </c>
    </row>
    <row r="1711" spans="1:2" ht="15" hidden="1" x14ac:dyDescent="0.25">
      <c r="A1711" s="425" t="s">
        <v>395</v>
      </c>
      <c r="B1711" s="425" t="s">
        <v>396</v>
      </c>
    </row>
    <row r="1712" spans="1:2" ht="15" hidden="1" x14ac:dyDescent="0.25">
      <c r="A1712" s="425" t="s">
        <v>395</v>
      </c>
      <c r="B1712" s="425" t="s">
        <v>396</v>
      </c>
    </row>
    <row r="1713" spans="1:2" ht="15" hidden="1" x14ac:dyDescent="0.25">
      <c r="A1713" s="425" t="s">
        <v>395</v>
      </c>
      <c r="B1713" s="425" t="s">
        <v>396</v>
      </c>
    </row>
    <row r="1714" spans="1:2" ht="15" hidden="1" x14ac:dyDescent="0.25">
      <c r="A1714" s="425" t="s">
        <v>395</v>
      </c>
      <c r="B1714" s="425" t="s">
        <v>396</v>
      </c>
    </row>
    <row r="1715" spans="1:2" ht="15" hidden="1" x14ac:dyDescent="0.25">
      <c r="A1715" s="425" t="s">
        <v>1619</v>
      </c>
      <c r="B1715" s="425" t="s">
        <v>1620</v>
      </c>
    </row>
    <row r="1716" spans="1:2" ht="15" hidden="1" x14ac:dyDescent="0.25">
      <c r="A1716" s="425" t="s">
        <v>1455</v>
      </c>
      <c r="B1716" s="425" t="s">
        <v>1456</v>
      </c>
    </row>
    <row r="1717" spans="1:2" ht="15" hidden="1" x14ac:dyDescent="0.25">
      <c r="A1717" s="425" t="s">
        <v>1455</v>
      </c>
      <c r="B1717" s="425" t="s">
        <v>1456</v>
      </c>
    </row>
    <row r="1718" spans="1:2" ht="15" hidden="1" x14ac:dyDescent="0.25">
      <c r="A1718" s="426" t="s">
        <v>1455</v>
      </c>
      <c r="B1718" s="425" t="s">
        <v>1456</v>
      </c>
    </row>
    <row r="1719" spans="1:2" ht="15" hidden="1" x14ac:dyDescent="0.25">
      <c r="A1719" s="425" t="s">
        <v>1455</v>
      </c>
      <c r="B1719" s="425" t="s">
        <v>1456</v>
      </c>
    </row>
    <row r="1720" spans="1:2" ht="15" hidden="1" x14ac:dyDescent="0.25">
      <c r="A1720" s="425" t="s">
        <v>1455</v>
      </c>
      <c r="B1720" s="425" t="s">
        <v>1456</v>
      </c>
    </row>
    <row r="1721" spans="1:2" ht="15" hidden="1" x14ac:dyDescent="0.25">
      <c r="A1721" s="425" t="s">
        <v>181</v>
      </c>
      <c r="B1721" s="425" t="s">
        <v>313</v>
      </c>
    </row>
    <row r="1722" spans="1:2" ht="15" hidden="1" x14ac:dyDescent="0.25">
      <c r="A1722" s="425" t="s">
        <v>181</v>
      </c>
      <c r="B1722" s="425" t="s">
        <v>313</v>
      </c>
    </row>
    <row r="1723" spans="1:2" ht="15" hidden="1" x14ac:dyDescent="0.25">
      <c r="A1723" s="425" t="s">
        <v>181</v>
      </c>
      <c r="B1723" s="425" t="s">
        <v>313</v>
      </c>
    </row>
    <row r="1724" spans="1:2" ht="15" hidden="1" x14ac:dyDescent="0.25">
      <c r="A1724" s="425" t="s">
        <v>181</v>
      </c>
      <c r="B1724" s="425" t="s">
        <v>313</v>
      </c>
    </row>
    <row r="1725" spans="1:2" ht="15" hidden="1" x14ac:dyDescent="0.25">
      <c r="A1725" s="425" t="s">
        <v>181</v>
      </c>
      <c r="B1725" s="425" t="s">
        <v>313</v>
      </c>
    </row>
    <row r="1726" spans="1:2" ht="15" hidden="1" x14ac:dyDescent="0.25">
      <c r="A1726" s="425" t="s">
        <v>181</v>
      </c>
      <c r="B1726" s="425" t="s">
        <v>313</v>
      </c>
    </row>
    <row r="1727" spans="1:2" ht="15" hidden="1" x14ac:dyDescent="0.25">
      <c r="A1727" s="425" t="s">
        <v>181</v>
      </c>
      <c r="B1727" s="425" t="s">
        <v>313</v>
      </c>
    </row>
    <row r="1728" spans="1:2" ht="15" hidden="1" x14ac:dyDescent="0.25">
      <c r="A1728" s="425" t="s">
        <v>181</v>
      </c>
      <c r="B1728" s="425" t="s">
        <v>313</v>
      </c>
    </row>
    <row r="1729" spans="1:2" ht="15" hidden="1" x14ac:dyDescent="0.25">
      <c r="A1729" s="425" t="s">
        <v>181</v>
      </c>
      <c r="B1729" s="425" t="s">
        <v>313</v>
      </c>
    </row>
    <row r="1730" spans="1:2" ht="15" hidden="1" x14ac:dyDescent="0.25">
      <c r="A1730" s="425" t="s">
        <v>181</v>
      </c>
      <c r="B1730" s="425" t="s">
        <v>313</v>
      </c>
    </row>
    <row r="1731" spans="1:2" ht="15" hidden="1" x14ac:dyDescent="0.25">
      <c r="A1731" s="425" t="s">
        <v>181</v>
      </c>
      <c r="B1731" s="425" t="s">
        <v>313</v>
      </c>
    </row>
    <row r="1732" spans="1:2" ht="15" hidden="1" x14ac:dyDescent="0.25">
      <c r="A1732" s="425" t="s">
        <v>182</v>
      </c>
      <c r="B1732" s="425" t="s">
        <v>315</v>
      </c>
    </row>
    <row r="1733" spans="1:2" ht="15" hidden="1" x14ac:dyDescent="0.25">
      <c r="A1733" s="425" t="s">
        <v>182</v>
      </c>
      <c r="B1733" s="425" t="s">
        <v>315</v>
      </c>
    </row>
    <row r="1734" spans="1:2" ht="15" hidden="1" x14ac:dyDescent="0.25">
      <c r="A1734" s="425" t="s">
        <v>182</v>
      </c>
      <c r="B1734" s="425" t="s">
        <v>315</v>
      </c>
    </row>
    <row r="1735" spans="1:2" ht="15" hidden="1" x14ac:dyDescent="0.25">
      <c r="A1735" s="425" t="s">
        <v>182</v>
      </c>
      <c r="B1735" s="425" t="s">
        <v>315</v>
      </c>
    </row>
    <row r="1736" spans="1:2" ht="15" hidden="1" x14ac:dyDescent="0.25">
      <c r="A1736" s="425" t="s">
        <v>182</v>
      </c>
      <c r="B1736" s="425" t="s">
        <v>315</v>
      </c>
    </row>
    <row r="1737" spans="1:2" ht="15" hidden="1" x14ac:dyDescent="0.25">
      <c r="A1737" s="425" t="s">
        <v>182</v>
      </c>
      <c r="B1737" s="425" t="s">
        <v>315</v>
      </c>
    </row>
    <row r="1738" spans="1:2" ht="15" hidden="1" x14ac:dyDescent="0.25">
      <c r="A1738" s="425" t="s">
        <v>182</v>
      </c>
      <c r="B1738" s="425" t="s">
        <v>315</v>
      </c>
    </row>
    <row r="1739" spans="1:2" ht="15" hidden="1" x14ac:dyDescent="0.25">
      <c r="A1739" s="425" t="s">
        <v>182</v>
      </c>
      <c r="B1739" s="425" t="s">
        <v>315</v>
      </c>
    </row>
    <row r="1740" spans="1:2" ht="15" hidden="1" x14ac:dyDescent="0.25">
      <c r="A1740" s="425" t="s">
        <v>182</v>
      </c>
      <c r="B1740" s="425" t="s">
        <v>315</v>
      </c>
    </row>
    <row r="1741" spans="1:2" ht="15" hidden="1" x14ac:dyDescent="0.25">
      <c r="A1741" s="425" t="s">
        <v>182</v>
      </c>
      <c r="B1741" s="425" t="s">
        <v>315</v>
      </c>
    </row>
    <row r="1742" spans="1:2" ht="15" hidden="1" x14ac:dyDescent="0.25">
      <c r="A1742" s="425" t="s">
        <v>182</v>
      </c>
      <c r="B1742" s="425" t="s">
        <v>315</v>
      </c>
    </row>
    <row r="1743" spans="1:2" ht="15" hidden="1" x14ac:dyDescent="0.25">
      <c r="A1743" s="425" t="s">
        <v>182</v>
      </c>
      <c r="B1743" s="425" t="s">
        <v>315</v>
      </c>
    </row>
    <row r="1744" spans="1:2" ht="15" hidden="1" x14ac:dyDescent="0.25">
      <c r="A1744" s="425" t="s">
        <v>182</v>
      </c>
      <c r="B1744" s="425" t="s">
        <v>315</v>
      </c>
    </row>
    <row r="1745" spans="1:2" ht="15" hidden="1" x14ac:dyDescent="0.25">
      <c r="A1745" s="425" t="s">
        <v>182</v>
      </c>
      <c r="B1745" s="425" t="s">
        <v>315</v>
      </c>
    </row>
    <row r="1746" spans="1:2" ht="15" hidden="1" x14ac:dyDescent="0.25">
      <c r="A1746" s="425" t="s">
        <v>182</v>
      </c>
      <c r="B1746" s="425" t="s">
        <v>315</v>
      </c>
    </row>
    <row r="1747" spans="1:2" ht="15" hidden="1" x14ac:dyDescent="0.25">
      <c r="A1747" s="425" t="s">
        <v>182</v>
      </c>
      <c r="B1747" s="425" t="s">
        <v>315</v>
      </c>
    </row>
    <row r="1748" spans="1:2" ht="15" hidden="1" x14ac:dyDescent="0.25">
      <c r="A1748" s="425" t="s">
        <v>182</v>
      </c>
      <c r="B1748" s="425" t="s">
        <v>315</v>
      </c>
    </row>
    <row r="1749" spans="1:2" ht="15" hidden="1" x14ac:dyDescent="0.25">
      <c r="A1749" s="425" t="s">
        <v>182</v>
      </c>
      <c r="B1749" s="425" t="s">
        <v>315</v>
      </c>
    </row>
    <row r="1750" spans="1:2" ht="15" hidden="1" x14ac:dyDescent="0.25">
      <c r="A1750" s="425" t="s">
        <v>182</v>
      </c>
      <c r="B1750" s="425" t="s">
        <v>315</v>
      </c>
    </row>
    <row r="1751" spans="1:2" ht="15" hidden="1" x14ac:dyDescent="0.25">
      <c r="A1751" s="425" t="s">
        <v>182</v>
      </c>
      <c r="B1751" s="425" t="s">
        <v>315</v>
      </c>
    </row>
    <row r="1752" spans="1:2" ht="15" hidden="1" x14ac:dyDescent="0.25">
      <c r="A1752" s="425" t="s">
        <v>182</v>
      </c>
      <c r="B1752" s="425" t="s">
        <v>315</v>
      </c>
    </row>
    <row r="1753" spans="1:2" ht="15" hidden="1" x14ac:dyDescent="0.25">
      <c r="A1753" s="425" t="s">
        <v>210</v>
      </c>
      <c r="B1753" s="425" t="s">
        <v>316</v>
      </c>
    </row>
    <row r="1754" spans="1:2" ht="15" hidden="1" x14ac:dyDescent="0.25">
      <c r="A1754" s="425" t="s">
        <v>210</v>
      </c>
      <c r="B1754" s="425" t="s">
        <v>316</v>
      </c>
    </row>
    <row r="1755" spans="1:2" ht="15" hidden="1" x14ac:dyDescent="0.25">
      <c r="A1755" s="425" t="s">
        <v>183</v>
      </c>
      <c r="B1755" s="425" t="s">
        <v>317</v>
      </c>
    </row>
    <row r="1756" spans="1:2" ht="15" hidden="1" x14ac:dyDescent="0.25">
      <c r="A1756" s="425" t="s">
        <v>184</v>
      </c>
      <c r="B1756" s="425" t="s">
        <v>318</v>
      </c>
    </row>
    <row r="1757" spans="1:2" ht="15" hidden="1" x14ac:dyDescent="0.25">
      <c r="A1757" s="425" t="s">
        <v>184</v>
      </c>
      <c r="B1757" s="425" t="s">
        <v>318</v>
      </c>
    </row>
    <row r="1758" spans="1:2" ht="15" hidden="1" x14ac:dyDescent="0.25">
      <c r="A1758" s="425" t="s">
        <v>184</v>
      </c>
      <c r="B1758" s="425" t="s">
        <v>318</v>
      </c>
    </row>
    <row r="1759" spans="1:2" ht="15" hidden="1" x14ac:dyDescent="0.25">
      <c r="A1759" s="425" t="s">
        <v>184</v>
      </c>
      <c r="B1759" s="425" t="s">
        <v>318</v>
      </c>
    </row>
    <row r="1760" spans="1:2" ht="15" hidden="1" x14ac:dyDescent="0.25">
      <c r="A1760" s="425" t="s">
        <v>185</v>
      </c>
      <c r="B1760" s="425" t="s">
        <v>319</v>
      </c>
    </row>
    <row r="1761" spans="1:2" ht="15" hidden="1" x14ac:dyDescent="0.25">
      <c r="A1761" s="425" t="s">
        <v>185</v>
      </c>
      <c r="B1761" s="425" t="s">
        <v>319</v>
      </c>
    </row>
    <row r="1762" spans="1:2" ht="15" hidden="1" x14ac:dyDescent="0.25">
      <c r="A1762" s="425" t="s">
        <v>185</v>
      </c>
      <c r="B1762" s="425" t="s">
        <v>319</v>
      </c>
    </row>
    <row r="1763" spans="1:2" ht="15" hidden="1" x14ac:dyDescent="0.25">
      <c r="A1763" s="425" t="s">
        <v>185</v>
      </c>
      <c r="B1763" s="425" t="s">
        <v>319</v>
      </c>
    </row>
    <row r="1764" spans="1:2" ht="15" hidden="1" x14ac:dyDescent="0.25">
      <c r="A1764" s="425" t="s">
        <v>401</v>
      </c>
      <c r="B1764" s="425" t="s">
        <v>402</v>
      </c>
    </row>
    <row r="1765" spans="1:2" ht="15" hidden="1" x14ac:dyDescent="0.25">
      <c r="A1765" s="425" t="s">
        <v>1621</v>
      </c>
      <c r="B1765" s="425" t="s">
        <v>1622</v>
      </c>
    </row>
    <row r="1766" spans="1:2" ht="15" hidden="1" x14ac:dyDescent="0.25">
      <c r="A1766" s="425" t="s">
        <v>187</v>
      </c>
      <c r="B1766" s="425" t="s">
        <v>322</v>
      </c>
    </row>
    <row r="1767" spans="1:2" ht="15" hidden="1" x14ac:dyDescent="0.25">
      <c r="A1767" s="425" t="s">
        <v>187</v>
      </c>
      <c r="B1767" s="425" t="s">
        <v>322</v>
      </c>
    </row>
    <row r="1768" spans="1:2" ht="15" hidden="1" x14ac:dyDescent="0.25">
      <c r="A1768" s="425" t="s">
        <v>187</v>
      </c>
      <c r="B1768" s="425" t="s">
        <v>322</v>
      </c>
    </row>
    <row r="1769" spans="1:2" ht="15" hidden="1" x14ac:dyDescent="0.25">
      <c r="A1769" s="425" t="s">
        <v>1269</v>
      </c>
      <c r="B1769" s="425" t="s">
        <v>1270</v>
      </c>
    </row>
    <row r="1770" spans="1:2" ht="15" hidden="1" x14ac:dyDescent="0.25">
      <c r="A1770" s="425" t="s">
        <v>1269</v>
      </c>
      <c r="B1770" s="425" t="s">
        <v>1270</v>
      </c>
    </row>
    <row r="1771" spans="1:2" ht="15" hidden="1" x14ac:dyDescent="0.25">
      <c r="A1771" s="425" t="s">
        <v>1269</v>
      </c>
      <c r="B1771" s="425" t="s">
        <v>1270</v>
      </c>
    </row>
    <row r="1772" spans="1:2" ht="15" hidden="1" x14ac:dyDescent="0.25">
      <c r="A1772" s="425" t="s">
        <v>1269</v>
      </c>
      <c r="B1772" s="425" t="s">
        <v>1270</v>
      </c>
    </row>
    <row r="1773" spans="1:2" ht="15" hidden="1" x14ac:dyDescent="0.25">
      <c r="A1773" s="425" t="s">
        <v>1269</v>
      </c>
      <c r="B1773" s="425" t="s">
        <v>1270</v>
      </c>
    </row>
    <row r="1774" spans="1:2" ht="15" hidden="1" x14ac:dyDescent="0.25">
      <c r="A1774" s="425" t="s">
        <v>1269</v>
      </c>
      <c r="B1774" s="425" t="s">
        <v>1270</v>
      </c>
    </row>
    <row r="1775" spans="1:2" ht="15" hidden="1" x14ac:dyDescent="0.25">
      <c r="A1775" s="425" t="s">
        <v>1269</v>
      </c>
      <c r="B1775" s="425" t="s">
        <v>1270</v>
      </c>
    </row>
    <row r="1776" spans="1:2" ht="15" hidden="1" x14ac:dyDescent="0.25">
      <c r="A1776" s="425" t="s">
        <v>1269</v>
      </c>
      <c r="B1776" s="425" t="s">
        <v>1270</v>
      </c>
    </row>
    <row r="1777" spans="1:2" ht="15" hidden="1" x14ac:dyDescent="0.25">
      <c r="A1777" s="425" t="s">
        <v>1269</v>
      </c>
      <c r="B1777" s="425" t="s">
        <v>1270</v>
      </c>
    </row>
    <row r="1778" spans="1:2" ht="15" hidden="1" x14ac:dyDescent="0.25">
      <c r="A1778" s="425" t="s">
        <v>1269</v>
      </c>
      <c r="B1778" s="425" t="s">
        <v>1270</v>
      </c>
    </row>
    <row r="1779" spans="1:2" ht="15" hidden="1" x14ac:dyDescent="0.25">
      <c r="A1779" s="425" t="s">
        <v>1269</v>
      </c>
      <c r="B1779" s="425" t="s">
        <v>1270</v>
      </c>
    </row>
    <row r="1780" spans="1:2" ht="15" hidden="1" x14ac:dyDescent="0.25">
      <c r="A1780" s="425" t="s">
        <v>1269</v>
      </c>
      <c r="B1780" s="425" t="s">
        <v>1270</v>
      </c>
    </row>
    <row r="1781" spans="1:2" ht="15" hidden="1" x14ac:dyDescent="0.25">
      <c r="A1781" s="425" t="s">
        <v>1269</v>
      </c>
      <c r="B1781" s="425" t="s">
        <v>1270</v>
      </c>
    </row>
    <row r="1782" spans="1:2" ht="15" hidden="1" x14ac:dyDescent="0.25">
      <c r="A1782" s="425" t="s">
        <v>1623</v>
      </c>
      <c r="B1782" s="425" t="s">
        <v>1623</v>
      </c>
    </row>
    <row r="1783" spans="1:2" ht="15" hidden="1" x14ac:dyDescent="0.25">
      <c r="A1783" s="425" t="s">
        <v>1624</v>
      </c>
      <c r="B1783" s="425" t="s">
        <v>1624</v>
      </c>
    </row>
    <row r="1784" spans="1:2" ht="15" hidden="1" x14ac:dyDescent="0.25">
      <c r="A1784" s="425" t="s">
        <v>1625</v>
      </c>
      <c r="B1784" s="425" t="s">
        <v>1625</v>
      </c>
    </row>
    <row r="1785" spans="1:2" ht="15" hidden="1" x14ac:dyDescent="0.25">
      <c r="A1785" s="425" t="s">
        <v>1626</v>
      </c>
      <c r="B1785" s="425" t="s">
        <v>1626</v>
      </c>
    </row>
    <row r="1786" spans="1:2" ht="15" hidden="1" x14ac:dyDescent="0.25">
      <c r="A1786" s="425" t="s">
        <v>1627</v>
      </c>
      <c r="B1786" s="425" t="s">
        <v>1627</v>
      </c>
    </row>
    <row r="1787" spans="1:2" ht="15" hidden="1" x14ac:dyDescent="0.25">
      <c r="A1787" s="425" t="s">
        <v>1628</v>
      </c>
      <c r="B1787" s="425" t="s">
        <v>1628</v>
      </c>
    </row>
    <row r="1788" spans="1:2" ht="15" hidden="1" x14ac:dyDescent="0.25">
      <c r="A1788" s="425" t="s">
        <v>1629</v>
      </c>
      <c r="B1788" s="425" t="s">
        <v>1629</v>
      </c>
    </row>
    <row r="1789" spans="1:2" ht="15" hidden="1" x14ac:dyDescent="0.25">
      <c r="A1789" s="425" t="s">
        <v>1630</v>
      </c>
      <c r="B1789" s="425" t="s">
        <v>1630</v>
      </c>
    </row>
    <row r="1790" spans="1:2" ht="15" hidden="1" x14ac:dyDescent="0.25">
      <c r="A1790" s="425" t="s">
        <v>1631</v>
      </c>
      <c r="B1790" s="425" t="s">
        <v>1631</v>
      </c>
    </row>
    <row r="1791" spans="1:2" ht="15" hidden="1" x14ac:dyDescent="0.25">
      <c r="A1791" s="425" t="s">
        <v>1632</v>
      </c>
      <c r="B1791" s="425" t="s">
        <v>1632</v>
      </c>
    </row>
    <row r="1792" spans="1:2" ht="15" hidden="1" x14ac:dyDescent="0.25">
      <c r="A1792" s="425" t="s">
        <v>1633</v>
      </c>
      <c r="B1792" s="425" t="s">
        <v>1633</v>
      </c>
    </row>
    <row r="1793" spans="1:2" ht="15" hidden="1" x14ac:dyDescent="0.25">
      <c r="A1793" s="425" t="s">
        <v>1634</v>
      </c>
      <c r="B1793" s="425" t="s">
        <v>1634</v>
      </c>
    </row>
    <row r="1794" spans="1:2" ht="15" hidden="1" x14ac:dyDescent="0.25">
      <c r="A1794" s="425" t="s">
        <v>1635</v>
      </c>
      <c r="B1794" s="425" t="s">
        <v>1635</v>
      </c>
    </row>
    <row r="1795" spans="1:2" ht="15" hidden="1" x14ac:dyDescent="0.25">
      <c r="A1795" s="425" t="s">
        <v>1636</v>
      </c>
      <c r="B1795" s="425" t="s">
        <v>1636</v>
      </c>
    </row>
    <row r="1796" spans="1:2" ht="15" hidden="1" x14ac:dyDescent="0.25">
      <c r="A1796" s="425" t="s">
        <v>1637</v>
      </c>
      <c r="B1796" s="425" t="s">
        <v>1637</v>
      </c>
    </row>
    <row r="1797" spans="1:2" ht="15" hidden="1" x14ac:dyDescent="0.25">
      <c r="A1797" s="425" t="s">
        <v>1638</v>
      </c>
      <c r="B1797" s="425" t="s">
        <v>1638</v>
      </c>
    </row>
    <row r="1798" spans="1:2" ht="15" hidden="1" x14ac:dyDescent="0.25">
      <c r="A1798" s="425" t="s">
        <v>1639</v>
      </c>
      <c r="B1798" s="425" t="s">
        <v>1639</v>
      </c>
    </row>
    <row r="1799" spans="1:2" ht="15" hidden="1" x14ac:dyDescent="0.25">
      <c r="A1799" s="425" t="s">
        <v>1640</v>
      </c>
      <c r="B1799" s="425" t="s">
        <v>1640</v>
      </c>
    </row>
    <row r="1800" spans="1:2" ht="15" hidden="1" x14ac:dyDescent="0.25">
      <c r="A1800" s="425" t="s">
        <v>1641</v>
      </c>
      <c r="B1800" s="425" t="s">
        <v>1641</v>
      </c>
    </row>
    <row r="1801" spans="1:2" ht="15" hidden="1" x14ac:dyDescent="0.25">
      <c r="A1801" s="425" t="s">
        <v>1642</v>
      </c>
      <c r="B1801" s="425" t="s">
        <v>1642</v>
      </c>
    </row>
    <row r="1802" spans="1:2" ht="15" hidden="1" x14ac:dyDescent="0.25">
      <c r="A1802" s="425" t="s">
        <v>1643</v>
      </c>
      <c r="B1802" s="425" t="s">
        <v>1643</v>
      </c>
    </row>
    <row r="1803" spans="1:2" ht="15" hidden="1" x14ac:dyDescent="0.25">
      <c r="A1803" s="425" t="s">
        <v>1643</v>
      </c>
      <c r="B1803" s="425" t="s">
        <v>1643</v>
      </c>
    </row>
    <row r="1804" spans="1:2" ht="15" hidden="1" x14ac:dyDescent="0.25">
      <c r="A1804" s="425" t="s">
        <v>1644</v>
      </c>
      <c r="B1804" s="425" t="s">
        <v>1644</v>
      </c>
    </row>
    <row r="1805" spans="1:2" ht="15" hidden="1" x14ac:dyDescent="0.25">
      <c r="A1805" s="425" t="s">
        <v>1645</v>
      </c>
      <c r="B1805" s="425" t="s">
        <v>1645</v>
      </c>
    </row>
    <row r="1806" spans="1:2" ht="15" hidden="1" x14ac:dyDescent="0.25">
      <c r="A1806" s="425" t="s">
        <v>1646</v>
      </c>
      <c r="B1806" s="425" t="s">
        <v>1646</v>
      </c>
    </row>
    <row r="1807" spans="1:2" ht="15" hidden="1" x14ac:dyDescent="0.25">
      <c r="A1807" s="425" t="s">
        <v>1647</v>
      </c>
      <c r="B1807" s="425" t="s">
        <v>1647</v>
      </c>
    </row>
    <row r="1808" spans="1:2" ht="15" hidden="1" x14ac:dyDescent="0.25">
      <c r="A1808" s="425" t="s">
        <v>1648</v>
      </c>
      <c r="B1808" s="425" t="s">
        <v>1648</v>
      </c>
    </row>
    <row r="1809" spans="1:2" ht="15" hidden="1" x14ac:dyDescent="0.25">
      <c r="A1809" s="425" t="s">
        <v>1649</v>
      </c>
      <c r="B1809" s="425" t="s">
        <v>1649</v>
      </c>
    </row>
    <row r="1810" spans="1:2" ht="15" hidden="1" x14ac:dyDescent="0.25">
      <c r="A1810" s="425" t="s">
        <v>1650</v>
      </c>
      <c r="B1810" s="425" t="s">
        <v>1650</v>
      </c>
    </row>
    <row r="1811" spans="1:2" ht="15" hidden="1" x14ac:dyDescent="0.25">
      <c r="A1811" s="425" t="s">
        <v>1651</v>
      </c>
      <c r="B1811" s="425" t="s">
        <v>1651</v>
      </c>
    </row>
    <row r="1812" spans="1:2" ht="15" hidden="1" x14ac:dyDescent="0.25">
      <c r="A1812" s="425" t="s">
        <v>1652</v>
      </c>
      <c r="B1812" s="425" t="s">
        <v>1652</v>
      </c>
    </row>
    <row r="1813" spans="1:2" ht="15" hidden="1" x14ac:dyDescent="0.25">
      <c r="A1813" s="425" t="s">
        <v>1653</v>
      </c>
      <c r="B1813" s="425" t="s">
        <v>1653</v>
      </c>
    </row>
    <row r="1814" spans="1:2" ht="15" hidden="1" x14ac:dyDescent="0.25">
      <c r="A1814" s="425" t="s">
        <v>1654</v>
      </c>
      <c r="B1814" s="425" t="s">
        <v>1635</v>
      </c>
    </row>
    <row r="1815" spans="1:2" ht="15" hidden="1" x14ac:dyDescent="0.25">
      <c r="A1815" s="425" t="s">
        <v>1531</v>
      </c>
      <c r="B1815" s="425" t="s">
        <v>1532</v>
      </c>
    </row>
    <row r="1816" spans="1:2" ht="15" hidden="1" x14ac:dyDescent="0.25">
      <c r="A1816" s="425" t="s">
        <v>1655</v>
      </c>
      <c r="B1816" s="425" t="s">
        <v>1656</v>
      </c>
    </row>
    <row r="1817" spans="1:2" ht="15" hidden="1" x14ac:dyDescent="0.25">
      <c r="A1817" s="425" t="s">
        <v>204</v>
      </c>
      <c r="B1817" s="425" t="s">
        <v>352</v>
      </c>
    </row>
    <row r="1818" spans="1:2" ht="15" hidden="1" x14ac:dyDescent="0.25">
      <c r="A1818" s="425" t="s">
        <v>1074</v>
      </c>
      <c r="B1818" s="425" t="s">
        <v>1075</v>
      </c>
    </row>
    <row r="1819" spans="1:2" ht="15" hidden="1" x14ac:dyDescent="0.25">
      <c r="A1819" s="425" t="s">
        <v>1074</v>
      </c>
      <c r="B1819" s="425" t="s">
        <v>1075</v>
      </c>
    </row>
    <row r="1820" spans="1:2" ht="15" hidden="1" x14ac:dyDescent="0.25">
      <c r="A1820" s="425" t="s">
        <v>1074</v>
      </c>
      <c r="B1820" s="425" t="s">
        <v>1075</v>
      </c>
    </row>
    <row r="1821" spans="1:2" ht="15" hidden="1" x14ac:dyDescent="0.25">
      <c r="A1821" s="425" t="s">
        <v>1657</v>
      </c>
      <c r="B1821" s="425" t="s">
        <v>1658</v>
      </c>
    </row>
    <row r="1822" spans="1:2" ht="15" hidden="1" x14ac:dyDescent="0.25">
      <c r="A1822" s="425" t="s">
        <v>619</v>
      </c>
      <c r="B1822" s="425" t="s">
        <v>620</v>
      </c>
    </row>
    <row r="1823" spans="1:2" ht="15" hidden="1" x14ac:dyDescent="0.25">
      <c r="A1823" s="425" t="s">
        <v>1659</v>
      </c>
      <c r="B1823" s="425" t="s">
        <v>1660</v>
      </c>
    </row>
    <row r="1824" spans="1:2" ht="15" hidden="1" x14ac:dyDescent="0.25">
      <c r="A1824" s="425" t="s">
        <v>1659</v>
      </c>
      <c r="B1824" s="425" t="s">
        <v>1660</v>
      </c>
    </row>
    <row r="1825" spans="1:2" ht="15" hidden="1" x14ac:dyDescent="0.25">
      <c r="A1825" s="425" t="s">
        <v>1659</v>
      </c>
      <c r="B1825" s="425" t="s">
        <v>1660</v>
      </c>
    </row>
    <row r="1826" spans="1:2" ht="15" hidden="1" x14ac:dyDescent="0.25">
      <c r="A1826" s="425" t="s">
        <v>1659</v>
      </c>
      <c r="B1826" s="425" t="s">
        <v>1660</v>
      </c>
    </row>
    <row r="1827" spans="1:2" ht="15" hidden="1" x14ac:dyDescent="0.25">
      <c r="A1827" s="425" t="s">
        <v>1661</v>
      </c>
      <c r="B1827" s="425" t="s">
        <v>1662</v>
      </c>
    </row>
    <row r="1828" spans="1:2" ht="15" hidden="1" x14ac:dyDescent="0.25">
      <c r="A1828" s="425" t="s">
        <v>1663</v>
      </c>
      <c r="B1828" s="425" t="s">
        <v>1664</v>
      </c>
    </row>
    <row r="1829" spans="1:2" ht="15" hidden="1" x14ac:dyDescent="0.25">
      <c r="A1829" s="425" t="s">
        <v>216</v>
      </c>
      <c r="B1829" s="425" t="s">
        <v>361</v>
      </c>
    </row>
    <row r="1830" spans="1:2" ht="15" hidden="1" x14ac:dyDescent="0.25">
      <c r="A1830" s="425" t="s">
        <v>216</v>
      </c>
      <c r="B1830" s="425" t="s">
        <v>361</v>
      </c>
    </row>
    <row r="1831" spans="1:2" ht="15" hidden="1" x14ac:dyDescent="0.25">
      <c r="A1831" s="425" t="s">
        <v>1665</v>
      </c>
      <c r="B1831" s="425" t="s">
        <v>1666</v>
      </c>
    </row>
    <row r="1832" spans="1:2" ht="15" hidden="1" x14ac:dyDescent="0.25">
      <c r="A1832" s="425" t="s">
        <v>1665</v>
      </c>
      <c r="B1832" s="425" t="s">
        <v>1666</v>
      </c>
    </row>
    <row r="1833" spans="1:2" ht="15" hidden="1" x14ac:dyDescent="0.25">
      <c r="A1833" s="425" t="s">
        <v>1667</v>
      </c>
      <c r="B1833" s="425" t="s">
        <v>1668</v>
      </c>
    </row>
    <row r="1834" spans="1:2" ht="15" hidden="1" x14ac:dyDescent="0.25">
      <c r="A1834" s="425" t="s">
        <v>1116</v>
      </c>
      <c r="B1834" s="425" t="s">
        <v>1117</v>
      </c>
    </row>
    <row r="1835" spans="1:2" ht="15" hidden="1" x14ac:dyDescent="0.25">
      <c r="A1835" s="425" t="s">
        <v>1669</v>
      </c>
      <c r="B1835" s="425" t="s">
        <v>1670</v>
      </c>
    </row>
    <row r="1836" spans="1:2" ht="15" hidden="1" x14ac:dyDescent="0.25">
      <c r="A1836" s="425" t="s">
        <v>1671</v>
      </c>
      <c r="B1836" s="425" t="s">
        <v>1672</v>
      </c>
    </row>
    <row r="1837" spans="1:2" ht="15" hidden="1" x14ac:dyDescent="0.25">
      <c r="A1837" s="425" t="s">
        <v>1671</v>
      </c>
      <c r="B1837" s="425" t="s">
        <v>1672</v>
      </c>
    </row>
    <row r="1838" spans="1:2" ht="15" hidden="1" x14ac:dyDescent="0.25">
      <c r="A1838" s="425" t="s">
        <v>1673</v>
      </c>
      <c r="B1838" s="425" t="s">
        <v>1674</v>
      </c>
    </row>
    <row r="1839" spans="1:2" ht="15" hidden="1" x14ac:dyDescent="0.25">
      <c r="A1839" s="425" t="s">
        <v>1673</v>
      </c>
      <c r="B1839" s="425" t="s">
        <v>1674</v>
      </c>
    </row>
    <row r="1840" spans="1:2" ht="15" hidden="1" x14ac:dyDescent="0.25">
      <c r="A1840" s="425" t="s">
        <v>1673</v>
      </c>
      <c r="B1840" s="425" t="s">
        <v>1674</v>
      </c>
    </row>
    <row r="1841" spans="1:2" ht="15" hidden="1" x14ac:dyDescent="0.25">
      <c r="A1841" s="425" t="s">
        <v>1675</v>
      </c>
      <c r="B1841" s="425" t="s">
        <v>1676</v>
      </c>
    </row>
    <row r="1842" spans="1:2" ht="15" hidden="1" x14ac:dyDescent="0.25">
      <c r="A1842" s="425" t="s">
        <v>1677</v>
      </c>
      <c r="B1842" s="425" t="s">
        <v>1678</v>
      </c>
    </row>
    <row r="1843" spans="1:2" ht="15" hidden="1" x14ac:dyDescent="0.25">
      <c r="A1843" s="425" t="s">
        <v>1679</v>
      </c>
      <c r="B1843" s="425" t="s">
        <v>1680</v>
      </c>
    </row>
    <row r="1844" spans="1:2" ht="15" hidden="1" x14ac:dyDescent="0.25">
      <c r="A1844" s="425" t="s">
        <v>1681</v>
      </c>
      <c r="B1844" s="425" t="s">
        <v>1682</v>
      </c>
    </row>
    <row r="1845" spans="1:2" ht="15" hidden="1" x14ac:dyDescent="0.25">
      <c r="A1845" s="425" t="s">
        <v>1145</v>
      </c>
      <c r="B1845" s="425" t="s">
        <v>1146</v>
      </c>
    </row>
    <row r="1846" spans="1:2" ht="15" hidden="1" x14ac:dyDescent="0.25">
      <c r="A1846" s="425" t="s">
        <v>1683</v>
      </c>
      <c r="B1846" s="425" t="s">
        <v>1684</v>
      </c>
    </row>
    <row r="1847" spans="1:2" ht="15" hidden="1" x14ac:dyDescent="0.25">
      <c r="A1847" s="425" t="s">
        <v>1683</v>
      </c>
      <c r="B1847" s="425" t="s">
        <v>1684</v>
      </c>
    </row>
    <row r="1848" spans="1:2" ht="15" hidden="1" x14ac:dyDescent="0.25">
      <c r="A1848" s="425" t="s">
        <v>1685</v>
      </c>
      <c r="B1848" s="425" t="s">
        <v>1686</v>
      </c>
    </row>
    <row r="1849" spans="1:2" ht="15" hidden="1" x14ac:dyDescent="0.25">
      <c r="A1849" s="425" t="s">
        <v>1687</v>
      </c>
      <c r="B1849" s="425" t="s">
        <v>1688</v>
      </c>
    </row>
    <row r="1850" spans="1:2" ht="15" hidden="1" x14ac:dyDescent="0.25">
      <c r="A1850" s="425" t="s">
        <v>1689</v>
      </c>
      <c r="B1850" s="425" t="s">
        <v>1690</v>
      </c>
    </row>
    <row r="1851" spans="1:2" ht="15" hidden="1" x14ac:dyDescent="0.25">
      <c r="A1851" s="425" t="s">
        <v>1691</v>
      </c>
      <c r="B1851" s="425" t="s">
        <v>1692</v>
      </c>
    </row>
    <row r="1852" spans="1:2" ht="15" hidden="1" x14ac:dyDescent="0.25">
      <c r="A1852" s="425" t="s">
        <v>1691</v>
      </c>
      <c r="B1852" s="425" t="s">
        <v>1692</v>
      </c>
    </row>
    <row r="1853" spans="1:2" ht="15" hidden="1" x14ac:dyDescent="0.25">
      <c r="A1853" s="425" t="s">
        <v>1691</v>
      </c>
      <c r="B1853" s="425" t="s">
        <v>1692</v>
      </c>
    </row>
    <row r="1854" spans="1:2" ht="15" hidden="1" x14ac:dyDescent="0.25">
      <c r="A1854" s="425" t="s">
        <v>727</v>
      </c>
      <c r="B1854" s="425" t="s">
        <v>728</v>
      </c>
    </row>
    <row r="1855" spans="1:2" ht="15" hidden="1" x14ac:dyDescent="0.25">
      <c r="A1855" s="425" t="s">
        <v>727</v>
      </c>
      <c r="B1855" s="425" t="s">
        <v>728</v>
      </c>
    </row>
    <row r="1856" spans="1:2" ht="15" hidden="1" x14ac:dyDescent="0.25">
      <c r="A1856" s="425" t="s">
        <v>1693</v>
      </c>
      <c r="B1856" s="425" t="s">
        <v>1694</v>
      </c>
    </row>
    <row r="1857" spans="1:2" ht="15" hidden="1" x14ac:dyDescent="0.25">
      <c r="A1857" s="425" t="s">
        <v>1693</v>
      </c>
      <c r="B1857" s="425" t="s">
        <v>1694</v>
      </c>
    </row>
    <row r="1858" spans="1:2" ht="15" hidden="1" x14ac:dyDescent="0.25">
      <c r="A1858" s="425" t="s">
        <v>1695</v>
      </c>
      <c r="B1858" s="425" t="s">
        <v>1696</v>
      </c>
    </row>
    <row r="1859" spans="1:2" ht="15" hidden="1" x14ac:dyDescent="0.25">
      <c r="A1859" s="425" t="s">
        <v>781</v>
      </c>
      <c r="B1859" s="425" t="s">
        <v>782</v>
      </c>
    </row>
    <row r="1860" spans="1:2" ht="15" hidden="1" x14ac:dyDescent="0.25">
      <c r="A1860" s="425" t="s">
        <v>1697</v>
      </c>
      <c r="B1860" s="425" t="s">
        <v>1698</v>
      </c>
    </row>
    <row r="1861" spans="1:2" ht="15" hidden="1" x14ac:dyDescent="0.25">
      <c r="A1861" s="425" t="s">
        <v>1697</v>
      </c>
      <c r="B1861" s="425" t="s">
        <v>1698</v>
      </c>
    </row>
    <row r="1862" spans="1:2" ht="15" hidden="1" x14ac:dyDescent="0.25">
      <c r="A1862" s="425" t="s">
        <v>1697</v>
      </c>
      <c r="B1862" s="425" t="s">
        <v>1698</v>
      </c>
    </row>
    <row r="1863" spans="1:2" ht="15" hidden="1" x14ac:dyDescent="0.25">
      <c r="A1863" s="425" t="s">
        <v>1699</v>
      </c>
      <c r="B1863" s="425" t="s">
        <v>1700</v>
      </c>
    </row>
    <row r="1864" spans="1:2" ht="15" hidden="1" x14ac:dyDescent="0.25">
      <c r="A1864" s="425" t="s">
        <v>1699</v>
      </c>
      <c r="B1864" s="425" t="s">
        <v>1700</v>
      </c>
    </row>
    <row r="1865" spans="1:2" ht="15" hidden="1" x14ac:dyDescent="0.25">
      <c r="A1865" s="425" t="s">
        <v>1701</v>
      </c>
      <c r="B1865" s="425" t="s">
        <v>1702</v>
      </c>
    </row>
    <row r="1866" spans="1:2" ht="15" hidden="1" x14ac:dyDescent="0.25">
      <c r="A1866" s="427" t="s">
        <v>1703</v>
      </c>
      <c r="B1866" s="427" t="s">
        <v>1704</v>
      </c>
    </row>
    <row r="1867" spans="1:2" ht="15" hidden="1" x14ac:dyDescent="0.25">
      <c r="A1867" s="425" t="s">
        <v>208</v>
      </c>
      <c r="B1867" s="425" t="s">
        <v>309</v>
      </c>
    </row>
    <row r="1868" spans="1:2" ht="15" hidden="1" x14ac:dyDescent="0.25">
      <c r="A1868" s="425" t="s">
        <v>208</v>
      </c>
      <c r="B1868" s="425" t="s">
        <v>309</v>
      </c>
    </row>
    <row r="1869" spans="1:2" ht="15" hidden="1" x14ac:dyDescent="0.25">
      <c r="A1869" s="425" t="s">
        <v>208</v>
      </c>
      <c r="B1869" s="425" t="s">
        <v>309</v>
      </c>
    </row>
    <row r="1870" spans="1:2" ht="15" hidden="1" x14ac:dyDescent="0.25">
      <c r="A1870" s="425" t="s">
        <v>208</v>
      </c>
      <c r="B1870" s="425" t="s">
        <v>309</v>
      </c>
    </row>
    <row r="1871" spans="1:2" ht="15" hidden="1" x14ac:dyDescent="0.25">
      <c r="A1871" s="425" t="s">
        <v>208</v>
      </c>
      <c r="B1871" s="425" t="s">
        <v>309</v>
      </c>
    </row>
    <row r="1872" spans="1:2" ht="15" hidden="1" x14ac:dyDescent="0.25">
      <c r="A1872" s="425" t="s">
        <v>208</v>
      </c>
      <c r="B1872" s="425" t="s">
        <v>309</v>
      </c>
    </row>
    <row r="1873" spans="1:2" ht="15" hidden="1" x14ac:dyDescent="0.25">
      <c r="A1873" s="425" t="s">
        <v>208</v>
      </c>
      <c r="B1873" s="425" t="s">
        <v>309</v>
      </c>
    </row>
    <row r="1874" spans="1:2" ht="15" hidden="1" x14ac:dyDescent="0.25">
      <c r="A1874" s="425" t="s">
        <v>180</v>
      </c>
      <c r="B1874" s="425" t="s">
        <v>312</v>
      </c>
    </row>
    <row r="1875" spans="1:2" ht="15" hidden="1" x14ac:dyDescent="0.25">
      <c r="A1875" s="425" t="s">
        <v>395</v>
      </c>
      <c r="B1875" s="425" t="s">
        <v>396</v>
      </c>
    </row>
    <row r="1876" spans="1:2" ht="15" hidden="1" x14ac:dyDescent="0.25">
      <c r="A1876" s="425" t="s">
        <v>1455</v>
      </c>
      <c r="B1876" s="425" t="s">
        <v>1456</v>
      </c>
    </row>
    <row r="1877" spans="1:2" ht="15" hidden="1" x14ac:dyDescent="0.25">
      <c r="A1877" s="425" t="s">
        <v>1455</v>
      </c>
      <c r="B1877" s="425" t="s">
        <v>1456</v>
      </c>
    </row>
    <row r="1878" spans="1:2" ht="15" hidden="1" x14ac:dyDescent="0.25">
      <c r="A1878" s="425" t="s">
        <v>181</v>
      </c>
      <c r="B1878" s="425" t="s">
        <v>313</v>
      </c>
    </row>
    <row r="1879" spans="1:2" ht="15" hidden="1" x14ac:dyDescent="0.25">
      <c r="A1879" s="425" t="s">
        <v>182</v>
      </c>
      <c r="B1879" s="425" t="s">
        <v>315</v>
      </c>
    </row>
    <row r="1880" spans="1:2" ht="15" hidden="1" x14ac:dyDescent="0.25">
      <c r="A1880" s="425" t="s">
        <v>182</v>
      </c>
      <c r="B1880" s="425" t="s">
        <v>315</v>
      </c>
    </row>
    <row r="1881" spans="1:2" ht="15" hidden="1" x14ac:dyDescent="0.25">
      <c r="A1881" s="425" t="s">
        <v>182</v>
      </c>
      <c r="B1881" s="425" t="s">
        <v>315</v>
      </c>
    </row>
    <row r="1882" spans="1:2" ht="15" hidden="1" x14ac:dyDescent="0.25">
      <c r="A1882" s="425" t="s">
        <v>182</v>
      </c>
      <c r="B1882" s="425" t="s">
        <v>315</v>
      </c>
    </row>
    <row r="1883" spans="1:2" ht="15" hidden="1" x14ac:dyDescent="0.25">
      <c r="A1883" s="425" t="s">
        <v>182</v>
      </c>
      <c r="B1883" s="425" t="s">
        <v>315</v>
      </c>
    </row>
    <row r="1884" spans="1:2" ht="15" hidden="1" x14ac:dyDescent="0.25">
      <c r="A1884" s="425" t="s">
        <v>182</v>
      </c>
      <c r="B1884" s="425" t="s">
        <v>315</v>
      </c>
    </row>
    <row r="1885" spans="1:2" ht="15" hidden="1" x14ac:dyDescent="0.25">
      <c r="A1885" s="425" t="s">
        <v>182</v>
      </c>
      <c r="B1885" s="425" t="s">
        <v>315</v>
      </c>
    </row>
    <row r="1886" spans="1:2" ht="15" hidden="1" x14ac:dyDescent="0.25">
      <c r="A1886" s="425" t="s">
        <v>182</v>
      </c>
      <c r="B1886" s="425" t="s">
        <v>315</v>
      </c>
    </row>
    <row r="1887" spans="1:2" ht="15" hidden="1" x14ac:dyDescent="0.25">
      <c r="A1887" s="425" t="s">
        <v>182</v>
      </c>
      <c r="B1887" s="425" t="s">
        <v>315</v>
      </c>
    </row>
    <row r="1888" spans="1:2" ht="15" hidden="1" x14ac:dyDescent="0.25">
      <c r="A1888" s="425" t="s">
        <v>182</v>
      </c>
      <c r="B1888" s="425" t="s">
        <v>315</v>
      </c>
    </row>
    <row r="1889" spans="1:2" ht="15" hidden="1" x14ac:dyDescent="0.25">
      <c r="A1889" s="425" t="s">
        <v>182</v>
      </c>
      <c r="B1889" s="425" t="s">
        <v>315</v>
      </c>
    </row>
    <row r="1890" spans="1:2" ht="15" hidden="1" x14ac:dyDescent="0.25">
      <c r="A1890" s="425" t="s">
        <v>182</v>
      </c>
      <c r="B1890" s="425" t="s">
        <v>315</v>
      </c>
    </row>
    <row r="1891" spans="1:2" ht="15" hidden="1" x14ac:dyDescent="0.25">
      <c r="A1891" s="425" t="s">
        <v>182</v>
      </c>
      <c r="B1891" s="425" t="s">
        <v>315</v>
      </c>
    </row>
    <row r="1892" spans="1:2" ht="15" hidden="1" x14ac:dyDescent="0.25">
      <c r="A1892" s="425" t="s">
        <v>182</v>
      </c>
      <c r="B1892" s="425" t="s">
        <v>315</v>
      </c>
    </row>
    <row r="1893" spans="1:2" ht="15" hidden="1" x14ac:dyDescent="0.25">
      <c r="A1893" s="425" t="s">
        <v>210</v>
      </c>
      <c r="B1893" s="425" t="s">
        <v>316</v>
      </c>
    </row>
    <row r="1894" spans="1:2" ht="15" hidden="1" x14ac:dyDescent="0.25">
      <c r="A1894" s="425" t="s">
        <v>210</v>
      </c>
      <c r="B1894" s="425" t="s">
        <v>316</v>
      </c>
    </row>
    <row r="1895" spans="1:2" ht="15" hidden="1" x14ac:dyDescent="0.25">
      <c r="A1895" s="425" t="s">
        <v>210</v>
      </c>
      <c r="B1895" s="425" t="s">
        <v>316</v>
      </c>
    </row>
    <row r="1896" spans="1:2" ht="15" hidden="1" x14ac:dyDescent="0.25">
      <c r="A1896" s="425" t="s">
        <v>210</v>
      </c>
      <c r="B1896" s="425" t="s">
        <v>316</v>
      </c>
    </row>
    <row r="1897" spans="1:2" ht="15" hidden="1" x14ac:dyDescent="0.25">
      <c r="A1897" s="425" t="s">
        <v>210</v>
      </c>
      <c r="B1897" s="425" t="s">
        <v>316</v>
      </c>
    </row>
    <row r="1898" spans="1:2" ht="15" hidden="1" x14ac:dyDescent="0.25">
      <c r="A1898" s="425" t="s">
        <v>210</v>
      </c>
      <c r="B1898" s="425" t="s">
        <v>316</v>
      </c>
    </row>
    <row r="1899" spans="1:2" ht="15" hidden="1" x14ac:dyDescent="0.25">
      <c r="A1899" s="425" t="s">
        <v>210</v>
      </c>
      <c r="B1899" s="425" t="s">
        <v>316</v>
      </c>
    </row>
    <row r="1900" spans="1:2" ht="15" hidden="1" x14ac:dyDescent="0.25">
      <c r="A1900" s="425" t="s">
        <v>210</v>
      </c>
      <c r="B1900" s="425" t="s">
        <v>316</v>
      </c>
    </row>
    <row r="1901" spans="1:2" ht="15" hidden="1" x14ac:dyDescent="0.25">
      <c r="A1901" s="425" t="s">
        <v>210</v>
      </c>
      <c r="B1901" s="425" t="s">
        <v>316</v>
      </c>
    </row>
    <row r="1902" spans="1:2" ht="15" hidden="1" x14ac:dyDescent="0.25">
      <c r="A1902" s="425" t="s">
        <v>210</v>
      </c>
      <c r="B1902" s="425" t="s">
        <v>316</v>
      </c>
    </row>
    <row r="1903" spans="1:2" ht="15" hidden="1" x14ac:dyDescent="0.25">
      <c r="A1903" s="425" t="s">
        <v>210</v>
      </c>
      <c r="B1903" s="425" t="s">
        <v>316</v>
      </c>
    </row>
    <row r="1904" spans="1:2" ht="15" hidden="1" x14ac:dyDescent="0.25">
      <c r="A1904" s="425" t="s">
        <v>210</v>
      </c>
      <c r="B1904" s="425" t="s">
        <v>316</v>
      </c>
    </row>
    <row r="1905" spans="1:2" ht="15" hidden="1" x14ac:dyDescent="0.25">
      <c r="A1905" s="425" t="s">
        <v>210</v>
      </c>
      <c r="B1905" s="425" t="s">
        <v>316</v>
      </c>
    </row>
    <row r="1906" spans="1:2" ht="15" hidden="1" x14ac:dyDescent="0.25">
      <c r="A1906" s="425" t="s">
        <v>210</v>
      </c>
      <c r="B1906" s="425" t="s">
        <v>316</v>
      </c>
    </row>
    <row r="1907" spans="1:2" ht="15" hidden="1" x14ac:dyDescent="0.25">
      <c r="A1907" s="425" t="s">
        <v>210</v>
      </c>
      <c r="B1907" s="425" t="s">
        <v>316</v>
      </c>
    </row>
    <row r="1908" spans="1:2" ht="15" hidden="1" x14ac:dyDescent="0.25">
      <c r="A1908" s="425" t="s">
        <v>210</v>
      </c>
      <c r="B1908" s="425" t="s">
        <v>316</v>
      </c>
    </row>
    <row r="1909" spans="1:2" ht="15" hidden="1" x14ac:dyDescent="0.25">
      <c r="A1909" s="425" t="s">
        <v>210</v>
      </c>
      <c r="B1909" s="425" t="s">
        <v>316</v>
      </c>
    </row>
    <row r="1910" spans="1:2" ht="15" hidden="1" x14ac:dyDescent="0.25">
      <c r="A1910" s="425" t="s">
        <v>184</v>
      </c>
      <c r="B1910" s="425" t="s">
        <v>318</v>
      </c>
    </row>
    <row r="1911" spans="1:2" ht="15" hidden="1" x14ac:dyDescent="0.25">
      <c r="A1911" s="425" t="s">
        <v>185</v>
      </c>
      <c r="B1911" s="425" t="s">
        <v>319</v>
      </c>
    </row>
    <row r="1912" spans="1:2" ht="15" hidden="1" x14ac:dyDescent="0.25">
      <c r="A1912" s="425" t="s">
        <v>185</v>
      </c>
      <c r="B1912" s="425" t="s">
        <v>319</v>
      </c>
    </row>
    <row r="1913" spans="1:2" ht="15" hidden="1" x14ac:dyDescent="0.25">
      <c r="A1913" s="425" t="s">
        <v>185</v>
      </c>
      <c r="B1913" s="425" t="s">
        <v>319</v>
      </c>
    </row>
    <row r="1914" spans="1:2" ht="15" hidden="1" x14ac:dyDescent="0.25">
      <c r="A1914" s="425" t="s">
        <v>185</v>
      </c>
      <c r="B1914" s="425" t="s">
        <v>319</v>
      </c>
    </row>
    <row r="1915" spans="1:2" ht="15" hidden="1" x14ac:dyDescent="0.25">
      <c r="A1915" s="425" t="s">
        <v>185</v>
      </c>
      <c r="B1915" s="425" t="s">
        <v>319</v>
      </c>
    </row>
    <row r="1916" spans="1:2" ht="15" hidden="1" x14ac:dyDescent="0.25">
      <c r="A1916" s="425" t="s">
        <v>185</v>
      </c>
      <c r="B1916" s="425" t="s">
        <v>319</v>
      </c>
    </row>
    <row r="1917" spans="1:2" ht="15" hidden="1" x14ac:dyDescent="0.25">
      <c r="A1917" s="425" t="s">
        <v>185</v>
      </c>
      <c r="B1917" s="425" t="s">
        <v>319</v>
      </c>
    </row>
    <row r="1918" spans="1:2" ht="15" hidden="1" x14ac:dyDescent="0.25">
      <c r="A1918" s="425" t="s">
        <v>185</v>
      </c>
      <c r="B1918" s="425" t="s">
        <v>319</v>
      </c>
    </row>
    <row r="1919" spans="1:2" ht="15" hidden="1" x14ac:dyDescent="0.25">
      <c r="A1919" s="425" t="s">
        <v>185</v>
      </c>
      <c r="B1919" s="425" t="s">
        <v>319</v>
      </c>
    </row>
    <row r="1920" spans="1:2" ht="15" hidden="1" x14ac:dyDescent="0.25">
      <c r="A1920" s="425" t="s">
        <v>185</v>
      </c>
      <c r="B1920" s="425" t="s">
        <v>319</v>
      </c>
    </row>
    <row r="1921" spans="1:2" ht="15" hidden="1" x14ac:dyDescent="0.25">
      <c r="A1921" s="425" t="s">
        <v>187</v>
      </c>
      <c r="B1921" s="425" t="s">
        <v>322</v>
      </c>
    </row>
    <row r="1922" spans="1:2" ht="15" hidden="1" x14ac:dyDescent="0.25">
      <c r="A1922" s="425" t="s">
        <v>187</v>
      </c>
      <c r="B1922" s="425" t="s">
        <v>322</v>
      </c>
    </row>
    <row r="1923" spans="1:2" ht="15" hidden="1" x14ac:dyDescent="0.25">
      <c r="A1923" s="425" t="s">
        <v>187</v>
      </c>
      <c r="B1923" s="425" t="s">
        <v>322</v>
      </c>
    </row>
    <row r="1924" spans="1:2" ht="15" hidden="1" x14ac:dyDescent="0.25">
      <c r="A1924" s="425" t="s">
        <v>188</v>
      </c>
      <c r="B1924" s="425" t="s">
        <v>323</v>
      </c>
    </row>
    <row r="1925" spans="1:2" ht="15" hidden="1" x14ac:dyDescent="0.25">
      <c r="A1925" s="425" t="s">
        <v>1269</v>
      </c>
      <c r="B1925" s="425" t="s">
        <v>1270</v>
      </c>
    </row>
    <row r="1926" spans="1:2" ht="15" hidden="1" x14ac:dyDescent="0.25">
      <c r="A1926" s="425" t="s">
        <v>1269</v>
      </c>
      <c r="B1926" s="425" t="s">
        <v>1270</v>
      </c>
    </row>
    <row r="1927" spans="1:2" ht="15" hidden="1" x14ac:dyDescent="0.25">
      <c r="A1927" s="425" t="s">
        <v>1269</v>
      </c>
      <c r="B1927" s="425" t="s">
        <v>1270</v>
      </c>
    </row>
    <row r="1928" spans="1:2" ht="15" hidden="1" x14ac:dyDescent="0.25">
      <c r="A1928" s="425" t="s">
        <v>1269</v>
      </c>
      <c r="B1928" s="425" t="s">
        <v>1270</v>
      </c>
    </row>
    <row r="1929" spans="1:2" ht="15" hidden="1" x14ac:dyDescent="0.25">
      <c r="A1929" s="425" t="s">
        <v>1269</v>
      </c>
      <c r="B1929" s="425" t="s">
        <v>1270</v>
      </c>
    </row>
    <row r="1930" spans="1:2" ht="15" hidden="1" x14ac:dyDescent="0.25">
      <c r="A1930" s="425" t="s">
        <v>1269</v>
      </c>
      <c r="B1930" s="425" t="s">
        <v>1270</v>
      </c>
    </row>
    <row r="1931" spans="1:2" ht="15" hidden="1" x14ac:dyDescent="0.25">
      <c r="A1931" s="425" t="s">
        <v>1705</v>
      </c>
      <c r="B1931" s="425" t="s">
        <v>1705</v>
      </c>
    </row>
    <row r="1932" spans="1:2" ht="15" hidden="1" x14ac:dyDescent="0.25">
      <c r="A1932" s="425" t="s">
        <v>1705</v>
      </c>
      <c r="B1932" s="425" t="s">
        <v>1705</v>
      </c>
    </row>
    <row r="1933" spans="1:2" ht="15" hidden="1" x14ac:dyDescent="0.25">
      <c r="A1933" s="425" t="s">
        <v>1706</v>
      </c>
      <c r="B1933" s="425" t="s">
        <v>1706</v>
      </c>
    </row>
    <row r="1934" spans="1:2" ht="15" hidden="1" x14ac:dyDescent="0.25">
      <c r="A1934" s="425" t="s">
        <v>1707</v>
      </c>
      <c r="B1934" s="425" t="s">
        <v>1707</v>
      </c>
    </row>
    <row r="1935" spans="1:2" ht="15" hidden="1" x14ac:dyDescent="0.25">
      <c r="A1935" s="425" t="s">
        <v>1708</v>
      </c>
      <c r="B1935" s="425" t="s">
        <v>1708</v>
      </c>
    </row>
    <row r="1936" spans="1:2" ht="15" hidden="1" x14ac:dyDescent="0.25">
      <c r="A1936" s="425" t="s">
        <v>1709</v>
      </c>
      <c r="B1936" s="425" t="s">
        <v>1709</v>
      </c>
    </row>
    <row r="1937" spans="1:2" ht="15" hidden="1" x14ac:dyDescent="0.25">
      <c r="A1937" s="425" t="s">
        <v>1709</v>
      </c>
      <c r="B1937" s="425" t="s">
        <v>1709</v>
      </c>
    </row>
    <row r="1938" spans="1:2" ht="15" hidden="1" x14ac:dyDescent="0.25">
      <c r="A1938" s="425" t="s">
        <v>1710</v>
      </c>
      <c r="B1938" s="425" t="s">
        <v>1710</v>
      </c>
    </row>
    <row r="1939" spans="1:2" ht="15" hidden="1" x14ac:dyDescent="0.25">
      <c r="A1939" s="425" t="s">
        <v>1711</v>
      </c>
      <c r="B1939" s="425" t="s">
        <v>1711</v>
      </c>
    </row>
    <row r="1940" spans="1:2" ht="15" hidden="1" x14ac:dyDescent="0.25">
      <c r="A1940" s="425" t="s">
        <v>1712</v>
      </c>
      <c r="B1940" s="425" t="s">
        <v>1712</v>
      </c>
    </row>
    <row r="1941" spans="1:2" ht="15" hidden="1" x14ac:dyDescent="0.25">
      <c r="A1941" s="425" t="s">
        <v>1713</v>
      </c>
      <c r="B1941" s="425" t="s">
        <v>1713</v>
      </c>
    </row>
    <row r="1942" spans="1:2" ht="15" hidden="1" x14ac:dyDescent="0.25">
      <c r="A1942" s="425" t="s">
        <v>1713</v>
      </c>
      <c r="B1942" s="425" t="s">
        <v>1713</v>
      </c>
    </row>
    <row r="1943" spans="1:2" ht="15" hidden="1" x14ac:dyDescent="0.25">
      <c r="A1943" s="425" t="s">
        <v>1714</v>
      </c>
      <c r="B1943" s="425" t="s">
        <v>1714</v>
      </c>
    </row>
    <row r="1944" spans="1:2" ht="15" hidden="1" x14ac:dyDescent="0.25">
      <c r="A1944" s="425" t="s">
        <v>1714</v>
      </c>
      <c r="B1944" s="425" t="s">
        <v>1714</v>
      </c>
    </row>
    <row r="1945" spans="1:2" ht="15" hidden="1" x14ac:dyDescent="0.25">
      <c r="A1945" s="425" t="s">
        <v>1715</v>
      </c>
      <c r="B1945" s="425" t="s">
        <v>1715</v>
      </c>
    </row>
    <row r="1946" spans="1:2" ht="15" hidden="1" x14ac:dyDescent="0.25">
      <c r="A1946" s="425" t="s">
        <v>1716</v>
      </c>
      <c r="B1946" s="425" t="s">
        <v>1716</v>
      </c>
    </row>
    <row r="1947" spans="1:2" ht="15" hidden="1" x14ac:dyDescent="0.25">
      <c r="A1947" s="425" t="s">
        <v>1717</v>
      </c>
      <c r="B1947" s="425" t="s">
        <v>1717</v>
      </c>
    </row>
    <row r="1948" spans="1:2" ht="15" hidden="1" x14ac:dyDescent="0.25">
      <c r="A1948" s="425" t="s">
        <v>1718</v>
      </c>
      <c r="B1948" s="425" t="s">
        <v>1718</v>
      </c>
    </row>
    <row r="1949" spans="1:2" ht="15" hidden="1" x14ac:dyDescent="0.25">
      <c r="A1949" s="425" t="s">
        <v>1719</v>
      </c>
      <c r="B1949" s="425" t="s">
        <v>1719</v>
      </c>
    </row>
    <row r="1950" spans="1:2" ht="15" hidden="1" x14ac:dyDescent="0.25">
      <c r="A1950" s="425" t="s">
        <v>1720</v>
      </c>
      <c r="B1950" s="425" t="s">
        <v>1720</v>
      </c>
    </row>
    <row r="1951" spans="1:2" ht="15" hidden="1" x14ac:dyDescent="0.25">
      <c r="A1951" s="425" t="s">
        <v>1720</v>
      </c>
      <c r="B1951" s="425" t="s">
        <v>1720</v>
      </c>
    </row>
    <row r="1952" spans="1:2" ht="15" hidden="1" x14ac:dyDescent="0.25">
      <c r="A1952" s="425" t="s">
        <v>1721</v>
      </c>
      <c r="B1952" s="425" t="s">
        <v>1721</v>
      </c>
    </row>
    <row r="1953" spans="1:2" ht="15" hidden="1" x14ac:dyDescent="0.25">
      <c r="A1953" s="425" t="s">
        <v>1722</v>
      </c>
      <c r="B1953" s="425" t="s">
        <v>1722</v>
      </c>
    </row>
    <row r="1954" spans="1:2" ht="15" hidden="1" x14ac:dyDescent="0.25">
      <c r="A1954" s="425" t="s">
        <v>1723</v>
      </c>
      <c r="B1954" s="425" t="s">
        <v>1723</v>
      </c>
    </row>
    <row r="1955" spans="1:2" ht="15" hidden="1" x14ac:dyDescent="0.25">
      <c r="A1955" s="425" t="s">
        <v>1724</v>
      </c>
      <c r="B1955" s="425" t="s">
        <v>1724</v>
      </c>
    </row>
    <row r="1956" spans="1:2" ht="15" hidden="1" x14ac:dyDescent="0.25">
      <c r="A1956" s="425" t="s">
        <v>1724</v>
      </c>
      <c r="B1956" s="425" t="s">
        <v>1724</v>
      </c>
    </row>
    <row r="1957" spans="1:2" ht="15" hidden="1" x14ac:dyDescent="0.25">
      <c r="A1957" s="425" t="s">
        <v>1725</v>
      </c>
      <c r="B1957" s="425" t="s">
        <v>1725</v>
      </c>
    </row>
    <row r="1958" spans="1:2" ht="15" hidden="1" x14ac:dyDescent="0.25">
      <c r="A1958" s="425" t="s">
        <v>1726</v>
      </c>
      <c r="B1958" s="425" t="s">
        <v>1726</v>
      </c>
    </row>
    <row r="1959" spans="1:2" ht="15" x14ac:dyDescent="0.25">
      <c r="A1959" s="425" t="s">
        <v>1727</v>
      </c>
      <c r="B1959" s="425" t="s">
        <v>1727</v>
      </c>
    </row>
    <row r="1960" spans="1:2" ht="15" hidden="1" x14ac:dyDescent="0.25">
      <c r="A1960" s="425" t="s">
        <v>1728</v>
      </c>
      <c r="B1960" s="425" t="s">
        <v>1728</v>
      </c>
    </row>
    <row r="1961" spans="1:2" ht="15" hidden="1" x14ac:dyDescent="0.25">
      <c r="A1961" s="425" t="s">
        <v>1729</v>
      </c>
      <c r="B1961" s="425" t="s">
        <v>1729</v>
      </c>
    </row>
    <row r="1962" spans="1:2" ht="15" hidden="1" x14ac:dyDescent="0.25">
      <c r="A1962" s="425" t="s">
        <v>1729</v>
      </c>
      <c r="B1962" s="425" t="s">
        <v>1729</v>
      </c>
    </row>
    <row r="1963" spans="1:2" ht="15" hidden="1" x14ac:dyDescent="0.25">
      <c r="A1963" s="425" t="s">
        <v>1730</v>
      </c>
      <c r="B1963" s="425" t="s">
        <v>1730</v>
      </c>
    </row>
    <row r="1964" spans="1:2" ht="15" hidden="1" x14ac:dyDescent="0.25">
      <c r="A1964" s="425" t="s">
        <v>1731</v>
      </c>
      <c r="B1964" s="425" t="s">
        <v>1731</v>
      </c>
    </row>
    <row r="1965" spans="1:2" ht="15" hidden="1" x14ac:dyDescent="0.25">
      <c r="A1965" s="425" t="s">
        <v>1732</v>
      </c>
      <c r="B1965" s="425" t="s">
        <v>1732</v>
      </c>
    </row>
    <row r="1966" spans="1:2" ht="15" hidden="1" x14ac:dyDescent="0.25">
      <c r="A1966" s="425" t="s">
        <v>1732</v>
      </c>
      <c r="B1966" s="425" t="s">
        <v>1732</v>
      </c>
    </row>
    <row r="1967" spans="1:2" ht="15" hidden="1" x14ac:dyDescent="0.25">
      <c r="A1967" s="425" t="s">
        <v>1733</v>
      </c>
      <c r="B1967" s="425" t="s">
        <v>1733</v>
      </c>
    </row>
    <row r="1968" spans="1:2" ht="15" hidden="1" x14ac:dyDescent="0.25">
      <c r="A1968" s="425" t="s">
        <v>1734</v>
      </c>
      <c r="B1968" s="425" t="s">
        <v>1734</v>
      </c>
    </row>
    <row r="1969" spans="1:2" ht="15" hidden="1" x14ac:dyDescent="0.25">
      <c r="A1969" s="425" t="s">
        <v>1735</v>
      </c>
      <c r="B1969" s="425" t="s">
        <v>1735</v>
      </c>
    </row>
    <row r="1970" spans="1:2" ht="15" hidden="1" x14ac:dyDescent="0.25">
      <c r="A1970" s="425" t="s">
        <v>1736</v>
      </c>
      <c r="B1970" s="425" t="s">
        <v>1736</v>
      </c>
    </row>
    <row r="1971" spans="1:2" ht="15" hidden="1" x14ac:dyDescent="0.25">
      <c r="A1971" s="425" t="s">
        <v>1737</v>
      </c>
      <c r="B1971" s="425" t="s">
        <v>1737</v>
      </c>
    </row>
    <row r="1972" spans="1:2" ht="15" hidden="1" x14ac:dyDescent="0.25">
      <c r="A1972" s="425" t="s">
        <v>1737</v>
      </c>
      <c r="B1972" s="425" t="s">
        <v>1737</v>
      </c>
    </row>
    <row r="1973" spans="1:2" ht="15" hidden="1" x14ac:dyDescent="0.25">
      <c r="A1973" s="425" t="s">
        <v>1738</v>
      </c>
      <c r="B1973" s="425" t="s">
        <v>1738</v>
      </c>
    </row>
    <row r="1974" spans="1:2" ht="15" hidden="1" x14ac:dyDescent="0.25">
      <c r="A1974" s="425" t="s">
        <v>1739</v>
      </c>
      <c r="B1974" s="425" t="s">
        <v>1739</v>
      </c>
    </row>
    <row r="1975" spans="1:2" ht="15" hidden="1" x14ac:dyDescent="0.25">
      <c r="A1975" s="425" t="s">
        <v>1740</v>
      </c>
      <c r="B1975" s="425" t="s">
        <v>1740</v>
      </c>
    </row>
    <row r="1976" spans="1:2" ht="15" hidden="1" x14ac:dyDescent="0.25">
      <c r="A1976" s="425" t="s">
        <v>1741</v>
      </c>
      <c r="B1976" s="425" t="s">
        <v>1741</v>
      </c>
    </row>
    <row r="1977" spans="1:2" ht="15" hidden="1" x14ac:dyDescent="0.25">
      <c r="A1977" s="425" t="s">
        <v>1742</v>
      </c>
      <c r="B1977" s="425" t="s">
        <v>1742</v>
      </c>
    </row>
    <row r="1978" spans="1:2" ht="15" hidden="1" x14ac:dyDescent="0.25">
      <c r="A1978" s="425" t="s">
        <v>1743</v>
      </c>
      <c r="B1978" s="425" t="s">
        <v>1743</v>
      </c>
    </row>
    <row r="1979" spans="1:2" ht="15" hidden="1" x14ac:dyDescent="0.25">
      <c r="A1979" s="425" t="s">
        <v>1743</v>
      </c>
      <c r="B1979" s="425" t="s">
        <v>1743</v>
      </c>
    </row>
    <row r="1980" spans="1:2" ht="15" hidden="1" x14ac:dyDescent="0.25">
      <c r="A1980" s="425" t="s">
        <v>1744</v>
      </c>
      <c r="B1980" s="425" t="s">
        <v>1744</v>
      </c>
    </row>
    <row r="1981" spans="1:2" ht="15" hidden="1" x14ac:dyDescent="0.25">
      <c r="A1981" s="425" t="s">
        <v>1745</v>
      </c>
      <c r="B1981" s="425" t="s">
        <v>1745</v>
      </c>
    </row>
    <row r="1982" spans="1:2" ht="15" hidden="1" x14ac:dyDescent="0.25">
      <c r="A1982" s="425" t="s">
        <v>1746</v>
      </c>
      <c r="B1982" s="425" t="s">
        <v>1746</v>
      </c>
    </row>
    <row r="1983" spans="1:2" ht="15" hidden="1" x14ac:dyDescent="0.25">
      <c r="A1983" s="425" t="s">
        <v>1746</v>
      </c>
      <c r="B1983" s="425" t="s">
        <v>1746</v>
      </c>
    </row>
    <row r="1984" spans="1:2" ht="15" hidden="1" x14ac:dyDescent="0.25">
      <c r="A1984" s="425" t="s">
        <v>1747</v>
      </c>
      <c r="B1984" s="425" t="s">
        <v>1747</v>
      </c>
    </row>
    <row r="1985" spans="1:2" ht="15" hidden="1" x14ac:dyDescent="0.25">
      <c r="A1985" s="425" t="s">
        <v>1748</v>
      </c>
      <c r="B1985" s="425" t="s">
        <v>1748</v>
      </c>
    </row>
    <row r="1986" spans="1:2" ht="15" hidden="1" x14ac:dyDescent="0.25">
      <c r="A1986" s="425" t="s">
        <v>1749</v>
      </c>
      <c r="B1986" s="425" t="s">
        <v>1749</v>
      </c>
    </row>
    <row r="1987" spans="1:2" ht="15" hidden="1" x14ac:dyDescent="0.25">
      <c r="A1987" s="425" t="s">
        <v>1749</v>
      </c>
      <c r="B1987" s="425" t="s">
        <v>1749</v>
      </c>
    </row>
    <row r="1988" spans="1:2" ht="15" hidden="1" x14ac:dyDescent="0.25">
      <c r="A1988" s="425" t="s">
        <v>1750</v>
      </c>
      <c r="B1988" s="425" t="s">
        <v>1750</v>
      </c>
    </row>
    <row r="1989" spans="1:2" ht="15" hidden="1" x14ac:dyDescent="0.25">
      <c r="A1989" s="425" t="s">
        <v>1751</v>
      </c>
      <c r="B1989" s="425" t="s">
        <v>1751</v>
      </c>
    </row>
    <row r="1990" spans="1:2" ht="15" hidden="1" x14ac:dyDescent="0.25">
      <c r="A1990" s="425" t="s">
        <v>1752</v>
      </c>
      <c r="B1990" s="425" t="s">
        <v>1752</v>
      </c>
    </row>
    <row r="1991" spans="1:2" ht="15" hidden="1" x14ac:dyDescent="0.25">
      <c r="A1991" s="425" t="s">
        <v>1752</v>
      </c>
      <c r="B1991" s="425" t="s">
        <v>1752</v>
      </c>
    </row>
    <row r="1992" spans="1:2" ht="15" hidden="1" x14ac:dyDescent="0.25">
      <c r="A1992" s="425" t="s">
        <v>1753</v>
      </c>
      <c r="B1992" s="425" t="s">
        <v>1753</v>
      </c>
    </row>
    <row r="1993" spans="1:2" ht="15" hidden="1" x14ac:dyDescent="0.25">
      <c r="A1993" s="425" t="s">
        <v>1753</v>
      </c>
      <c r="B1993" s="425" t="s">
        <v>1753</v>
      </c>
    </row>
    <row r="1994" spans="1:2" ht="15" hidden="1" x14ac:dyDescent="0.25">
      <c r="A1994" s="425" t="s">
        <v>1754</v>
      </c>
      <c r="B1994" s="425" t="s">
        <v>1754</v>
      </c>
    </row>
    <row r="1995" spans="1:2" ht="15" hidden="1" x14ac:dyDescent="0.25">
      <c r="A1995" s="425" t="s">
        <v>1755</v>
      </c>
      <c r="B1995" s="425" t="s">
        <v>1755</v>
      </c>
    </row>
    <row r="1996" spans="1:2" ht="15" hidden="1" x14ac:dyDescent="0.25">
      <c r="A1996" s="425" t="s">
        <v>1756</v>
      </c>
      <c r="B1996" s="425" t="s">
        <v>1756</v>
      </c>
    </row>
    <row r="1997" spans="1:2" ht="15" hidden="1" x14ac:dyDescent="0.25">
      <c r="A1997" s="425" t="s">
        <v>1757</v>
      </c>
      <c r="B1997" s="425" t="s">
        <v>1757</v>
      </c>
    </row>
    <row r="1998" spans="1:2" ht="15" hidden="1" x14ac:dyDescent="0.25">
      <c r="A1998" s="425" t="s">
        <v>1758</v>
      </c>
      <c r="B1998" s="425" t="s">
        <v>1758</v>
      </c>
    </row>
    <row r="1999" spans="1:2" ht="15" hidden="1" x14ac:dyDescent="0.25">
      <c r="A1999" s="425" t="s">
        <v>1759</v>
      </c>
      <c r="B1999" s="425" t="s">
        <v>1759</v>
      </c>
    </row>
    <row r="2000" spans="1:2" ht="15" hidden="1" x14ac:dyDescent="0.25">
      <c r="A2000" s="425" t="s">
        <v>1759</v>
      </c>
      <c r="B2000" s="425" t="s">
        <v>1759</v>
      </c>
    </row>
    <row r="2001" spans="1:2" ht="15" hidden="1" x14ac:dyDescent="0.25">
      <c r="A2001" s="425" t="s">
        <v>1760</v>
      </c>
      <c r="B2001" s="425" t="s">
        <v>1761</v>
      </c>
    </row>
    <row r="2002" spans="1:2" ht="15" hidden="1" x14ac:dyDescent="0.25">
      <c r="A2002" s="425" t="s">
        <v>1760</v>
      </c>
      <c r="B2002" s="425" t="s">
        <v>1761</v>
      </c>
    </row>
    <row r="2003" spans="1:2" ht="15" hidden="1" x14ac:dyDescent="0.25">
      <c r="A2003" s="425" t="s">
        <v>1762</v>
      </c>
      <c r="B2003" s="425" t="s">
        <v>1763</v>
      </c>
    </row>
    <row r="2004" spans="1:2" ht="15" hidden="1" x14ac:dyDescent="0.25">
      <c r="A2004" s="425" t="s">
        <v>1764</v>
      </c>
      <c r="B2004" s="425" t="s">
        <v>1765</v>
      </c>
    </row>
    <row r="2005" spans="1:2" ht="15" hidden="1" x14ac:dyDescent="0.25">
      <c r="A2005" s="425" t="s">
        <v>1766</v>
      </c>
      <c r="B2005" s="425" t="s">
        <v>1767</v>
      </c>
    </row>
    <row r="2006" spans="1:2" ht="15" hidden="1" x14ac:dyDescent="0.25">
      <c r="A2006" s="425" t="s">
        <v>1768</v>
      </c>
      <c r="B2006" s="425" t="s">
        <v>1769</v>
      </c>
    </row>
    <row r="2007" spans="1:2" ht="15" hidden="1" x14ac:dyDescent="0.25">
      <c r="A2007" s="425" t="s">
        <v>1770</v>
      </c>
      <c r="B2007" s="425" t="s">
        <v>1771</v>
      </c>
    </row>
    <row r="2008" spans="1:2" ht="15" hidden="1" x14ac:dyDescent="0.25">
      <c r="A2008" s="425" t="s">
        <v>1772</v>
      </c>
      <c r="B2008" s="425" t="s">
        <v>1773</v>
      </c>
    </row>
    <row r="2009" spans="1:2" ht="15" hidden="1" x14ac:dyDescent="0.25">
      <c r="A2009" s="425" t="s">
        <v>1774</v>
      </c>
      <c r="B2009" s="425" t="s">
        <v>1775</v>
      </c>
    </row>
    <row r="2010" spans="1:2" ht="15" hidden="1" x14ac:dyDescent="0.25">
      <c r="A2010" s="425" t="s">
        <v>1776</v>
      </c>
      <c r="B2010" s="425" t="s">
        <v>1777</v>
      </c>
    </row>
    <row r="2011" spans="1:2" ht="15" hidden="1" x14ac:dyDescent="0.25">
      <c r="A2011" s="425" t="s">
        <v>1778</v>
      </c>
      <c r="B2011" s="425" t="s">
        <v>1779</v>
      </c>
    </row>
    <row r="2012" spans="1:2" ht="15" hidden="1" x14ac:dyDescent="0.25">
      <c r="A2012" s="425" t="s">
        <v>1780</v>
      </c>
      <c r="B2012" s="425" t="s">
        <v>1781</v>
      </c>
    </row>
    <row r="2013" spans="1:2" ht="15" hidden="1" x14ac:dyDescent="0.25">
      <c r="A2013" s="425" t="s">
        <v>1782</v>
      </c>
      <c r="B2013" s="425" t="s">
        <v>1783</v>
      </c>
    </row>
    <row r="2014" spans="1:2" ht="15" hidden="1" x14ac:dyDescent="0.25">
      <c r="A2014" s="425" t="s">
        <v>1784</v>
      </c>
      <c r="B2014" s="425" t="s">
        <v>1785</v>
      </c>
    </row>
    <row r="2015" spans="1:2" ht="15" hidden="1" x14ac:dyDescent="0.25">
      <c r="A2015" s="425" t="s">
        <v>1786</v>
      </c>
      <c r="B2015" s="425" t="s">
        <v>1787</v>
      </c>
    </row>
    <row r="2016" spans="1:2" ht="15" hidden="1" x14ac:dyDescent="0.25">
      <c r="A2016" s="425" t="s">
        <v>1788</v>
      </c>
      <c r="B2016" s="425" t="s">
        <v>1789</v>
      </c>
    </row>
    <row r="2017" spans="1:2" ht="15" hidden="1" x14ac:dyDescent="0.25">
      <c r="A2017" s="425" t="s">
        <v>1565</v>
      </c>
      <c r="B2017" s="425" t="s">
        <v>1566</v>
      </c>
    </row>
    <row r="2018" spans="1:2" ht="15" hidden="1" x14ac:dyDescent="0.25">
      <c r="A2018" s="425" t="s">
        <v>382</v>
      </c>
      <c r="B2018" s="425" t="s">
        <v>383</v>
      </c>
    </row>
    <row r="2019" spans="1:2" ht="15" hidden="1" x14ac:dyDescent="0.25">
      <c r="A2019" s="425" t="s">
        <v>382</v>
      </c>
      <c r="B2019" s="425" t="s">
        <v>383</v>
      </c>
    </row>
    <row r="2020" spans="1:2" ht="15" hidden="1" x14ac:dyDescent="0.25">
      <c r="A2020" s="425" t="s">
        <v>382</v>
      </c>
      <c r="B2020" s="425" t="s">
        <v>383</v>
      </c>
    </row>
    <row r="2021" spans="1:2" ht="15" hidden="1" x14ac:dyDescent="0.25">
      <c r="A2021" s="425" t="s">
        <v>1790</v>
      </c>
      <c r="B2021" s="425" t="s">
        <v>1791</v>
      </c>
    </row>
    <row r="2022" spans="1:2" ht="15" hidden="1" x14ac:dyDescent="0.25">
      <c r="A2022" s="425" t="s">
        <v>1792</v>
      </c>
      <c r="B2022" s="425" t="s">
        <v>1793</v>
      </c>
    </row>
    <row r="2023" spans="1:2" ht="15" hidden="1" x14ac:dyDescent="0.25">
      <c r="A2023" s="425" t="s">
        <v>1794</v>
      </c>
      <c r="B2023" s="425" t="s">
        <v>1795</v>
      </c>
    </row>
    <row r="2024" spans="1:2" ht="15" hidden="1" x14ac:dyDescent="0.25">
      <c r="A2024" s="425" t="s">
        <v>1794</v>
      </c>
      <c r="B2024" s="425" t="s">
        <v>1795</v>
      </c>
    </row>
    <row r="2025" spans="1:2" ht="15" hidden="1" x14ac:dyDescent="0.25">
      <c r="A2025" s="425" t="s">
        <v>1794</v>
      </c>
      <c r="B2025" s="425" t="s">
        <v>1795</v>
      </c>
    </row>
    <row r="2026" spans="1:2" ht="15" hidden="1" x14ac:dyDescent="0.25">
      <c r="A2026" s="425" t="s">
        <v>1794</v>
      </c>
      <c r="B2026" s="425" t="s">
        <v>1795</v>
      </c>
    </row>
    <row r="2027" spans="1:2" ht="15" hidden="1" x14ac:dyDescent="0.25">
      <c r="A2027" s="425" t="s">
        <v>1794</v>
      </c>
      <c r="B2027" s="425" t="s">
        <v>1795</v>
      </c>
    </row>
    <row r="2028" spans="1:2" ht="15" hidden="1" x14ac:dyDescent="0.25">
      <c r="A2028" s="425" t="s">
        <v>1794</v>
      </c>
      <c r="B2028" s="425" t="s">
        <v>1795</v>
      </c>
    </row>
    <row r="2029" spans="1:2" ht="15" hidden="1" x14ac:dyDescent="0.25">
      <c r="A2029" s="425" t="s">
        <v>1796</v>
      </c>
      <c r="B2029" s="425" t="s">
        <v>1797</v>
      </c>
    </row>
    <row r="2030" spans="1:2" ht="15" hidden="1" x14ac:dyDescent="0.25">
      <c r="A2030" s="425" t="s">
        <v>1798</v>
      </c>
      <c r="B2030" s="425" t="s">
        <v>1799</v>
      </c>
    </row>
    <row r="2031" spans="1:2" ht="15" hidden="1" x14ac:dyDescent="0.25">
      <c r="A2031" s="425" t="s">
        <v>1591</v>
      </c>
      <c r="B2031" s="425" t="s">
        <v>1592</v>
      </c>
    </row>
    <row r="2032" spans="1:2" ht="15" hidden="1" x14ac:dyDescent="0.25">
      <c r="A2032" s="425" t="s">
        <v>1800</v>
      </c>
      <c r="B2032" s="425" t="s">
        <v>1801</v>
      </c>
    </row>
    <row r="2033" spans="1:2" ht="15" hidden="1" x14ac:dyDescent="0.25">
      <c r="A2033" s="425" t="s">
        <v>1800</v>
      </c>
      <c r="B2033" s="425" t="s">
        <v>1801</v>
      </c>
    </row>
    <row r="2034" spans="1:2" ht="15" hidden="1" x14ac:dyDescent="0.25">
      <c r="A2034" s="425" t="s">
        <v>1802</v>
      </c>
      <c r="B2034" s="425" t="s">
        <v>1803</v>
      </c>
    </row>
    <row r="2035" spans="1:2" ht="15" hidden="1" x14ac:dyDescent="0.25">
      <c r="A2035" s="425" t="s">
        <v>1804</v>
      </c>
      <c r="B2035" s="425" t="s">
        <v>1805</v>
      </c>
    </row>
    <row r="2036" spans="1:2" ht="15" hidden="1" x14ac:dyDescent="0.25">
      <c r="A2036" s="425" t="s">
        <v>1806</v>
      </c>
      <c r="B2036" s="425" t="s">
        <v>1754</v>
      </c>
    </row>
    <row r="2037" spans="1:2" ht="15" hidden="1" x14ac:dyDescent="0.25">
      <c r="A2037" s="425" t="s">
        <v>1807</v>
      </c>
      <c r="B2037" s="425" t="s">
        <v>1808</v>
      </c>
    </row>
    <row r="2038" spans="1:2" ht="15" hidden="1" x14ac:dyDescent="0.25">
      <c r="A2038" s="425" t="s">
        <v>1809</v>
      </c>
      <c r="B2038" s="425" t="s">
        <v>1810</v>
      </c>
    </row>
    <row r="2039" spans="1:2" ht="15" hidden="1" x14ac:dyDescent="0.25">
      <c r="A2039" s="425" t="s">
        <v>1811</v>
      </c>
      <c r="B2039" s="425" t="s">
        <v>1812</v>
      </c>
    </row>
    <row r="2040" spans="1:2" ht="15" hidden="1" x14ac:dyDescent="0.25">
      <c r="A2040" s="425" t="s">
        <v>1811</v>
      </c>
      <c r="B2040" s="425" t="s">
        <v>1812</v>
      </c>
    </row>
    <row r="2041" spans="1:2" ht="15" hidden="1" x14ac:dyDescent="0.25">
      <c r="A2041" s="425" t="s">
        <v>1813</v>
      </c>
      <c r="B2041" s="425" t="s">
        <v>1814</v>
      </c>
    </row>
    <row r="2042" spans="1:2" ht="15" hidden="1" x14ac:dyDescent="0.25">
      <c r="A2042" s="425" t="s">
        <v>1815</v>
      </c>
      <c r="B2042" s="425" t="s">
        <v>1816</v>
      </c>
    </row>
    <row r="2043" spans="1:2" ht="15" hidden="1" x14ac:dyDescent="0.25">
      <c r="A2043" s="425" t="s">
        <v>1817</v>
      </c>
      <c r="B2043" s="425" t="s">
        <v>1818</v>
      </c>
    </row>
    <row r="2044" spans="1:2" ht="15" hidden="1" x14ac:dyDescent="0.25">
      <c r="A2044" s="425" t="s">
        <v>1817</v>
      </c>
      <c r="B2044" s="425" t="s">
        <v>1818</v>
      </c>
    </row>
    <row r="2045" spans="1:2" ht="15" hidden="1" x14ac:dyDescent="0.25">
      <c r="A2045" s="425" t="s">
        <v>1817</v>
      </c>
      <c r="B2045" s="425" t="s">
        <v>1818</v>
      </c>
    </row>
    <row r="2046" spans="1:2" ht="15" hidden="1" x14ac:dyDescent="0.25">
      <c r="A2046" s="425" t="s">
        <v>1819</v>
      </c>
      <c r="B2046" s="425" t="s">
        <v>1820</v>
      </c>
    </row>
    <row r="2047" spans="1:2" ht="15" hidden="1" x14ac:dyDescent="0.25">
      <c r="A2047" s="425" t="s">
        <v>1819</v>
      </c>
      <c r="B2047" s="425" t="s">
        <v>1820</v>
      </c>
    </row>
    <row r="2048" spans="1:2" ht="15" hidden="1" x14ac:dyDescent="0.25">
      <c r="A2048" s="425" t="s">
        <v>1821</v>
      </c>
      <c r="B2048" s="425" t="s">
        <v>1822</v>
      </c>
    </row>
    <row r="2049" spans="1:2" ht="15" hidden="1" x14ac:dyDescent="0.25">
      <c r="A2049" s="425" t="s">
        <v>1823</v>
      </c>
      <c r="B2049" s="425" t="s">
        <v>1824</v>
      </c>
    </row>
    <row r="2050" spans="1:2" ht="15" hidden="1" x14ac:dyDescent="0.25">
      <c r="A2050" s="425" t="s">
        <v>1613</v>
      </c>
      <c r="B2050" s="425" t="s">
        <v>1614</v>
      </c>
    </row>
    <row r="2051" spans="1:2" ht="15" hidden="1" x14ac:dyDescent="0.25">
      <c r="A2051" s="425" t="s">
        <v>1613</v>
      </c>
      <c r="B2051" s="425" t="s">
        <v>1614</v>
      </c>
    </row>
    <row r="2052" spans="1:2" ht="15" hidden="1" x14ac:dyDescent="0.25">
      <c r="A2052" s="427" t="s">
        <v>1825</v>
      </c>
      <c r="B2052" s="427" t="s">
        <v>1826</v>
      </c>
    </row>
    <row r="2053" spans="1:2" ht="15" hidden="1" x14ac:dyDescent="0.25">
      <c r="A2053" s="425" t="s">
        <v>1827</v>
      </c>
      <c r="B2053" s="425" t="s">
        <v>1828</v>
      </c>
    </row>
    <row r="2054" spans="1:2" ht="15" hidden="1" x14ac:dyDescent="0.25">
      <c r="A2054" s="425" t="s">
        <v>1829</v>
      </c>
      <c r="B2054" s="425" t="s">
        <v>1830</v>
      </c>
    </row>
    <row r="2055" spans="1:2" ht="15" hidden="1" x14ac:dyDescent="0.25">
      <c r="A2055" s="425" t="s">
        <v>1831</v>
      </c>
      <c r="B2055" s="425" t="s">
        <v>1832</v>
      </c>
    </row>
    <row r="2056" spans="1:2" ht="15" hidden="1" x14ac:dyDescent="0.25">
      <c r="A2056" s="425" t="s">
        <v>1833</v>
      </c>
      <c r="B2056" s="425" t="s">
        <v>1834</v>
      </c>
    </row>
    <row r="2057" spans="1:2" ht="15" hidden="1" x14ac:dyDescent="0.25">
      <c r="A2057" s="425" t="s">
        <v>1835</v>
      </c>
      <c r="B2057" s="425" t="s">
        <v>1836</v>
      </c>
    </row>
    <row r="2058" spans="1:2" ht="15" hidden="1" x14ac:dyDescent="0.25">
      <c r="A2058" s="425" t="s">
        <v>1615</v>
      </c>
      <c r="B2058" s="425" t="s">
        <v>1616</v>
      </c>
    </row>
    <row r="2059" spans="1:2" ht="15" hidden="1" x14ac:dyDescent="0.25">
      <c r="A2059" s="425" t="s">
        <v>1615</v>
      </c>
      <c r="B2059" s="425" t="s">
        <v>1616</v>
      </c>
    </row>
    <row r="2060" spans="1:2" ht="15" hidden="1" x14ac:dyDescent="0.25">
      <c r="A2060" s="425" t="s">
        <v>208</v>
      </c>
      <c r="B2060" s="425" t="s">
        <v>309</v>
      </c>
    </row>
    <row r="2061" spans="1:2" ht="15" hidden="1" x14ac:dyDescent="0.25">
      <c r="A2061" s="425" t="s">
        <v>208</v>
      </c>
      <c r="B2061" s="425" t="s">
        <v>309</v>
      </c>
    </row>
    <row r="2062" spans="1:2" ht="15" hidden="1" x14ac:dyDescent="0.25">
      <c r="A2062" s="425" t="s">
        <v>208</v>
      </c>
      <c r="B2062" s="425" t="s">
        <v>309</v>
      </c>
    </row>
    <row r="2063" spans="1:2" ht="15" hidden="1" x14ac:dyDescent="0.25">
      <c r="A2063" s="425" t="s">
        <v>208</v>
      </c>
      <c r="B2063" s="425" t="s">
        <v>309</v>
      </c>
    </row>
    <row r="2064" spans="1:2" ht="15" hidden="1" x14ac:dyDescent="0.25">
      <c r="A2064" s="425" t="s">
        <v>208</v>
      </c>
      <c r="B2064" s="425" t="s">
        <v>309</v>
      </c>
    </row>
    <row r="2065" spans="1:2" ht="15" hidden="1" x14ac:dyDescent="0.25">
      <c r="A2065" s="425" t="s">
        <v>208</v>
      </c>
      <c r="B2065" s="425" t="s">
        <v>309</v>
      </c>
    </row>
    <row r="2066" spans="1:2" ht="15" hidden="1" x14ac:dyDescent="0.25">
      <c r="A2066" s="425" t="s">
        <v>208</v>
      </c>
      <c r="B2066" s="425" t="s">
        <v>309</v>
      </c>
    </row>
    <row r="2067" spans="1:2" ht="15" hidden="1" x14ac:dyDescent="0.25">
      <c r="A2067" s="425" t="s">
        <v>208</v>
      </c>
      <c r="B2067" s="425" t="s">
        <v>309</v>
      </c>
    </row>
    <row r="2068" spans="1:2" ht="15" hidden="1" x14ac:dyDescent="0.25">
      <c r="A2068" s="425" t="s">
        <v>208</v>
      </c>
      <c r="B2068" s="425" t="s">
        <v>309</v>
      </c>
    </row>
    <row r="2069" spans="1:2" ht="15" hidden="1" x14ac:dyDescent="0.25">
      <c r="A2069" s="425" t="s">
        <v>208</v>
      </c>
      <c r="B2069" s="425" t="s">
        <v>309</v>
      </c>
    </row>
    <row r="2070" spans="1:2" ht="15" hidden="1" x14ac:dyDescent="0.25">
      <c r="A2070" s="425" t="s">
        <v>208</v>
      </c>
      <c r="B2070" s="425" t="s">
        <v>309</v>
      </c>
    </row>
    <row r="2071" spans="1:2" ht="15" hidden="1" x14ac:dyDescent="0.25">
      <c r="A2071" s="425" t="s">
        <v>208</v>
      </c>
      <c r="B2071" s="425" t="s">
        <v>309</v>
      </c>
    </row>
    <row r="2072" spans="1:2" ht="15" hidden="1" x14ac:dyDescent="0.25">
      <c r="A2072" s="425" t="s">
        <v>208</v>
      </c>
      <c r="B2072" s="425" t="s">
        <v>309</v>
      </c>
    </row>
    <row r="2073" spans="1:2" ht="15" hidden="1" x14ac:dyDescent="0.25">
      <c r="A2073" s="425" t="s">
        <v>208</v>
      </c>
      <c r="B2073" s="425" t="s">
        <v>309</v>
      </c>
    </row>
    <row r="2074" spans="1:2" ht="15" hidden="1" x14ac:dyDescent="0.25">
      <c r="A2074" s="425" t="s">
        <v>208</v>
      </c>
      <c r="B2074" s="425" t="s">
        <v>309</v>
      </c>
    </row>
    <row r="2075" spans="1:2" ht="15" hidden="1" x14ac:dyDescent="0.25">
      <c r="A2075" s="425" t="s">
        <v>178</v>
      </c>
      <c r="B2075" s="425" t="s">
        <v>310</v>
      </c>
    </row>
    <row r="2076" spans="1:2" ht="15" hidden="1" x14ac:dyDescent="0.25">
      <c r="A2076" s="425" t="s">
        <v>179</v>
      </c>
      <c r="B2076" s="425" t="s">
        <v>311</v>
      </c>
    </row>
    <row r="2077" spans="1:2" ht="15" hidden="1" x14ac:dyDescent="0.25">
      <c r="A2077" s="425" t="s">
        <v>179</v>
      </c>
      <c r="B2077" s="425" t="s">
        <v>311</v>
      </c>
    </row>
    <row r="2078" spans="1:2" ht="15" hidden="1" x14ac:dyDescent="0.25">
      <c r="A2078" s="425" t="s">
        <v>179</v>
      </c>
      <c r="B2078" s="425" t="s">
        <v>311</v>
      </c>
    </row>
    <row r="2079" spans="1:2" ht="15" hidden="1" x14ac:dyDescent="0.25">
      <c r="A2079" s="425" t="s">
        <v>179</v>
      </c>
      <c r="B2079" s="425" t="s">
        <v>311</v>
      </c>
    </row>
    <row r="2080" spans="1:2" ht="15" hidden="1" x14ac:dyDescent="0.25">
      <c r="A2080" s="425" t="s">
        <v>179</v>
      </c>
      <c r="B2080" s="425" t="s">
        <v>311</v>
      </c>
    </row>
    <row r="2081" spans="1:2" ht="15" hidden="1" x14ac:dyDescent="0.25">
      <c r="A2081" s="425" t="s">
        <v>179</v>
      </c>
      <c r="B2081" s="425" t="s">
        <v>311</v>
      </c>
    </row>
    <row r="2082" spans="1:2" ht="15" hidden="1" x14ac:dyDescent="0.25">
      <c r="A2082" s="425" t="s">
        <v>395</v>
      </c>
      <c r="B2082" s="425" t="s">
        <v>396</v>
      </c>
    </row>
    <row r="2083" spans="1:2" ht="15" hidden="1" x14ac:dyDescent="0.25">
      <c r="A2083" s="425" t="s">
        <v>1619</v>
      </c>
      <c r="B2083" s="425" t="s">
        <v>1620</v>
      </c>
    </row>
    <row r="2084" spans="1:2" ht="15" hidden="1" x14ac:dyDescent="0.25">
      <c r="A2084" s="425" t="s">
        <v>1619</v>
      </c>
      <c r="B2084" s="425" t="s">
        <v>1620</v>
      </c>
    </row>
    <row r="2085" spans="1:2" ht="15" hidden="1" x14ac:dyDescent="0.25">
      <c r="A2085" s="425" t="s">
        <v>1619</v>
      </c>
      <c r="B2085" s="425" t="s">
        <v>1620</v>
      </c>
    </row>
    <row r="2086" spans="1:2" ht="15" hidden="1" x14ac:dyDescent="0.25">
      <c r="A2086" s="425" t="s">
        <v>1619</v>
      </c>
      <c r="B2086" s="425" t="s">
        <v>1620</v>
      </c>
    </row>
    <row r="2087" spans="1:2" ht="15" hidden="1" x14ac:dyDescent="0.25">
      <c r="A2087" s="425" t="s">
        <v>1619</v>
      </c>
      <c r="B2087" s="425" t="s">
        <v>1620</v>
      </c>
    </row>
    <row r="2088" spans="1:2" ht="15" hidden="1" x14ac:dyDescent="0.25">
      <c r="A2088" s="425" t="s">
        <v>1619</v>
      </c>
      <c r="B2088" s="425" t="s">
        <v>1620</v>
      </c>
    </row>
    <row r="2089" spans="1:2" ht="15" hidden="1" x14ac:dyDescent="0.25">
      <c r="A2089" s="425" t="s">
        <v>1619</v>
      </c>
      <c r="B2089" s="425" t="s">
        <v>1620</v>
      </c>
    </row>
    <row r="2090" spans="1:2" ht="15" hidden="1" x14ac:dyDescent="0.25">
      <c r="A2090" s="425" t="s">
        <v>1619</v>
      </c>
      <c r="B2090" s="425" t="s">
        <v>1620</v>
      </c>
    </row>
    <row r="2091" spans="1:2" ht="15" hidden="1" x14ac:dyDescent="0.25">
      <c r="A2091" s="425" t="s">
        <v>1619</v>
      </c>
      <c r="B2091" s="425" t="s">
        <v>1620</v>
      </c>
    </row>
    <row r="2092" spans="1:2" ht="15" hidden="1" x14ac:dyDescent="0.25">
      <c r="A2092" s="425" t="s">
        <v>1619</v>
      </c>
      <c r="B2092" s="425" t="s">
        <v>1620</v>
      </c>
    </row>
    <row r="2093" spans="1:2" ht="15" hidden="1" x14ac:dyDescent="0.25">
      <c r="A2093" s="425" t="s">
        <v>1455</v>
      </c>
      <c r="B2093" s="425" t="s">
        <v>1456</v>
      </c>
    </row>
    <row r="2094" spans="1:2" ht="15" hidden="1" x14ac:dyDescent="0.25">
      <c r="A2094" s="425" t="s">
        <v>1455</v>
      </c>
      <c r="B2094" s="425" t="s">
        <v>1456</v>
      </c>
    </row>
    <row r="2095" spans="1:2" ht="15" hidden="1" x14ac:dyDescent="0.25">
      <c r="A2095" s="425" t="s">
        <v>1455</v>
      </c>
      <c r="B2095" s="425" t="s">
        <v>1456</v>
      </c>
    </row>
    <row r="2096" spans="1:2" ht="15" hidden="1" x14ac:dyDescent="0.25">
      <c r="A2096" s="425" t="s">
        <v>1261</v>
      </c>
      <c r="B2096" s="425" t="s">
        <v>1262</v>
      </c>
    </row>
    <row r="2097" spans="1:2" ht="15" hidden="1" x14ac:dyDescent="0.25">
      <c r="A2097" s="425" t="s">
        <v>182</v>
      </c>
      <c r="B2097" s="425" t="s">
        <v>315</v>
      </c>
    </row>
    <row r="2098" spans="1:2" ht="15" hidden="1" x14ac:dyDescent="0.25">
      <c r="A2098" s="425" t="s">
        <v>182</v>
      </c>
      <c r="B2098" s="425" t="s">
        <v>315</v>
      </c>
    </row>
    <row r="2099" spans="1:2" ht="15" hidden="1" x14ac:dyDescent="0.25">
      <c r="A2099" s="425" t="s">
        <v>182</v>
      </c>
      <c r="B2099" s="425" t="s">
        <v>315</v>
      </c>
    </row>
    <row r="2100" spans="1:2" ht="15" hidden="1" x14ac:dyDescent="0.25">
      <c r="A2100" s="425" t="s">
        <v>182</v>
      </c>
      <c r="B2100" s="425" t="s">
        <v>315</v>
      </c>
    </row>
    <row r="2101" spans="1:2" ht="15" hidden="1" x14ac:dyDescent="0.25">
      <c r="A2101" s="425" t="s">
        <v>182</v>
      </c>
      <c r="B2101" s="425" t="s">
        <v>315</v>
      </c>
    </row>
    <row r="2102" spans="1:2" ht="15" hidden="1" x14ac:dyDescent="0.25">
      <c r="A2102" s="425" t="s">
        <v>182</v>
      </c>
      <c r="B2102" s="425" t="s">
        <v>315</v>
      </c>
    </row>
    <row r="2103" spans="1:2" ht="15" hidden="1" x14ac:dyDescent="0.25">
      <c r="A2103" s="425" t="s">
        <v>182</v>
      </c>
      <c r="B2103" s="425" t="s">
        <v>315</v>
      </c>
    </row>
    <row r="2104" spans="1:2" ht="15" hidden="1" x14ac:dyDescent="0.25">
      <c r="A2104" s="425" t="s">
        <v>182</v>
      </c>
      <c r="B2104" s="425" t="s">
        <v>315</v>
      </c>
    </row>
    <row r="2105" spans="1:2" ht="15" hidden="1" x14ac:dyDescent="0.25">
      <c r="A2105" s="425" t="s">
        <v>182</v>
      </c>
      <c r="B2105" s="425" t="s">
        <v>315</v>
      </c>
    </row>
    <row r="2106" spans="1:2" ht="15" hidden="1" x14ac:dyDescent="0.25">
      <c r="A2106" s="425" t="s">
        <v>182</v>
      </c>
      <c r="B2106" s="425" t="s">
        <v>315</v>
      </c>
    </row>
    <row r="2107" spans="1:2" ht="15" hidden="1" x14ac:dyDescent="0.25">
      <c r="A2107" s="425" t="s">
        <v>182</v>
      </c>
      <c r="B2107" s="425" t="s">
        <v>315</v>
      </c>
    </row>
    <row r="2108" spans="1:2" ht="15" hidden="1" x14ac:dyDescent="0.25">
      <c r="A2108" s="425" t="s">
        <v>182</v>
      </c>
      <c r="B2108" s="425" t="s">
        <v>315</v>
      </c>
    </row>
    <row r="2109" spans="1:2" ht="15" hidden="1" x14ac:dyDescent="0.25">
      <c r="A2109" s="425" t="s">
        <v>182</v>
      </c>
      <c r="B2109" s="425" t="s">
        <v>315</v>
      </c>
    </row>
    <row r="2110" spans="1:2" ht="15" hidden="1" x14ac:dyDescent="0.25">
      <c r="A2110" s="425" t="s">
        <v>182</v>
      </c>
      <c r="B2110" s="425" t="s">
        <v>315</v>
      </c>
    </row>
    <row r="2111" spans="1:2" ht="15" hidden="1" x14ac:dyDescent="0.25">
      <c r="A2111" s="425" t="s">
        <v>182</v>
      </c>
      <c r="B2111" s="425" t="s">
        <v>315</v>
      </c>
    </row>
    <row r="2112" spans="1:2" ht="15" hidden="1" x14ac:dyDescent="0.25">
      <c r="A2112" s="425" t="s">
        <v>210</v>
      </c>
      <c r="B2112" s="425" t="s">
        <v>316</v>
      </c>
    </row>
    <row r="2113" spans="1:2" ht="15" hidden="1" x14ac:dyDescent="0.25">
      <c r="A2113" s="425" t="s">
        <v>210</v>
      </c>
      <c r="B2113" s="425" t="s">
        <v>316</v>
      </c>
    </row>
    <row r="2114" spans="1:2" ht="15" hidden="1" x14ac:dyDescent="0.25">
      <c r="A2114" s="425" t="s">
        <v>210</v>
      </c>
      <c r="B2114" s="425" t="s">
        <v>316</v>
      </c>
    </row>
    <row r="2115" spans="1:2" ht="15" hidden="1" x14ac:dyDescent="0.25">
      <c r="A2115" s="425" t="s">
        <v>210</v>
      </c>
      <c r="B2115" s="425" t="s">
        <v>316</v>
      </c>
    </row>
    <row r="2116" spans="1:2" ht="15" hidden="1" x14ac:dyDescent="0.25">
      <c r="A2116" s="425" t="s">
        <v>210</v>
      </c>
      <c r="B2116" s="425" t="s">
        <v>316</v>
      </c>
    </row>
    <row r="2117" spans="1:2" ht="15" hidden="1" x14ac:dyDescent="0.25">
      <c r="A2117" s="425" t="s">
        <v>210</v>
      </c>
      <c r="B2117" s="425" t="s">
        <v>316</v>
      </c>
    </row>
    <row r="2118" spans="1:2" ht="15" hidden="1" x14ac:dyDescent="0.25">
      <c r="A2118" s="425" t="s">
        <v>210</v>
      </c>
      <c r="B2118" s="425" t="s">
        <v>316</v>
      </c>
    </row>
    <row r="2119" spans="1:2" ht="15" hidden="1" x14ac:dyDescent="0.25">
      <c r="A2119" s="425" t="s">
        <v>210</v>
      </c>
      <c r="B2119" s="425" t="s">
        <v>316</v>
      </c>
    </row>
    <row r="2120" spans="1:2" ht="15" hidden="1" x14ac:dyDescent="0.25">
      <c r="A2120" s="425" t="s">
        <v>210</v>
      </c>
      <c r="B2120" s="425" t="s">
        <v>316</v>
      </c>
    </row>
    <row r="2121" spans="1:2" ht="15" hidden="1" x14ac:dyDescent="0.25">
      <c r="A2121" s="425" t="s">
        <v>183</v>
      </c>
      <c r="B2121" s="425" t="s">
        <v>317</v>
      </c>
    </row>
    <row r="2122" spans="1:2" ht="15" hidden="1" x14ac:dyDescent="0.25">
      <c r="A2122" s="425" t="s">
        <v>183</v>
      </c>
      <c r="B2122" s="425" t="s">
        <v>317</v>
      </c>
    </row>
    <row r="2123" spans="1:2" ht="15" hidden="1" x14ac:dyDescent="0.25">
      <c r="A2123" s="425" t="s">
        <v>183</v>
      </c>
      <c r="B2123" s="425" t="s">
        <v>317</v>
      </c>
    </row>
    <row r="2124" spans="1:2" ht="15" hidden="1" x14ac:dyDescent="0.25">
      <c r="A2124" s="425" t="s">
        <v>183</v>
      </c>
      <c r="B2124" s="425" t="s">
        <v>317</v>
      </c>
    </row>
    <row r="2125" spans="1:2" ht="15" hidden="1" x14ac:dyDescent="0.25">
      <c r="A2125" s="425" t="s">
        <v>184</v>
      </c>
      <c r="B2125" s="425" t="s">
        <v>318</v>
      </c>
    </row>
    <row r="2126" spans="1:2" ht="15" hidden="1" x14ac:dyDescent="0.25">
      <c r="A2126" s="425" t="s">
        <v>185</v>
      </c>
      <c r="B2126" s="425" t="s">
        <v>319</v>
      </c>
    </row>
    <row r="2127" spans="1:2" ht="15" hidden="1" x14ac:dyDescent="0.25">
      <c r="A2127" s="425" t="s">
        <v>185</v>
      </c>
      <c r="B2127" s="425" t="s">
        <v>319</v>
      </c>
    </row>
    <row r="2128" spans="1:2" ht="15" hidden="1" x14ac:dyDescent="0.25">
      <c r="A2128" s="425" t="s">
        <v>185</v>
      </c>
      <c r="B2128" s="425" t="s">
        <v>319</v>
      </c>
    </row>
    <row r="2129" spans="1:2" ht="15" hidden="1" x14ac:dyDescent="0.25">
      <c r="A2129" s="425" t="s">
        <v>185</v>
      </c>
      <c r="B2129" s="425" t="s">
        <v>319</v>
      </c>
    </row>
    <row r="2130" spans="1:2" ht="15" hidden="1" x14ac:dyDescent="0.25">
      <c r="A2130" s="425" t="s">
        <v>185</v>
      </c>
      <c r="B2130" s="425" t="s">
        <v>319</v>
      </c>
    </row>
    <row r="2131" spans="1:2" ht="15" hidden="1" x14ac:dyDescent="0.25">
      <c r="A2131" s="425" t="s">
        <v>185</v>
      </c>
      <c r="B2131" s="425" t="s">
        <v>319</v>
      </c>
    </row>
    <row r="2132" spans="1:2" ht="15" hidden="1" x14ac:dyDescent="0.25">
      <c r="A2132" s="425" t="s">
        <v>185</v>
      </c>
      <c r="B2132" s="425" t="s">
        <v>319</v>
      </c>
    </row>
    <row r="2133" spans="1:2" ht="15" hidden="1" x14ac:dyDescent="0.25">
      <c r="A2133" s="425" t="s">
        <v>185</v>
      </c>
      <c r="B2133" s="425" t="s">
        <v>319</v>
      </c>
    </row>
    <row r="2134" spans="1:2" ht="15" hidden="1" x14ac:dyDescent="0.25">
      <c r="A2134" s="425" t="s">
        <v>185</v>
      </c>
      <c r="B2134" s="425" t="s">
        <v>319</v>
      </c>
    </row>
    <row r="2135" spans="1:2" ht="15" hidden="1" x14ac:dyDescent="0.25">
      <c r="A2135" s="425" t="s">
        <v>185</v>
      </c>
      <c r="B2135" s="425" t="s">
        <v>319</v>
      </c>
    </row>
    <row r="2136" spans="1:2" ht="15" hidden="1" x14ac:dyDescent="0.25">
      <c r="A2136" s="425" t="s">
        <v>185</v>
      </c>
      <c r="B2136" s="425" t="s">
        <v>319</v>
      </c>
    </row>
    <row r="2137" spans="1:2" ht="15" hidden="1" x14ac:dyDescent="0.25">
      <c r="A2137" s="425" t="s">
        <v>185</v>
      </c>
      <c r="B2137" s="425" t="s">
        <v>319</v>
      </c>
    </row>
    <row r="2138" spans="1:2" ht="15" hidden="1" x14ac:dyDescent="0.25">
      <c r="A2138" s="425" t="s">
        <v>185</v>
      </c>
      <c r="B2138" s="425" t="s">
        <v>319</v>
      </c>
    </row>
    <row r="2139" spans="1:2" ht="15" hidden="1" x14ac:dyDescent="0.25">
      <c r="A2139" s="425" t="s">
        <v>185</v>
      </c>
      <c r="B2139" s="425" t="s">
        <v>319</v>
      </c>
    </row>
    <row r="2140" spans="1:2" ht="15" hidden="1" x14ac:dyDescent="0.25">
      <c r="A2140" s="425" t="s">
        <v>185</v>
      </c>
      <c r="B2140" s="425" t="s">
        <v>319</v>
      </c>
    </row>
    <row r="2141" spans="1:2" ht="15" hidden="1" x14ac:dyDescent="0.25">
      <c r="A2141" s="425" t="s">
        <v>185</v>
      </c>
      <c r="B2141" s="425" t="s">
        <v>319</v>
      </c>
    </row>
    <row r="2142" spans="1:2" ht="15" hidden="1" x14ac:dyDescent="0.25">
      <c r="A2142" s="425" t="s">
        <v>185</v>
      </c>
      <c r="B2142" s="425" t="s">
        <v>319</v>
      </c>
    </row>
    <row r="2143" spans="1:2" ht="15" hidden="1" x14ac:dyDescent="0.25">
      <c r="A2143" s="425" t="s">
        <v>185</v>
      </c>
      <c r="B2143" s="425" t="s">
        <v>319</v>
      </c>
    </row>
    <row r="2144" spans="1:2" ht="15" hidden="1" x14ac:dyDescent="0.25">
      <c r="A2144" s="425" t="s">
        <v>185</v>
      </c>
      <c r="B2144" s="425" t="s">
        <v>319</v>
      </c>
    </row>
    <row r="2145" spans="1:2" ht="15" hidden="1" x14ac:dyDescent="0.25">
      <c r="A2145" s="425" t="s">
        <v>185</v>
      </c>
      <c r="B2145" s="425" t="s">
        <v>319</v>
      </c>
    </row>
    <row r="2146" spans="1:2" ht="15" hidden="1" x14ac:dyDescent="0.25">
      <c r="A2146" s="425" t="s">
        <v>185</v>
      </c>
      <c r="B2146" s="425" t="s">
        <v>319</v>
      </c>
    </row>
    <row r="2147" spans="1:2" ht="15" hidden="1" x14ac:dyDescent="0.25">
      <c r="A2147" s="425" t="s">
        <v>185</v>
      </c>
      <c r="B2147" s="425" t="s">
        <v>319</v>
      </c>
    </row>
    <row r="2148" spans="1:2" ht="15" hidden="1" x14ac:dyDescent="0.25">
      <c r="A2148" s="425" t="s">
        <v>185</v>
      </c>
      <c r="B2148" s="425" t="s">
        <v>319</v>
      </c>
    </row>
    <row r="2149" spans="1:2" ht="15" hidden="1" x14ac:dyDescent="0.25">
      <c r="A2149" s="425" t="s">
        <v>185</v>
      </c>
      <c r="B2149" s="425" t="s">
        <v>319</v>
      </c>
    </row>
    <row r="2150" spans="1:2" ht="15" hidden="1" x14ac:dyDescent="0.25">
      <c r="A2150" s="425" t="s">
        <v>185</v>
      </c>
      <c r="B2150" s="425" t="s">
        <v>319</v>
      </c>
    </row>
    <row r="2151" spans="1:2" ht="15" hidden="1" x14ac:dyDescent="0.25">
      <c r="A2151" s="425" t="s">
        <v>185</v>
      </c>
      <c r="B2151" s="425" t="s">
        <v>319</v>
      </c>
    </row>
    <row r="2152" spans="1:2" ht="15" hidden="1" x14ac:dyDescent="0.25">
      <c r="A2152" s="425" t="s">
        <v>185</v>
      </c>
      <c r="B2152" s="425" t="s">
        <v>319</v>
      </c>
    </row>
    <row r="2153" spans="1:2" ht="15" hidden="1" x14ac:dyDescent="0.25">
      <c r="A2153" s="425" t="s">
        <v>185</v>
      </c>
      <c r="B2153" s="425" t="s">
        <v>319</v>
      </c>
    </row>
    <row r="2154" spans="1:2" ht="15" hidden="1" x14ac:dyDescent="0.25">
      <c r="A2154" s="425" t="s">
        <v>185</v>
      </c>
      <c r="B2154" s="425" t="s">
        <v>319</v>
      </c>
    </row>
    <row r="2155" spans="1:2" ht="15" hidden="1" x14ac:dyDescent="0.25">
      <c r="A2155" s="425" t="s">
        <v>185</v>
      </c>
      <c r="B2155" s="425" t="s">
        <v>319</v>
      </c>
    </row>
    <row r="2156" spans="1:2" ht="15" hidden="1" x14ac:dyDescent="0.25">
      <c r="A2156" s="425" t="s">
        <v>185</v>
      </c>
      <c r="B2156" s="425" t="s">
        <v>319</v>
      </c>
    </row>
    <row r="2157" spans="1:2" ht="15" hidden="1" x14ac:dyDescent="0.25">
      <c r="A2157" s="425" t="s">
        <v>185</v>
      </c>
      <c r="B2157" s="425" t="s">
        <v>319</v>
      </c>
    </row>
    <row r="2158" spans="1:2" ht="15" hidden="1" x14ac:dyDescent="0.25">
      <c r="A2158" s="425" t="s">
        <v>185</v>
      </c>
      <c r="B2158" s="425" t="s">
        <v>319</v>
      </c>
    </row>
    <row r="2159" spans="1:2" ht="15" hidden="1" x14ac:dyDescent="0.25">
      <c r="A2159" s="425" t="s">
        <v>185</v>
      </c>
      <c r="B2159" s="425" t="s">
        <v>319</v>
      </c>
    </row>
    <row r="2160" spans="1:2" ht="15" hidden="1" x14ac:dyDescent="0.25">
      <c r="A2160" s="425" t="s">
        <v>185</v>
      </c>
      <c r="B2160" s="425" t="s">
        <v>319</v>
      </c>
    </row>
    <row r="2161" spans="1:2" ht="15" hidden="1" x14ac:dyDescent="0.25">
      <c r="A2161" s="425" t="s">
        <v>185</v>
      </c>
      <c r="B2161" s="425" t="s">
        <v>319</v>
      </c>
    </row>
    <row r="2162" spans="1:2" ht="15" hidden="1" x14ac:dyDescent="0.25">
      <c r="A2162" s="425" t="s">
        <v>185</v>
      </c>
      <c r="B2162" s="425" t="s">
        <v>319</v>
      </c>
    </row>
    <row r="2163" spans="1:2" ht="15" hidden="1" x14ac:dyDescent="0.25">
      <c r="A2163" s="425" t="s">
        <v>185</v>
      </c>
      <c r="B2163" s="425" t="s">
        <v>319</v>
      </c>
    </row>
    <row r="2164" spans="1:2" ht="15" hidden="1" x14ac:dyDescent="0.25">
      <c r="A2164" s="425" t="s">
        <v>1265</v>
      </c>
      <c r="B2164" s="425" t="s">
        <v>1266</v>
      </c>
    </row>
    <row r="2165" spans="1:2" ht="15" hidden="1" x14ac:dyDescent="0.25">
      <c r="A2165" s="425" t="s">
        <v>1267</v>
      </c>
      <c r="B2165" s="425" t="s">
        <v>1268</v>
      </c>
    </row>
    <row r="2166" spans="1:2" ht="15" hidden="1" x14ac:dyDescent="0.25">
      <c r="A2166" s="425" t="s">
        <v>187</v>
      </c>
      <c r="B2166" s="425" t="s">
        <v>322</v>
      </c>
    </row>
    <row r="2167" spans="1:2" ht="15" hidden="1" x14ac:dyDescent="0.25">
      <c r="A2167" s="425" t="s">
        <v>187</v>
      </c>
      <c r="B2167" s="425" t="s">
        <v>322</v>
      </c>
    </row>
    <row r="2168" spans="1:2" ht="15" hidden="1" x14ac:dyDescent="0.25">
      <c r="A2168" s="425" t="s">
        <v>187</v>
      </c>
      <c r="B2168" s="425" t="s">
        <v>322</v>
      </c>
    </row>
    <row r="2169" spans="1:2" ht="15" hidden="1" x14ac:dyDescent="0.25">
      <c r="A2169" s="425" t="s">
        <v>187</v>
      </c>
      <c r="B2169" s="425" t="s">
        <v>322</v>
      </c>
    </row>
    <row r="2170" spans="1:2" ht="15" hidden="1" x14ac:dyDescent="0.25">
      <c r="A2170" s="425" t="s">
        <v>1459</v>
      </c>
      <c r="B2170" s="425" t="s">
        <v>1460</v>
      </c>
    </row>
    <row r="2171" spans="1:2" ht="15" hidden="1" x14ac:dyDescent="0.25">
      <c r="A2171" s="425" t="s">
        <v>1459</v>
      </c>
      <c r="B2171" s="425" t="s">
        <v>1460</v>
      </c>
    </row>
    <row r="2172" spans="1:2" ht="15" hidden="1" x14ac:dyDescent="0.25">
      <c r="A2172" s="425" t="s">
        <v>1459</v>
      </c>
      <c r="B2172" s="425" t="s">
        <v>1460</v>
      </c>
    </row>
    <row r="2173" spans="1:2" ht="15" hidden="1" x14ac:dyDescent="0.25">
      <c r="A2173" s="425" t="s">
        <v>188</v>
      </c>
      <c r="B2173" s="425" t="s">
        <v>323</v>
      </c>
    </row>
    <row r="2174" spans="1:2" ht="15" hidden="1" x14ac:dyDescent="0.25">
      <c r="A2174" s="425" t="s">
        <v>188</v>
      </c>
      <c r="B2174" s="425" t="s">
        <v>323</v>
      </c>
    </row>
    <row r="2175" spans="1:2" ht="15" hidden="1" x14ac:dyDescent="0.25">
      <c r="A2175" s="425" t="s">
        <v>188</v>
      </c>
      <c r="B2175" s="425" t="s">
        <v>323</v>
      </c>
    </row>
    <row r="2176" spans="1:2" ht="15" hidden="1" x14ac:dyDescent="0.25">
      <c r="A2176" s="425" t="s">
        <v>188</v>
      </c>
      <c r="B2176" s="425" t="s">
        <v>323</v>
      </c>
    </row>
    <row r="2177" spans="1:2" ht="15" hidden="1" x14ac:dyDescent="0.25">
      <c r="A2177" s="425" t="s">
        <v>188</v>
      </c>
      <c r="B2177" s="425" t="s">
        <v>323</v>
      </c>
    </row>
    <row r="2178" spans="1:2" ht="15" hidden="1" x14ac:dyDescent="0.25">
      <c r="A2178" s="425" t="s">
        <v>188</v>
      </c>
      <c r="B2178" s="425" t="s">
        <v>323</v>
      </c>
    </row>
    <row r="2179" spans="1:2" ht="15" hidden="1" x14ac:dyDescent="0.25">
      <c r="A2179" s="425" t="s">
        <v>188</v>
      </c>
      <c r="B2179" s="425" t="s">
        <v>323</v>
      </c>
    </row>
    <row r="2180" spans="1:2" ht="15" hidden="1" x14ac:dyDescent="0.25">
      <c r="A2180" s="425" t="s">
        <v>188</v>
      </c>
      <c r="B2180" s="425" t="s">
        <v>323</v>
      </c>
    </row>
    <row r="2181" spans="1:2" ht="15" hidden="1" x14ac:dyDescent="0.25">
      <c r="A2181" s="425" t="s">
        <v>1269</v>
      </c>
      <c r="B2181" s="425" t="s">
        <v>1270</v>
      </c>
    </row>
    <row r="2182" spans="1:2" ht="15" hidden="1" x14ac:dyDescent="0.25">
      <c r="A2182" s="425" t="s">
        <v>1269</v>
      </c>
      <c r="B2182" s="425" t="s">
        <v>1270</v>
      </c>
    </row>
    <row r="2183" spans="1:2" ht="15" hidden="1" x14ac:dyDescent="0.25">
      <c r="A2183" s="425" t="s">
        <v>1269</v>
      </c>
      <c r="B2183" s="425" t="s">
        <v>1270</v>
      </c>
    </row>
    <row r="2184" spans="1:2" ht="15" hidden="1" x14ac:dyDescent="0.25">
      <c r="A2184" s="425" t="s">
        <v>1269</v>
      </c>
      <c r="B2184" s="425" t="s">
        <v>1270</v>
      </c>
    </row>
    <row r="2185" spans="1:2" ht="15" hidden="1" x14ac:dyDescent="0.25">
      <c r="A2185" s="425" t="s">
        <v>1837</v>
      </c>
      <c r="B2185" s="425" t="s">
        <v>1837</v>
      </c>
    </row>
    <row r="2186" spans="1:2" ht="15" hidden="1" x14ac:dyDescent="0.25">
      <c r="A2186" s="425" t="s">
        <v>1838</v>
      </c>
      <c r="B2186" s="425" t="s">
        <v>1838</v>
      </c>
    </row>
    <row r="2187" spans="1:2" ht="15" hidden="1" x14ac:dyDescent="0.25">
      <c r="A2187" s="425" t="s">
        <v>1839</v>
      </c>
      <c r="B2187" s="425" t="s">
        <v>1839</v>
      </c>
    </row>
    <row r="2188" spans="1:2" ht="15" hidden="1" x14ac:dyDescent="0.25">
      <c r="A2188" s="425" t="s">
        <v>1840</v>
      </c>
      <c r="B2188" s="425" t="s">
        <v>1840</v>
      </c>
    </row>
    <row r="2189" spans="1:2" ht="15" hidden="1" x14ac:dyDescent="0.25">
      <c r="A2189" s="425" t="s">
        <v>1841</v>
      </c>
      <c r="B2189" s="425" t="s">
        <v>1841</v>
      </c>
    </row>
    <row r="2190" spans="1:2" ht="15" hidden="1" x14ac:dyDescent="0.25">
      <c r="A2190" s="425" t="s">
        <v>1842</v>
      </c>
      <c r="B2190" s="425" t="s">
        <v>1842</v>
      </c>
    </row>
    <row r="2191" spans="1:2" ht="15" hidden="1" x14ac:dyDescent="0.25">
      <c r="A2191" s="425" t="s">
        <v>1843</v>
      </c>
      <c r="B2191" s="425" t="s">
        <v>1843</v>
      </c>
    </row>
    <row r="2192" spans="1:2" ht="15" hidden="1" x14ac:dyDescent="0.25">
      <c r="A2192" s="425" t="s">
        <v>1843</v>
      </c>
      <c r="B2192" s="425" t="s">
        <v>1843</v>
      </c>
    </row>
    <row r="2193" spans="1:2" ht="15" hidden="1" x14ac:dyDescent="0.25">
      <c r="A2193" s="425" t="s">
        <v>1844</v>
      </c>
      <c r="B2193" s="425" t="s">
        <v>1844</v>
      </c>
    </row>
    <row r="2194" spans="1:2" ht="15" hidden="1" x14ac:dyDescent="0.25">
      <c r="A2194" s="425" t="s">
        <v>1845</v>
      </c>
      <c r="B2194" s="425" t="s">
        <v>1845</v>
      </c>
    </row>
    <row r="2195" spans="1:2" ht="15" hidden="1" x14ac:dyDescent="0.25">
      <c r="A2195" s="425" t="s">
        <v>1846</v>
      </c>
      <c r="B2195" s="425" t="s">
        <v>1846</v>
      </c>
    </row>
    <row r="2196" spans="1:2" ht="15" hidden="1" x14ac:dyDescent="0.25">
      <c r="A2196" s="425" t="s">
        <v>1846</v>
      </c>
      <c r="B2196" s="425" t="s">
        <v>1846</v>
      </c>
    </row>
    <row r="2197" spans="1:2" ht="15" hidden="1" x14ac:dyDescent="0.25">
      <c r="A2197" s="425" t="s">
        <v>1847</v>
      </c>
      <c r="B2197" s="425" t="s">
        <v>1847</v>
      </c>
    </row>
    <row r="2198" spans="1:2" ht="15" hidden="1" x14ac:dyDescent="0.25">
      <c r="A2198" s="425" t="s">
        <v>1848</v>
      </c>
      <c r="B2198" s="425" t="s">
        <v>1848</v>
      </c>
    </row>
    <row r="2199" spans="1:2" ht="15" hidden="1" x14ac:dyDescent="0.25">
      <c r="A2199" s="425" t="s">
        <v>1849</v>
      </c>
      <c r="B2199" s="425" t="s">
        <v>1849</v>
      </c>
    </row>
    <row r="2200" spans="1:2" ht="15" hidden="1" x14ac:dyDescent="0.25">
      <c r="A2200" s="425" t="s">
        <v>1850</v>
      </c>
      <c r="B2200" s="425" t="s">
        <v>1850</v>
      </c>
    </row>
    <row r="2201" spans="1:2" ht="15" hidden="1" x14ac:dyDescent="0.25">
      <c r="A2201" s="425" t="s">
        <v>1851</v>
      </c>
      <c r="B2201" s="425" t="s">
        <v>1851</v>
      </c>
    </row>
    <row r="2202" spans="1:2" ht="15" hidden="1" x14ac:dyDescent="0.25">
      <c r="A2202" s="425" t="s">
        <v>1852</v>
      </c>
      <c r="B2202" s="425" t="s">
        <v>1852</v>
      </c>
    </row>
    <row r="2203" spans="1:2" ht="15" hidden="1" x14ac:dyDescent="0.25">
      <c r="A2203" s="425" t="s">
        <v>1852</v>
      </c>
      <c r="B2203" s="425" t="s">
        <v>1852</v>
      </c>
    </row>
    <row r="2204" spans="1:2" ht="15" hidden="1" x14ac:dyDescent="0.25">
      <c r="A2204" s="425" t="s">
        <v>1853</v>
      </c>
      <c r="B2204" s="425" t="s">
        <v>1853</v>
      </c>
    </row>
    <row r="2205" spans="1:2" ht="15" hidden="1" x14ac:dyDescent="0.25">
      <c r="A2205" s="425" t="s">
        <v>1854</v>
      </c>
      <c r="B2205" s="425" t="s">
        <v>1854</v>
      </c>
    </row>
    <row r="2206" spans="1:2" ht="15" hidden="1" x14ac:dyDescent="0.25">
      <c r="A2206" s="425" t="s">
        <v>1855</v>
      </c>
      <c r="B2206" s="425" t="s">
        <v>1855</v>
      </c>
    </row>
    <row r="2207" spans="1:2" ht="15" hidden="1" x14ac:dyDescent="0.25">
      <c r="A2207" s="425" t="s">
        <v>1856</v>
      </c>
      <c r="B2207" s="425" t="s">
        <v>1856</v>
      </c>
    </row>
    <row r="2208" spans="1:2" ht="15" hidden="1" x14ac:dyDescent="0.25">
      <c r="A2208" s="425" t="s">
        <v>1857</v>
      </c>
      <c r="B2208" s="425" t="s">
        <v>1857</v>
      </c>
    </row>
    <row r="2209" spans="1:2" ht="15" hidden="1" x14ac:dyDescent="0.25">
      <c r="A2209" s="425" t="s">
        <v>1857</v>
      </c>
      <c r="B2209" s="425" t="s">
        <v>1857</v>
      </c>
    </row>
    <row r="2210" spans="1:2" ht="15" hidden="1" x14ac:dyDescent="0.25">
      <c r="A2210" s="425" t="s">
        <v>1858</v>
      </c>
      <c r="B2210" s="425" t="s">
        <v>1858</v>
      </c>
    </row>
    <row r="2211" spans="1:2" ht="15" hidden="1" x14ac:dyDescent="0.25">
      <c r="A2211" s="425" t="s">
        <v>1859</v>
      </c>
      <c r="B2211" s="425" t="s">
        <v>1859</v>
      </c>
    </row>
    <row r="2212" spans="1:2" ht="15" hidden="1" x14ac:dyDescent="0.25">
      <c r="A2212" s="425" t="s">
        <v>1860</v>
      </c>
      <c r="B2212" s="425" t="s">
        <v>1860</v>
      </c>
    </row>
    <row r="2213" spans="1:2" ht="15" hidden="1" x14ac:dyDescent="0.25">
      <c r="A2213" s="425" t="s">
        <v>1860</v>
      </c>
      <c r="B2213" s="425" t="s">
        <v>1860</v>
      </c>
    </row>
    <row r="2214" spans="1:2" ht="15" hidden="1" x14ac:dyDescent="0.25">
      <c r="A2214" s="425" t="s">
        <v>1861</v>
      </c>
      <c r="B2214" s="425" t="s">
        <v>1861</v>
      </c>
    </row>
    <row r="2215" spans="1:2" ht="15" hidden="1" x14ac:dyDescent="0.25">
      <c r="A2215" s="425" t="s">
        <v>1862</v>
      </c>
      <c r="B2215" s="425" t="s">
        <v>1862</v>
      </c>
    </row>
    <row r="2216" spans="1:2" ht="15" hidden="1" x14ac:dyDescent="0.25">
      <c r="A2216" s="425" t="s">
        <v>1863</v>
      </c>
      <c r="B2216" s="425" t="s">
        <v>1863</v>
      </c>
    </row>
    <row r="2217" spans="1:2" ht="15" hidden="1" x14ac:dyDescent="0.25">
      <c r="A2217" s="425" t="s">
        <v>1864</v>
      </c>
      <c r="B2217" s="425" t="s">
        <v>1864</v>
      </c>
    </row>
    <row r="2218" spans="1:2" ht="15" hidden="1" x14ac:dyDescent="0.25">
      <c r="A2218" s="425" t="s">
        <v>1865</v>
      </c>
      <c r="B2218" s="425" t="s">
        <v>1865</v>
      </c>
    </row>
    <row r="2219" spans="1:2" ht="15" hidden="1" x14ac:dyDescent="0.25">
      <c r="A2219" s="425" t="s">
        <v>1866</v>
      </c>
      <c r="B2219" s="425" t="s">
        <v>1866</v>
      </c>
    </row>
    <row r="2220" spans="1:2" ht="15" hidden="1" x14ac:dyDescent="0.25">
      <c r="A2220" s="425" t="s">
        <v>1867</v>
      </c>
      <c r="B2220" s="425" t="s">
        <v>1867</v>
      </c>
    </row>
    <row r="2221" spans="1:2" ht="15" hidden="1" x14ac:dyDescent="0.25">
      <c r="A2221" s="425" t="s">
        <v>1868</v>
      </c>
      <c r="B2221" s="425" t="s">
        <v>1868</v>
      </c>
    </row>
    <row r="2222" spans="1:2" ht="15" hidden="1" x14ac:dyDescent="0.25">
      <c r="A2222" s="425" t="s">
        <v>1869</v>
      </c>
      <c r="B2222" s="425" t="s">
        <v>1869</v>
      </c>
    </row>
    <row r="2223" spans="1:2" ht="15" hidden="1" x14ac:dyDescent="0.25">
      <c r="A2223" s="425" t="s">
        <v>1870</v>
      </c>
      <c r="B2223" s="425" t="s">
        <v>1870</v>
      </c>
    </row>
    <row r="2224" spans="1:2" ht="15" hidden="1" x14ac:dyDescent="0.25">
      <c r="A2224" s="425" t="s">
        <v>1871</v>
      </c>
      <c r="B2224" s="425" t="s">
        <v>1871</v>
      </c>
    </row>
    <row r="2225" spans="1:2" ht="15" hidden="1" x14ac:dyDescent="0.25">
      <c r="A2225" s="425" t="s">
        <v>1872</v>
      </c>
      <c r="B2225" s="425" t="s">
        <v>1872</v>
      </c>
    </row>
    <row r="2226" spans="1:2" ht="15" hidden="1" x14ac:dyDescent="0.25">
      <c r="A2226" s="425" t="s">
        <v>1873</v>
      </c>
      <c r="B2226" s="425" t="s">
        <v>1873</v>
      </c>
    </row>
    <row r="2227" spans="1:2" ht="15" hidden="1" x14ac:dyDescent="0.25">
      <c r="A2227" s="425" t="s">
        <v>1874</v>
      </c>
      <c r="B2227" s="425" t="s">
        <v>1874</v>
      </c>
    </row>
    <row r="2228" spans="1:2" ht="15" hidden="1" x14ac:dyDescent="0.25">
      <c r="A2228" s="425" t="s">
        <v>1875</v>
      </c>
      <c r="B2228" s="425" t="s">
        <v>1875</v>
      </c>
    </row>
    <row r="2229" spans="1:2" ht="15" hidden="1" x14ac:dyDescent="0.25">
      <c r="A2229" s="425" t="s">
        <v>1875</v>
      </c>
      <c r="B2229" s="425" t="s">
        <v>1875</v>
      </c>
    </row>
    <row r="2230" spans="1:2" ht="15" hidden="1" x14ac:dyDescent="0.25">
      <c r="A2230" s="425" t="s">
        <v>1876</v>
      </c>
      <c r="B2230" s="425" t="s">
        <v>1876</v>
      </c>
    </row>
    <row r="2231" spans="1:2" ht="15" hidden="1" x14ac:dyDescent="0.25">
      <c r="A2231" s="425" t="s">
        <v>1877</v>
      </c>
      <c r="B2231" s="425" t="s">
        <v>1877</v>
      </c>
    </row>
    <row r="2232" spans="1:2" ht="15" hidden="1" x14ac:dyDescent="0.25">
      <c r="A2232" s="425" t="s">
        <v>1878</v>
      </c>
      <c r="B2232" s="425" t="s">
        <v>1878</v>
      </c>
    </row>
    <row r="2233" spans="1:2" ht="15" hidden="1" x14ac:dyDescent="0.25">
      <c r="A2233" s="425" t="s">
        <v>1879</v>
      </c>
      <c r="B2233" s="425" t="s">
        <v>1879</v>
      </c>
    </row>
    <row r="2234" spans="1:2" ht="15" hidden="1" x14ac:dyDescent="0.25">
      <c r="A2234" s="425" t="s">
        <v>1879</v>
      </c>
      <c r="B2234" s="425" t="s">
        <v>1879</v>
      </c>
    </row>
    <row r="2235" spans="1:2" ht="15" hidden="1" x14ac:dyDescent="0.25">
      <c r="A2235" s="425" t="s">
        <v>1880</v>
      </c>
      <c r="B2235" s="425" t="s">
        <v>1880</v>
      </c>
    </row>
    <row r="2236" spans="1:2" ht="15" hidden="1" x14ac:dyDescent="0.25">
      <c r="A2236" s="425" t="s">
        <v>1881</v>
      </c>
      <c r="B2236" s="425" t="s">
        <v>1881</v>
      </c>
    </row>
    <row r="2237" spans="1:2" ht="15" hidden="1" x14ac:dyDescent="0.25">
      <c r="A2237" s="425" t="s">
        <v>1882</v>
      </c>
      <c r="B2237" s="425" t="s">
        <v>1882</v>
      </c>
    </row>
    <row r="2238" spans="1:2" ht="15" hidden="1" x14ac:dyDescent="0.25">
      <c r="A2238" s="425" t="s">
        <v>1883</v>
      </c>
      <c r="B2238" s="425" t="s">
        <v>1883</v>
      </c>
    </row>
    <row r="2239" spans="1:2" ht="15" hidden="1" x14ac:dyDescent="0.25">
      <c r="A2239" s="425" t="s">
        <v>1884</v>
      </c>
      <c r="B2239" s="425" t="s">
        <v>1884</v>
      </c>
    </row>
    <row r="2240" spans="1:2" ht="15" hidden="1" x14ac:dyDescent="0.25">
      <c r="A2240" s="425" t="s">
        <v>1885</v>
      </c>
      <c r="B2240" s="425" t="s">
        <v>1885</v>
      </c>
    </row>
    <row r="2241" spans="1:2" ht="15" hidden="1" x14ac:dyDescent="0.25">
      <c r="A2241" s="425" t="s">
        <v>1886</v>
      </c>
      <c r="B2241" s="425" t="s">
        <v>1886</v>
      </c>
    </row>
    <row r="2242" spans="1:2" ht="15" hidden="1" x14ac:dyDescent="0.25">
      <c r="A2242" s="425" t="s">
        <v>1886</v>
      </c>
      <c r="B2242" s="425" t="s">
        <v>1886</v>
      </c>
    </row>
    <row r="2243" spans="1:2" ht="15" hidden="1" x14ac:dyDescent="0.25">
      <c r="A2243" s="425" t="s">
        <v>1887</v>
      </c>
      <c r="B2243" s="425" t="s">
        <v>1887</v>
      </c>
    </row>
    <row r="2244" spans="1:2" ht="15" hidden="1" x14ac:dyDescent="0.25">
      <c r="A2244" s="425" t="s">
        <v>1888</v>
      </c>
      <c r="B2244" s="425" t="s">
        <v>1888</v>
      </c>
    </row>
    <row r="2245" spans="1:2" ht="15" hidden="1" x14ac:dyDescent="0.25">
      <c r="A2245" s="425" t="s">
        <v>1889</v>
      </c>
      <c r="B2245" s="425" t="s">
        <v>1889</v>
      </c>
    </row>
    <row r="2246" spans="1:2" ht="15" hidden="1" x14ac:dyDescent="0.25">
      <c r="A2246" s="425" t="s">
        <v>1890</v>
      </c>
      <c r="B2246" s="425" t="s">
        <v>1890</v>
      </c>
    </row>
    <row r="2247" spans="1:2" ht="15" hidden="1" x14ac:dyDescent="0.25">
      <c r="A2247" s="425" t="s">
        <v>1891</v>
      </c>
      <c r="B2247" s="425" t="s">
        <v>1891</v>
      </c>
    </row>
    <row r="2248" spans="1:2" ht="15" hidden="1" x14ac:dyDescent="0.25">
      <c r="A2248" s="425" t="s">
        <v>1891</v>
      </c>
      <c r="B2248" s="425" t="s">
        <v>1891</v>
      </c>
    </row>
    <row r="2249" spans="1:2" ht="15" hidden="1" x14ac:dyDescent="0.25">
      <c r="A2249" s="425" t="s">
        <v>1892</v>
      </c>
      <c r="B2249" s="425" t="s">
        <v>1892</v>
      </c>
    </row>
    <row r="2250" spans="1:2" ht="15" hidden="1" x14ac:dyDescent="0.25">
      <c r="A2250" s="425" t="s">
        <v>1893</v>
      </c>
      <c r="B2250" s="425" t="s">
        <v>1893</v>
      </c>
    </row>
    <row r="2251" spans="1:2" ht="15" hidden="1" x14ac:dyDescent="0.25">
      <c r="A2251" s="425" t="s">
        <v>1894</v>
      </c>
      <c r="B2251" s="425" t="s">
        <v>1894</v>
      </c>
    </row>
    <row r="2252" spans="1:2" ht="15" hidden="1" x14ac:dyDescent="0.25">
      <c r="A2252" s="425" t="s">
        <v>1895</v>
      </c>
      <c r="B2252" s="425" t="s">
        <v>1895</v>
      </c>
    </row>
    <row r="2253" spans="1:2" ht="15" hidden="1" x14ac:dyDescent="0.25">
      <c r="A2253" s="425" t="s">
        <v>1896</v>
      </c>
      <c r="B2253" s="425" t="s">
        <v>1896</v>
      </c>
    </row>
    <row r="2254" spans="1:2" ht="15" hidden="1" x14ac:dyDescent="0.25">
      <c r="A2254" s="425" t="s">
        <v>1897</v>
      </c>
      <c r="B2254" s="425" t="s">
        <v>1897</v>
      </c>
    </row>
    <row r="2255" spans="1:2" ht="15" hidden="1" x14ac:dyDescent="0.25">
      <c r="A2255" s="425" t="s">
        <v>1898</v>
      </c>
      <c r="B2255" s="425" t="s">
        <v>1898</v>
      </c>
    </row>
    <row r="2256" spans="1:2" ht="15" hidden="1" x14ac:dyDescent="0.25">
      <c r="A2256" s="425" t="s">
        <v>1899</v>
      </c>
      <c r="B2256" s="425" t="s">
        <v>1899</v>
      </c>
    </row>
    <row r="2257" spans="1:2" ht="15" hidden="1" x14ac:dyDescent="0.25">
      <c r="A2257" s="425" t="s">
        <v>1900</v>
      </c>
      <c r="B2257" s="425" t="s">
        <v>1900</v>
      </c>
    </row>
    <row r="2258" spans="1:2" ht="15" hidden="1" x14ac:dyDescent="0.25">
      <c r="A2258" s="425" t="s">
        <v>1901</v>
      </c>
      <c r="B2258" s="425" t="s">
        <v>1901</v>
      </c>
    </row>
    <row r="2259" spans="1:2" ht="15" hidden="1" x14ac:dyDescent="0.25">
      <c r="A2259" s="425" t="s">
        <v>1902</v>
      </c>
      <c r="B2259" s="425" t="s">
        <v>1902</v>
      </c>
    </row>
    <row r="2260" spans="1:2" ht="15" hidden="1" x14ac:dyDescent="0.25">
      <c r="A2260" s="425" t="s">
        <v>1903</v>
      </c>
      <c r="B2260" s="425" t="s">
        <v>1903</v>
      </c>
    </row>
    <row r="2261" spans="1:2" ht="15" hidden="1" x14ac:dyDescent="0.25">
      <c r="A2261" s="425" t="s">
        <v>1904</v>
      </c>
      <c r="B2261" s="425" t="s">
        <v>1904</v>
      </c>
    </row>
    <row r="2262" spans="1:2" ht="15" hidden="1" x14ac:dyDescent="0.25">
      <c r="A2262" s="425" t="s">
        <v>1904</v>
      </c>
      <c r="B2262" s="425" t="s">
        <v>1904</v>
      </c>
    </row>
    <row r="2263" spans="1:2" ht="15" hidden="1" x14ac:dyDescent="0.25">
      <c r="A2263" s="425" t="s">
        <v>1905</v>
      </c>
      <c r="B2263" s="425" t="s">
        <v>1905</v>
      </c>
    </row>
    <row r="2264" spans="1:2" ht="15" hidden="1" x14ac:dyDescent="0.25">
      <c r="A2264" s="425" t="s">
        <v>1906</v>
      </c>
      <c r="B2264" s="425" t="s">
        <v>1906</v>
      </c>
    </row>
    <row r="2265" spans="1:2" ht="15" hidden="1" x14ac:dyDescent="0.25">
      <c r="A2265" s="425" t="s">
        <v>1907</v>
      </c>
      <c r="B2265" s="425" t="s">
        <v>1907</v>
      </c>
    </row>
    <row r="2266" spans="1:2" ht="15" hidden="1" x14ac:dyDescent="0.25">
      <c r="A2266" s="425" t="s">
        <v>1907</v>
      </c>
      <c r="B2266" s="425" t="s">
        <v>1907</v>
      </c>
    </row>
    <row r="2267" spans="1:2" ht="15" hidden="1" x14ac:dyDescent="0.25">
      <c r="A2267" s="425" t="s">
        <v>1908</v>
      </c>
      <c r="B2267" s="425" t="s">
        <v>1908</v>
      </c>
    </row>
    <row r="2268" spans="1:2" ht="15" hidden="1" x14ac:dyDescent="0.25">
      <c r="A2268" s="425" t="s">
        <v>1909</v>
      </c>
      <c r="B2268" s="425" t="s">
        <v>1909</v>
      </c>
    </row>
    <row r="2269" spans="1:2" ht="15" hidden="1" x14ac:dyDescent="0.25">
      <c r="A2269" s="425" t="s">
        <v>1910</v>
      </c>
      <c r="B2269" s="425" t="s">
        <v>1910</v>
      </c>
    </row>
    <row r="2270" spans="1:2" ht="15" hidden="1" x14ac:dyDescent="0.25">
      <c r="A2270" s="425" t="s">
        <v>1911</v>
      </c>
      <c r="B2270" s="425" t="s">
        <v>1911</v>
      </c>
    </row>
    <row r="2271" spans="1:2" ht="15" hidden="1" x14ac:dyDescent="0.25">
      <c r="A2271" s="425" t="s">
        <v>1912</v>
      </c>
      <c r="B2271" s="425" t="s">
        <v>1912</v>
      </c>
    </row>
    <row r="2272" spans="1:2" ht="15" hidden="1" x14ac:dyDescent="0.25">
      <c r="A2272" s="425" t="s">
        <v>1913</v>
      </c>
      <c r="B2272" s="425" t="s">
        <v>1913</v>
      </c>
    </row>
    <row r="2273" spans="1:2" ht="15" hidden="1" x14ac:dyDescent="0.25">
      <c r="A2273" s="425" t="s">
        <v>1914</v>
      </c>
      <c r="B2273" s="425" t="s">
        <v>1914</v>
      </c>
    </row>
    <row r="2274" spans="1:2" ht="15" hidden="1" x14ac:dyDescent="0.25">
      <c r="A2274" s="425" t="s">
        <v>1915</v>
      </c>
      <c r="B2274" s="425" t="s">
        <v>1915</v>
      </c>
    </row>
    <row r="2275" spans="1:2" ht="15" hidden="1" x14ac:dyDescent="0.25">
      <c r="A2275" s="425" t="s">
        <v>1916</v>
      </c>
      <c r="B2275" s="425" t="s">
        <v>1916</v>
      </c>
    </row>
    <row r="2276" spans="1:2" ht="15" hidden="1" x14ac:dyDescent="0.25">
      <c r="A2276" s="425" t="s">
        <v>1917</v>
      </c>
      <c r="B2276" s="425" t="s">
        <v>1917</v>
      </c>
    </row>
    <row r="2277" spans="1:2" ht="15" hidden="1" x14ac:dyDescent="0.25">
      <c r="A2277" s="425" t="s">
        <v>1917</v>
      </c>
      <c r="B2277" s="425" t="s">
        <v>1917</v>
      </c>
    </row>
    <row r="2278" spans="1:2" ht="15" hidden="1" x14ac:dyDescent="0.25">
      <c r="A2278" s="425" t="s">
        <v>1918</v>
      </c>
      <c r="B2278" s="425" t="s">
        <v>1918</v>
      </c>
    </row>
    <row r="2279" spans="1:2" ht="15" hidden="1" x14ac:dyDescent="0.25">
      <c r="A2279" s="425" t="s">
        <v>1919</v>
      </c>
      <c r="B2279" s="425" t="s">
        <v>1919</v>
      </c>
    </row>
    <row r="2280" spans="1:2" ht="15" hidden="1" x14ac:dyDescent="0.25">
      <c r="A2280" s="425" t="s">
        <v>1920</v>
      </c>
      <c r="B2280" s="425" t="s">
        <v>1920</v>
      </c>
    </row>
    <row r="2281" spans="1:2" ht="15" hidden="1" x14ac:dyDescent="0.25">
      <c r="A2281" s="425" t="s">
        <v>1921</v>
      </c>
      <c r="B2281" s="425" t="s">
        <v>1921</v>
      </c>
    </row>
    <row r="2282" spans="1:2" ht="15" hidden="1" x14ac:dyDescent="0.25">
      <c r="A2282" s="425" t="s">
        <v>1922</v>
      </c>
      <c r="B2282" s="425" t="s">
        <v>1922</v>
      </c>
    </row>
    <row r="2283" spans="1:2" ht="15" hidden="1" x14ac:dyDescent="0.25">
      <c r="A2283" s="425" t="s">
        <v>1923</v>
      </c>
      <c r="B2283" s="425" t="s">
        <v>1923</v>
      </c>
    </row>
    <row r="2284" spans="1:2" ht="15" hidden="1" x14ac:dyDescent="0.25">
      <c r="A2284" s="425" t="s">
        <v>1924</v>
      </c>
      <c r="B2284" s="425" t="s">
        <v>1924</v>
      </c>
    </row>
    <row r="2285" spans="1:2" ht="15" hidden="1" x14ac:dyDescent="0.25">
      <c r="A2285" s="425" t="s">
        <v>1925</v>
      </c>
      <c r="B2285" s="425" t="s">
        <v>1925</v>
      </c>
    </row>
    <row r="2286" spans="1:2" ht="15" hidden="1" x14ac:dyDescent="0.25">
      <c r="A2286" s="425" t="s">
        <v>1926</v>
      </c>
      <c r="B2286" s="425" t="s">
        <v>1926</v>
      </c>
    </row>
    <row r="2287" spans="1:2" ht="15" hidden="1" x14ac:dyDescent="0.25">
      <c r="A2287" s="425" t="s">
        <v>1927</v>
      </c>
      <c r="B2287" s="425" t="s">
        <v>1927</v>
      </c>
    </row>
    <row r="2288" spans="1:2" ht="15" hidden="1" x14ac:dyDescent="0.25">
      <c r="A2288" s="425" t="s">
        <v>1928</v>
      </c>
      <c r="B2288" s="425" t="s">
        <v>1928</v>
      </c>
    </row>
    <row r="2289" spans="1:2" ht="15" hidden="1" x14ac:dyDescent="0.25">
      <c r="A2289" s="425" t="s">
        <v>1929</v>
      </c>
      <c r="B2289" s="425" t="s">
        <v>1929</v>
      </c>
    </row>
    <row r="2290" spans="1:2" ht="15" hidden="1" x14ac:dyDescent="0.25">
      <c r="A2290" s="425" t="s">
        <v>1930</v>
      </c>
      <c r="B2290" s="425" t="s">
        <v>1930</v>
      </c>
    </row>
    <row r="2291" spans="1:2" ht="15" hidden="1" x14ac:dyDescent="0.25">
      <c r="A2291" s="425" t="s">
        <v>1931</v>
      </c>
      <c r="B2291" s="425" t="s">
        <v>1931</v>
      </c>
    </row>
    <row r="2292" spans="1:2" ht="15" hidden="1" x14ac:dyDescent="0.25">
      <c r="A2292" s="425" t="s">
        <v>1931</v>
      </c>
      <c r="B2292" s="425" t="s">
        <v>1931</v>
      </c>
    </row>
    <row r="2293" spans="1:2" ht="15" hidden="1" x14ac:dyDescent="0.25">
      <c r="A2293" s="425" t="s">
        <v>1932</v>
      </c>
      <c r="B2293" s="425" t="s">
        <v>1932</v>
      </c>
    </row>
    <row r="2294" spans="1:2" ht="15" hidden="1" x14ac:dyDescent="0.25">
      <c r="A2294" s="425" t="s">
        <v>1933</v>
      </c>
      <c r="B2294" s="425" t="s">
        <v>1933</v>
      </c>
    </row>
    <row r="2295" spans="1:2" ht="15" hidden="1" x14ac:dyDescent="0.25">
      <c r="A2295" s="425" t="s">
        <v>1934</v>
      </c>
      <c r="B2295" s="425" t="s">
        <v>1934</v>
      </c>
    </row>
    <row r="2296" spans="1:2" ht="15" hidden="1" x14ac:dyDescent="0.25">
      <c r="A2296" s="425" t="s">
        <v>1935</v>
      </c>
      <c r="B2296" s="425" t="s">
        <v>1935</v>
      </c>
    </row>
    <row r="2297" spans="1:2" ht="15" hidden="1" x14ac:dyDescent="0.25">
      <c r="A2297" s="425" t="s">
        <v>1936</v>
      </c>
      <c r="B2297" s="425" t="s">
        <v>1936</v>
      </c>
    </row>
    <row r="2298" spans="1:2" ht="15" hidden="1" x14ac:dyDescent="0.25">
      <c r="A2298" s="425" t="s">
        <v>1937</v>
      </c>
      <c r="B2298" s="425" t="s">
        <v>1937</v>
      </c>
    </row>
    <row r="2299" spans="1:2" ht="15" hidden="1" x14ac:dyDescent="0.25">
      <c r="A2299" s="425" t="s">
        <v>1938</v>
      </c>
      <c r="B2299" s="425" t="s">
        <v>1938</v>
      </c>
    </row>
    <row r="2300" spans="1:2" ht="15" hidden="1" x14ac:dyDescent="0.25">
      <c r="A2300" s="425" t="s">
        <v>1938</v>
      </c>
      <c r="B2300" s="425" t="s">
        <v>1938</v>
      </c>
    </row>
    <row r="2301" spans="1:2" ht="15" hidden="1" x14ac:dyDescent="0.25">
      <c r="A2301" s="425" t="s">
        <v>1939</v>
      </c>
      <c r="B2301" s="425" t="s">
        <v>1939</v>
      </c>
    </row>
    <row r="2302" spans="1:2" ht="15" hidden="1" x14ac:dyDescent="0.25">
      <c r="A2302" s="425" t="s">
        <v>1940</v>
      </c>
      <c r="B2302" s="425" t="s">
        <v>1941</v>
      </c>
    </row>
    <row r="2303" spans="1:2" ht="15" hidden="1" x14ac:dyDescent="0.25">
      <c r="A2303" s="425" t="s">
        <v>1942</v>
      </c>
      <c r="B2303" s="425" t="s">
        <v>1943</v>
      </c>
    </row>
    <row r="2304" spans="1:2" ht="15" hidden="1" x14ac:dyDescent="0.25">
      <c r="A2304" s="425" t="s">
        <v>1942</v>
      </c>
      <c r="B2304" s="425" t="s">
        <v>1943</v>
      </c>
    </row>
    <row r="2305" spans="1:2" ht="15" hidden="1" x14ac:dyDescent="0.25">
      <c r="A2305" s="425" t="s">
        <v>1766</v>
      </c>
      <c r="B2305" s="425" t="s">
        <v>1767</v>
      </c>
    </row>
    <row r="2306" spans="1:2" ht="15" hidden="1" x14ac:dyDescent="0.25">
      <c r="A2306" s="425" t="s">
        <v>1944</v>
      </c>
      <c r="B2306" s="425" t="s">
        <v>1945</v>
      </c>
    </row>
    <row r="2307" spans="1:2" ht="15" hidden="1" x14ac:dyDescent="0.25">
      <c r="A2307" s="425" t="s">
        <v>1944</v>
      </c>
      <c r="B2307" s="425" t="s">
        <v>1945</v>
      </c>
    </row>
    <row r="2308" spans="1:2" ht="15" hidden="1" x14ac:dyDescent="0.25">
      <c r="A2308" s="425" t="s">
        <v>1367</v>
      </c>
      <c r="B2308" s="425" t="s">
        <v>1368</v>
      </c>
    </row>
    <row r="2309" spans="1:2" ht="15" hidden="1" x14ac:dyDescent="0.25">
      <c r="A2309" s="425" t="s">
        <v>1946</v>
      </c>
      <c r="B2309" s="425" t="s">
        <v>1947</v>
      </c>
    </row>
    <row r="2310" spans="1:2" ht="15" hidden="1" x14ac:dyDescent="0.25">
      <c r="A2310" s="425" t="s">
        <v>1948</v>
      </c>
      <c r="B2310" s="425" t="s">
        <v>1949</v>
      </c>
    </row>
    <row r="2311" spans="1:2" ht="15" hidden="1" x14ac:dyDescent="0.25">
      <c r="A2311" s="426" t="s">
        <v>1948</v>
      </c>
      <c r="B2311" s="425" t="s">
        <v>1949</v>
      </c>
    </row>
    <row r="2312" spans="1:2" ht="15" hidden="1" x14ac:dyDescent="0.25">
      <c r="A2312" s="425" t="s">
        <v>1950</v>
      </c>
      <c r="B2312" s="425" t="s">
        <v>1951</v>
      </c>
    </row>
    <row r="2313" spans="1:2" ht="15" hidden="1" x14ac:dyDescent="0.25">
      <c r="A2313" s="425" t="s">
        <v>1952</v>
      </c>
      <c r="B2313" s="425" t="s">
        <v>1953</v>
      </c>
    </row>
    <row r="2314" spans="1:2" ht="15" hidden="1" x14ac:dyDescent="0.25">
      <c r="A2314" s="425" t="s">
        <v>1954</v>
      </c>
      <c r="B2314" s="425" t="s">
        <v>1955</v>
      </c>
    </row>
    <row r="2315" spans="1:2" ht="15" hidden="1" x14ac:dyDescent="0.25">
      <c r="A2315" s="425" t="s">
        <v>1956</v>
      </c>
      <c r="B2315" s="425" t="s">
        <v>1957</v>
      </c>
    </row>
    <row r="2316" spans="1:2" ht="15" hidden="1" x14ac:dyDescent="0.25">
      <c r="A2316" s="425" t="s">
        <v>1958</v>
      </c>
      <c r="B2316" s="425" t="s">
        <v>1959</v>
      </c>
    </row>
    <row r="2317" spans="1:2" ht="15" hidden="1" x14ac:dyDescent="0.25">
      <c r="A2317" s="425" t="s">
        <v>1960</v>
      </c>
      <c r="B2317" s="425" t="s">
        <v>1961</v>
      </c>
    </row>
    <row r="2318" spans="1:2" ht="15" hidden="1" x14ac:dyDescent="0.25">
      <c r="A2318" s="425" t="s">
        <v>1962</v>
      </c>
      <c r="B2318" s="425" t="s">
        <v>394</v>
      </c>
    </row>
    <row r="2319" spans="1:2" ht="15" hidden="1" x14ac:dyDescent="0.25">
      <c r="A2319" s="425" t="s">
        <v>1962</v>
      </c>
      <c r="B2319" s="425" t="s">
        <v>394</v>
      </c>
    </row>
    <row r="2320" spans="1:2" ht="15" hidden="1" x14ac:dyDescent="0.25">
      <c r="A2320" s="425" t="s">
        <v>1963</v>
      </c>
      <c r="B2320" s="425" t="s">
        <v>1964</v>
      </c>
    </row>
    <row r="2321" spans="1:2" ht="15" hidden="1" x14ac:dyDescent="0.25">
      <c r="A2321" s="425" t="s">
        <v>1963</v>
      </c>
      <c r="B2321" s="425" t="s">
        <v>1964</v>
      </c>
    </row>
    <row r="2322" spans="1:2" ht="15" hidden="1" x14ac:dyDescent="0.25">
      <c r="A2322" s="425" t="s">
        <v>1965</v>
      </c>
      <c r="B2322" s="425" t="s">
        <v>1966</v>
      </c>
    </row>
    <row r="2323" spans="1:2" ht="15" hidden="1" x14ac:dyDescent="0.25">
      <c r="A2323" s="425" t="s">
        <v>1967</v>
      </c>
      <c r="B2323" s="425" t="s">
        <v>1968</v>
      </c>
    </row>
    <row r="2324" spans="1:2" ht="15" hidden="1" x14ac:dyDescent="0.25">
      <c r="A2324" s="425" t="s">
        <v>1969</v>
      </c>
      <c r="B2324" s="425" t="s">
        <v>1970</v>
      </c>
    </row>
    <row r="2325" spans="1:2" ht="15" hidden="1" x14ac:dyDescent="0.25">
      <c r="A2325" s="425" t="s">
        <v>1971</v>
      </c>
      <c r="B2325" s="425" t="s">
        <v>1972</v>
      </c>
    </row>
    <row r="2326" spans="1:2" ht="15" hidden="1" x14ac:dyDescent="0.25">
      <c r="A2326" s="425" t="s">
        <v>1973</v>
      </c>
      <c r="B2326" s="425" t="s">
        <v>1974</v>
      </c>
    </row>
    <row r="2327" spans="1:2" ht="15" hidden="1" x14ac:dyDescent="0.25">
      <c r="A2327" s="425" t="s">
        <v>1391</v>
      </c>
      <c r="B2327" s="425" t="s">
        <v>1392</v>
      </c>
    </row>
    <row r="2328" spans="1:2" ht="15" hidden="1" x14ac:dyDescent="0.25">
      <c r="A2328" s="425" t="s">
        <v>1391</v>
      </c>
      <c r="B2328" s="425" t="s">
        <v>1392</v>
      </c>
    </row>
    <row r="2329" spans="1:2" ht="15" hidden="1" x14ac:dyDescent="0.25">
      <c r="A2329" s="425" t="s">
        <v>1975</v>
      </c>
      <c r="B2329" s="425" t="s">
        <v>1976</v>
      </c>
    </row>
    <row r="2330" spans="1:2" ht="15" hidden="1" x14ac:dyDescent="0.25">
      <c r="A2330" s="425" t="s">
        <v>1977</v>
      </c>
      <c r="B2330" s="425" t="s">
        <v>1978</v>
      </c>
    </row>
    <row r="2331" spans="1:2" ht="15" hidden="1" x14ac:dyDescent="0.25">
      <c r="A2331" s="425" t="s">
        <v>1977</v>
      </c>
      <c r="B2331" s="425" t="s">
        <v>1978</v>
      </c>
    </row>
    <row r="2332" spans="1:2" ht="15" hidden="1" x14ac:dyDescent="0.25">
      <c r="A2332" s="425" t="s">
        <v>1979</v>
      </c>
      <c r="B2332" s="425" t="s">
        <v>1980</v>
      </c>
    </row>
    <row r="2333" spans="1:2" ht="15" hidden="1" x14ac:dyDescent="0.25">
      <c r="A2333" s="425" t="s">
        <v>1981</v>
      </c>
      <c r="B2333" s="425" t="s">
        <v>1982</v>
      </c>
    </row>
    <row r="2334" spans="1:2" ht="15" hidden="1" x14ac:dyDescent="0.25">
      <c r="A2334" s="425" t="s">
        <v>1981</v>
      </c>
      <c r="B2334" s="425" t="s">
        <v>1982</v>
      </c>
    </row>
    <row r="2335" spans="1:2" ht="15" hidden="1" x14ac:dyDescent="0.25">
      <c r="A2335" s="425" t="s">
        <v>1981</v>
      </c>
      <c r="B2335" s="425" t="s">
        <v>1982</v>
      </c>
    </row>
    <row r="2336" spans="1:2" ht="15" hidden="1" x14ac:dyDescent="0.25">
      <c r="A2336" s="425" t="s">
        <v>1981</v>
      </c>
      <c r="B2336" s="425" t="s">
        <v>1982</v>
      </c>
    </row>
    <row r="2337" spans="1:2" ht="15" hidden="1" x14ac:dyDescent="0.25">
      <c r="A2337" s="425" t="s">
        <v>1983</v>
      </c>
      <c r="B2337" s="425" t="s">
        <v>1984</v>
      </c>
    </row>
    <row r="2338" spans="1:2" ht="15" hidden="1" x14ac:dyDescent="0.25">
      <c r="A2338" s="425" t="s">
        <v>1985</v>
      </c>
      <c r="B2338" s="425" t="s">
        <v>1986</v>
      </c>
    </row>
    <row r="2339" spans="1:2" ht="15" hidden="1" x14ac:dyDescent="0.25">
      <c r="A2339" s="425" t="s">
        <v>1985</v>
      </c>
      <c r="B2339" s="425" t="s">
        <v>1986</v>
      </c>
    </row>
    <row r="2340" spans="1:2" ht="15" hidden="1" x14ac:dyDescent="0.25">
      <c r="A2340" s="425" t="s">
        <v>1985</v>
      </c>
      <c r="B2340" s="425" t="s">
        <v>1986</v>
      </c>
    </row>
    <row r="2341" spans="1:2" ht="15" hidden="1" x14ac:dyDescent="0.25">
      <c r="A2341" s="425" t="s">
        <v>1987</v>
      </c>
      <c r="B2341" s="425" t="s">
        <v>1988</v>
      </c>
    </row>
    <row r="2342" spans="1:2" ht="15" hidden="1" x14ac:dyDescent="0.25">
      <c r="A2342" s="425" t="s">
        <v>1987</v>
      </c>
      <c r="B2342" s="425" t="s">
        <v>1988</v>
      </c>
    </row>
    <row r="2343" spans="1:2" ht="15" hidden="1" x14ac:dyDescent="0.25">
      <c r="A2343" s="425" t="s">
        <v>1989</v>
      </c>
      <c r="B2343" s="425" t="s">
        <v>1990</v>
      </c>
    </row>
    <row r="2344" spans="1:2" ht="15" hidden="1" x14ac:dyDescent="0.25">
      <c r="A2344" s="425" t="s">
        <v>1989</v>
      </c>
      <c r="B2344" s="425" t="s">
        <v>1990</v>
      </c>
    </row>
    <row r="2345" spans="1:2" ht="15" hidden="1" x14ac:dyDescent="0.25">
      <c r="A2345" s="425" t="s">
        <v>1991</v>
      </c>
      <c r="B2345" s="425" t="s">
        <v>1992</v>
      </c>
    </row>
    <row r="2346" spans="1:2" ht="15" hidden="1" x14ac:dyDescent="0.25">
      <c r="A2346" s="425" t="s">
        <v>1991</v>
      </c>
      <c r="B2346" s="425" t="s">
        <v>1992</v>
      </c>
    </row>
    <row r="2347" spans="1:2" ht="15" hidden="1" x14ac:dyDescent="0.25">
      <c r="A2347" s="425" t="s">
        <v>1993</v>
      </c>
      <c r="B2347" s="425" t="s">
        <v>1994</v>
      </c>
    </row>
    <row r="2348" spans="1:2" ht="15" hidden="1" x14ac:dyDescent="0.25">
      <c r="A2348" s="425" t="s">
        <v>1409</v>
      </c>
      <c r="B2348" s="425" t="s">
        <v>1410</v>
      </c>
    </row>
    <row r="2349" spans="1:2" ht="15" hidden="1" x14ac:dyDescent="0.25">
      <c r="A2349" s="425" t="s">
        <v>1409</v>
      </c>
      <c r="B2349" s="425" t="s">
        <v>1410</v>
      </c>
    </row>
    <row r="2350" spans="1:2" ht="15" hidden="1" x14ac:dyDescent="0.25">
      <c r="A2350" s="425" t="s">
        <v>1995</v>
      </c>
      <c r="B2350" s="425" t="s">
        <v>1996</v>
      </c>
    </row>
    <row r="2351" spans="1:2" ht="15" hidden="1" x14ac:dyDescent="0.25">
      <c r="A2351" s="425" t="s">
        <v>1995</v>
      </c>
      <c r="B2351" s="425" t="s">
        <v>1996</v>
      </c>
    </row>
    <row r="2352" spans="1:2" ht="15" hidden="1" x14ac:dyDescent="0.25">
      <c r="A2352" s="425" t="s">
        <v>1997</v>
      </c>
      <c r="B2352" s="425" t="s">
        <v>1998</v>
      </c>
    </row>
    <row r="2353" spans="1:2" ht="15" hidden="1" x14ac:dyDescent="0.25">
      <c r="A2353" s="425" t="s">
        <v>1999</v>
      </c>
      <c r="B2353" s="425" t="s">
        <v>2000</v>
      </c>
    </row>
    <row r="2354" spans="1:2" ht="15" hidden="1" x14ac:dyDescent="0.25">
      <c r="A2354" s="425" t="s">
        <v>1999</v>
      </c>
      <c r="B2354" s="425" t="s">
        <v>2000</v>
      </c>
    </row>
    <row r="2355" spans="1:2" ht="15" hidden="1" x14ac:dyDescent="0.25">
      <c r="A2355" s="425" t="s">
        <v>2001</v>
      </c>
      <c r="B2355" s="425" t="s">
        <v>2002</v>
      </c>
    </row>
    <row r="2356" spans="1:2" ht="15" hidden="1" x14ac:dyDescent="0.25">
      <c r="A2356" s="425" t="s">
        <v>2003</v>
      </c>
      <c r="B2356" s="425" t="s">
        <v>2004</v>
      </c>
    </row>
    <row r="2357" spans="1:2" ht="15" hidden="1" x14ac:dyDescent="0.25">
      <c r="A2357" s="425" t="s">
        <v>2005</v>
      </c>
      <c r="B2357" s="425" t="s">
        <v>2006</v>
      </c>
    </row>
    <row r="2358" spans="1:2" ht="15" hidden="1" x14ac:dyDescent="0.25">
      <c r="A2358" s="425" t="s">
        <v>2005</v>
      </c>
      <c r="B2358" s="425" t="s">
        <v>2006</v>
      </c>
    </row>
    <row r="2359" spans="1:2" ht="15" hidden="1" x14ac:dyDescent="0.25">
      <c r="A2359" s="425" t="s">
        <v>234</v>
      </c>
      <c r="B2359" s="425" t="s">
        <v>384</v>
      </c>
    </row>
    <row r="2360" spans="1:2" ht="15" hidden="1" x14ac:dyDescent="0.25">
      <c r="A2360" s="425" t="s">
        <v>234</v>
      </c>
      <c r="B2360" s="425" t="s">
        <v>384</v>
      </c>
    </row>
    <row r="2361" spans="1:2" ht="15" hidden="1" x14ac:dyDescent="0.25">
      <c r="A2361" s="425" t="s">
        <v>2007</v>
      </c>
      <c r="B2361" s="425" t="s">
        <v>1974</v>
      </c>
    </row>
    <row r="2362" spans="1:2" ht="15" hidden="1" x14ac:dyDescent="0.25">
      <c r="A2362" s="425" t="s">
        <v>2008</v>
      </c>
      <c r="B2362" s="425" t="s">
        <v>2009</v>
      </c>
    </row>
    <row r="2363" spans="1:2" ht="15" hidden="1" x14ac:dyDescent="0.25">
      <c r="A2363" s="425" t="s">
        <v>2008</v>
      </c>
      <c r="B2363" s="425" t="s">
        <v>2009</v>
      </c>
    </row>
    <row r="2364" spans="1:2" ht="15" hidden="1" x14ac:dyDescent="0.25">
      <c r="A2364" s="425" t="s">
        <v>1697</v>
      </c>
      <c r="B2364" s="425" t="s">
        <v>1698</v>
      </c>
    </row>
    <row r="2365" spans="1:2" ht="15" hidden="1" x14ac:dyDescent="0.25">
      <c r="A2365" s="425" t="s">
        <v>1697</v>
      </c>
      <c r="B2365" s="425" t="s">
        <v>1698</v>
      </c>
    </row>
    <row r="2366" spans="1:2" ht="15" hidden="1" x14ac:dyDescent="0.25">
      <c r="A2366" s="425" t="s">
        <v>1697</v>
      </c>
      <c r="B2366" s="425" t="s">
        <v>1698</v>
      </c>
    </row>
    <row r="2367" spans="1:2" ht="15" hidden="1" x14ac:dyDescent="0.25">
      <c r="A2367" s="425" t="s">
        <v>2010</v>
      </c>
      <c r="B2367" s="425" t="s">
        <v>2011</v>
      </c>
    </row>
    <row r="2368" spans="1:2" ht="15" hidden="1" x14ac:dyDescent="0.25">
      <c r="A2368" s="425" t="s">
        <v>2012</v>
      </c>
      <c r="B2368" s="425" t="s">
        <v>2013</v>
      </c>
    </row>
    <row r="2369" spans="1:2" ht="15" hidden="1" x14ac:dyDescent="0.25">
      <c r="A2369" s="425" t="s">
        <v>2014</v>
      </c>
      <c r="B2369" s="425" t="s">
        <v>2015</v>
      </c>
    </row>
    <row r="2370" spans="1:2" ht="15" hidden="1" x14ac:dyDescent="0.25">
      <c r="A2370" s="425" t="s">
        <v>2016</v>
      </c>
      <c r="B2370" s="425" t="s">
        <v>2017</v>
      </c>
    </row>
    <row r="2371" spans="1:2" ht="15" hidden="1" x14ac:dyDescent="0.25">
      <c r="A2371" s="425" t="s">
        <v>1928</v>
      </c>
      <c r="B2371" s="425" t="s">
        <v>2018</v>
      </c>
    </row>
    <row r="2372" spans="1:2" ht="15" hidden="1" x14ac:dyDescent="0.25">
      <c r="A2372" s="425" t="s">
        <v>2019</v>
      </c>
      <c r="B2372" s="425" t="s">
        <v>2020</v>
      </c>
    </row>
    <row r="2373" spans="1:2" ht="15" hidden="1" x14ac:dyDescent="0.25">
      <c r="A2373" s="425" t="s">
        <v>2019</v>
      </c>
      <c r="B2373" s="425" t="s">
        <v>2020</v>
      </c>
    </row>
    <row r="2374" spans="1:2" ht="15" hidden="1" x14ac:dyDescent="0.25">
      <c r="A2374" s="425" t="s">
        <v>2021</v>
      </c>
      <c r="B2374" s="425" t="s">
        <v>2022</v>
      </c>
    </row>
    <row r="2375" spans="1:2" ht="15" hidden="1" x14ac:dyDescent="0.25">
      <c r="A2375" s="425" t="s">
        <v>2021</v>
      </c>
      <c r="B2375" s="425" t="s">
        <v>2022</v>
      </c>
    </row>
    <row r="2376" spans="1:2" ht="15" hidden="1" x14ac:dyDescent="0.25">
      <c r="A2376" s="425" t="s">
        <v>2023</v>
      </c>
      <c r="B2376" s="425" t="s">
        <v>2024</v>
      </c>
    </row>
    <row r="2377" spans="1:2" ht="15" hidden="1" x14ac:dyDescent="0.25">
      <c r="A2377" s="425" t="s">
        <v>2023</v>
      </c>
      <c r="B2377" s="425" t="s">
        <v>2024</v>
      </c>
    </row>
    <row r="2378" spans="1:2" ht="15" hidden="1" x14ac:dyDescent="0.25">
      <c r="A2378" s="425" t="s">
        <v>2025</v>
      </c>
      <c r="B2378" s="425" t="s">
        <v>2026</v>
      </c>
    </row>
    <row r="2379" spans="1:2" ht="15" hidden="1" x14ac:dyDescent="0.25">
      <c r="A2379" s="425" t="s">
        <v>2025</v>
      </c>
      <c r="B2379" s="425" t="s">
        <v>2026</v>
      </c>
    </row>
    <row r="2380" spans="1:2" ht="15" hidden="1" x14ac:dyDescent="0.25">
      <c r="A2380" s="425" t="s">
        <v>1813</v>
      </c>
      <c r="B2380" s="425" t="s">
        <v>1814</v>
      </c>
    </row>
    <row r="2381" spans="1:2" ht="15" hidden="1" x14ac:dyDescent="0.25">
      <c r="A2381" s="425" t="s">
        <v>1813</v>
      </c>
      <c r="B2381" s="425" t="s">
        <v>1814</v>
      </c>
    </row>
    <row r="2382" spans="1:2" ht="15" hidden="1" x14ac:dyDescent="0.25">
      <c r="A2382" s="425" t="s">
        <v>2027</v>
      </c>
      <c r="B2382" s="425" t="s">
        <v>2028</v>
      </c>
    </row>
    <row r="2383" spans="1:2" ht="15" hidden="1" x14ac:dyDescent="0.25">
      <c r="A2383" s="425" t="s">
        <v>2027</v>
      </c>
      <c r="B2383" s="425" t="s">
        <v>2028</v>
      </c>
    </row>
    <row r="2384" spans="1:2" ht="15" hidden="1" x14ac:dyDescent="0.25">
      <c r="A2384" s="425" t="s">
        <v>2029</v>
      </c>
      <c r="B2384" s="425" t="s">
        <v>2030</v>
      </c>
    </row>
    <row r="2385" spans="1:2" ht="15" hidden="1" x14ac:dyDescent="0.25">
      <c r="A2385" s="425" t="s">
        <v>2029</v>
      </c>
      <c r="B2385" s="425" t="s">
        <v>2030</v>
      </c>
    </row>
    <row r="2386" spans="1:2" ht="15" hidden="1" x14ac:dyDescent="0.25">
      <c r="A2386" s="425" t="s">
        <v>2031</v>
      </c>
      <c r="B2386" s="425" t="s">
        <v>2032</v>
      </c>
    </row>
    <row r="2387" spans="1:2" ht="15" hidden="1" x14ac:dyDescent="0.25">
      <c r="A2387" s="427" t="s">
        <v>2033</v>
      </c>
      <c r="B2387" s="425" t="s">
        <v>2034</v>
      </c>
    </row>
    <row r="2388" spans="1:2" ht="15" hidden="1" x14ac:dyDescent="0.25">
      <c r="A2388" s="425" t="s">
        <v>208</v>
      </c>
      <c r="B2388" s="425" t="s">
        <v>309</v>
      </c>
    </row>
    <row r="2389" spans="1:2" ht="15" hidden="1" x14ac:dyDescent="0.25">
      <c r="A2389" s="425" t="s">
        <v>208</v>
      </c>
      <c r="B2389" s="425" t="s">
        <v>309</v>
      </c>
    </row>
    <row r="2390" spans="1:2" ht="15" hidden="1" x14ac:dyDescent="0.25">
      <c r="A2390" s="425" t="s">
        <v>208</v>
      </c>
      <c r="B2390" s="425" t="s">
        <v>309</v>
      </c>
    </row>
    <row r="2391" spans="1:2" ht="15" hidden="1" x14ac:dyDescent="0.25">
      <c r="A2391" s="425" t="s">
        <v>2035</v>
      </c>
      <c r="B2391" s="425" t="s">
        <v>2036</v>
      </c>
    </row>
    <row r="2392" spans="1:2" ht="15" hidden="1" x14ac:dyDescent="0.25">
      <c r="A2392" s="425" t="s">
        <v>2035</v>
      </c>
      <c r="B2392" s="425" t="s">
        <v>2036</v>
      </c>
    </row>
    <row r="2393" spans="1:2" ht="15" hidden="1" x14ac:dyDescent="0.25">
      <c r="A2393" s="425" t="s">
        <v>2035</v>
      </c>
      <c r="B2393" s="425" t="s">
        <v>2036</v>
      </c>
    </row>
    <row r="2394" spans="1:2" ht="15" hidden="1" x14ac:dyDescent="0.25">
      <c r="A2394" s="425" t="s">
        <v>2035</v>
      </c>
      <c r="B2394" s="425" t="s">
        <v>2036</v>
      </c>
    </row>
    <row r="2395" spans="1:2" ht="15" hidden="1" x14ac:dyDescent="0.25">
      <c r="A2395" s="425" t="s">
        <v>2035</v>
      </c>
      <c r="B2395" s="425" t="s">
        <v>2036</v>
      </c>
    </row>
    <row r="2396" spans="1:2" ht="15" hidden="1" x14ac:dyDescent="0.25">
      <c r="A2396" s="425" t="s">
        <v>2035</v>
      </c>
      <c r="B2396" s="425" t="s">
        <v>2036</v>
      </c>
    </row>
    <row r="2397" spans="1:2" ht="15" hidden="1" x14ac:dyDescent="0.25">
      <c r="A2397" s="425" t="s">
        <v>182</v>
      </c>
      <c r="B2397" s="425" t="s">
        <v>315</v>
      </c>
    </row>
    <row r="2398" spans="1:2" ht="15" hidden="1" x14ac:dyDescent="0.25">
      <c r="A2398" s="425" t="s">
        <v>182</v>
      </c>
      <c r="B2398" s="425" t="s">
        <v>315</v>
      </c>
    </row>
    <row r="2399" spans="1:2" ht="15" hidden="1" x14ac:dyDescent="0.25">
      <c r="A2399" s="425" t="s">
        <v>182</v>
      </c>
      <c r="B2399" s="425" t="s">
        <v>315</v>
      </c>
    </row>
    <row r="2400" spans="1:2" ht="15" hidden="1" x14ac:dyDescent="0.25">
      <c r="A2400" s="425" t="s">
        <v>182</v>
      </c>
      <c r="B2400" s="425" t="s">
        <v>315</v>
      </c>
    </row>
    <row r="2401" spans="1:2" ht="15" hidden="1" x14ac:dyDescent="0.25">
      <c r="A2401" s="425" t="s">
        <v>182</v>
      </c>
      <c r="B2401" s="425" t="s">
        <v>315</v>
      </c>
    </row>
    <row r="2402" spans="1:2" ht="15" hidden="1" x14ac:dyDescent="0.25">
      <c r="A2402" s="425" t="s">
        <v>182</v>
      </c>
      <c r="B2402" s="425" t="s">
        <v>315</v>
      </c>
    </row>
    <row r="2403" spans="1:2" ht="15" hidden="1" x14ac:dyDescent="0.25">
      <c r="A2403" s="425" t="s">
        <v>182</v>
      </c>
      <c r="B2403" s="425" t="s">
        <v>315</v>
      </c>
    </row>
    <row r="2404" spans="1:2" ht="15" hidden="1" x14ac:dyDescent="0.25">
      <c r="A2404" s="425" t="s">
        <v>182</v>
      </c>
      <c r="B2404" s="425" t="s">
        <v>315</v>
      </c>
    </row>
    <row r="2405" spans="1:2" ht="15" hidden="1" x14ac:dyDescent="0.25">
      <c r="A2405" s="425" t="s">
        <v>182</v>
      </c>
      <c r="B2405" s="425" t="s">
        <v>315</v>
      </c>
    </row>
    <row r="2406" spans="1:2" ht="15" hidden="1" x14ac:dyDescent="0.25">
      <c r="A2406" s="425" t="s">
        <v>210</v>
      </c>
      <c r="B2406" s="425" t="s">
        <v>316</v>
      </c>
    </row>
    <row r="2407" spans="1:2" ht="15" hidden="1" x14ac:dyDescent="0.25">
      <c r="A2407" s="425" t="s">
        <v>210</v>
      </c>
      <c r="B2407" s="425" t="s">
        <v>316</v>
      </c>
    </row>
    <row r="2408" spans="1:2" ht="15" hidden="1" x14ac:dyDescent="0.25">
      <c r="A2408" s="425" t="s">
        <v>210</v>
      </c>
      <c r="B2408" s="425" t="s">
        <v>316</v>
      </c>
    </row>
    <row r="2409" spans="1:2" ht="15" hidden="1" x14ac:dyDescent="0.25">
      <c r="A2409" s="425" t="s">
        <v>210</v>
      </c>
      <c r="B2409" s="425" t="s">
        <v>316</v>
      </c>
    </row>
    <row r="2410" spans="1:2" ht="15" hidden="1" x14ac:dyDescent="0.25">
      <c r="A2410" s="425" t="s">
        <v>210</v>
      </c>
      <c r="B2410" s="425" t="s">
        <v>316</v>
      </c>
    </row>
    <row r="2411" spans="1:2" ht="15" hidden="1" x14ac:dyDescent="0.25">
      <c r="A2411" s="425" t="s">
        <v>210</v>
      </c>
      <c r="B2411" s="425" t="s">
        <v>316</v>
      </c>
    </row>
    <row r="2412" spans="1:2" ht="15" hidden="1" x14ac:dyDescent="0.25">
      <c r="A2412" s="425" t="s">
        <v>210</v>
      </c>
      <c r="B2412" s="425" t="s">
        <v>316</v>
      </c>
    </row>
    <row r="2413" spans="1:2" ht="15" hidden="1" x14ac:dyDescent="0.25">
      <c r="A2413" s="425" t="s">
        <v>210</v>
      </c>
      <c r="B2413" s="425" t="s">
        <v>316</v>
      </c>
    </row>
    <row r="2414" spans="1:2" ht="15" hidden="1" x14ac:dyDescent="0.25">
      <c r="A2414" s="425" t="s">
        <v>210</v>
      </c>
      <c r="B2414" s="425" t="s">
        <v>316</v>
      </c>
    </row>
    <row r="2415" spans="1:2" ht="15" hidden="1" x14ac:dyDescent="0.25">
      <c r="A2415" s="425" t="s">
        <v>210</v>
      </c>
      <c r="B2415" s="425" t="s">
        <v>316</v>
      </c>
    </row>
    <row r="2416" spans="1:2" ht="15" hidden="1" x14ac:dyDescent="0.25">
      <c r="A2416" s="425" t="s">
        <v>183</v>
      </c>
      <c r="B2416" s="425" t="s">
        <v>317</v>
      </c>
    </row>
    <row r="2417" spans="1:2" ht="15" hidden="1" x14ac:dyDescent="0.25">
      <c r="A2417" s="425" t="s">
        <v>185</v>
      </c>
      <c r="B2417" s="425" t="s">
        <v>319</v>
      </c>
    </row>
    <row r="2418" spans="1:2" ht="15" hidden="1" x14ac:dyDescent="0.25">
      <c r="A2418" s="425" t="s">
        <v>185</v>
      </c>
      <c r="B2418" s="425" t="s">
        <v>319</v>
      </c>
    </row>
    <row r="2419" spans="1:2" ht="15" hidden="1" x14ac:dyDescent="0.25">
      <c r="A2419" s="425" t="s">
        <v>185</v>
      </c>
      <c r="B2419" s="425" t="s">
        <v>319</v>
      </c>
    </row>
    <row r="2420" spans="1:2" ht="15" hidden="1" x14ac:dyDescent="0.25">
      <c r="A2420" s="425" t="s">
        <v>185</v>
      </c>
      <c r="B2420" s="425" t="s">
        <v>319</v>
      </c>
    </row>
    <row r="2421" spans="1:2" ht="15" hidden="1" x14ac:dyDescent="0.25">
      <c r="A2421" s="425" t="s">
        <v>187</v>
      </c>
      <c r="B2421" s="425" t="s">
        <v>322</v>
      </c>
    </row>
    <row r="2422" spans="1:2" ht="15" hidden="1" x14ac:dyDescent="0.25">
      <c r="A2422" s="425" t="s">
        <v>187</v>
      </c>
      <c r="B2422" s="425" t="s">
        <v>322</v>
      </c>
    </row>
    <row r="2423" spans="1:2" ht="15" hidden="1" x14ac:dyDescent="0.25">
      <c r="A2423" s="425" t="s">
        <v>187</v>
      </c>
      <c r="B2423" s="425" t="s">
        <v>322</v>
      </c>
    </row>
    <row r="2424" spans="1:2" ht="15" hidden="1" x14ac:dyDescent="0.25">
      <c r="A2424" s="425" t="s">
        <v>187</v>
      </c>
      <c r="B2424" s="425" t="s">
        <v>322</v>
      </c>
    </row>
    <row r="2425" spans="1:2" ht="15" hidden="1" x14ac:dyDescent="0.25">
      <c r="A2425" s="425" t="s">
        <v>187</v>
      </c>
      <c r="B2425" s="425" t="s">
        <v>322</v>
      </c>
    </row>
    <row r="2426" spans="1:2" ht="15" hidden="1" x14ac:dyDescent="0.25">
      <c r="A2426" s="425" t="s">
        <v>187</v>
      </c>
      <c r="B2426" s="425" t="s">
        <v>322</v>
      </c>
    </row>
    <row r="2427" spans="1:2" ht="15" hidden="1" x14ac:dyDescent="0.25">
      <c r="A2427" s="425" t="s">
        <v>1269</v>
      </c>
      <c r="B2427" s="425" t="s">
        <v>1270</v>
      </c>
    </row>
    <row r="2428" spans="1:2" ht="15" hidden="1" x14ac:dyDescent="0.25">
      <c r="A2428" s="425" t="s">
        <v>1269</v>
      </c>
      <c r="B2428" s="425" t="s">
        <v>1270</v>
      </c>
    </row>
    <row r="2429" spans="1:2" ht="15" hidden="1" x14ac:dyDescent="0.25">
      <c r="A2429" s="425" t="s">
        <v>1269</v>
      </c>
      <c r="B2429" s="425" t="s">
        <v>1270</v>
      </c>
    </row>
    <row r="2430" spans="1:2" ht="15" hidden="1" x14ac:dyDescent="0.25">
      <c r="A2430" s="425" t="s">
        <v>1269</v>
      </c>
      <c r="B2430" s="425" t="s">
        <v>1270</v>
      </c>
    </row>
    <row r="2431" spans="1:2" ht="15" hidden="1" x14ac:dyDescent="0.25">
      <c r="A2431" s="425" t="s">
        <v>1269</v>
      </c>
      <c r="B2431" s="425" t="s">
        <v>1270</v>
      </c>
    </row>
    <row r="2432" spans="1:2" ht="15" hidden="1" x14ac:dyDescent="0.25">
      <c r="A2432" s="425" t="s">
        <v>1269</v>
      </c>
      <c r="B2432" s="425" t="s">
        <v>1270</v>
      </c>
    </row>
    <row r="2433" spans="1:2" ht="15" hidden="1" x14ac:dyDescent="0.25">
      <c r="A2433" s="425" t="s">
        <v>1269</v>
      </c>
      <c r="B2433" s="425" t="s">
        <v>1270</v>
      </c>
    </row>
    <row r="2434" spans="1:2" ht="15" hidden="1" x14ac:dyDescent="0.25">
      <c r="A2434" s="425" t="s">
        <v>1269</v>
      </c>
      <c r="B2434" s="425" t="s">
        <v>1270</v>
      </c>
    </row>
    <row r="2435" spans="1:2" ht="15" hidden="1" x14ac:dyDescent="0.25">
      <c r="A2435" s="425" t="s">
        <v>1269</v>
      </c>
      <c r="B2435" s="425" t="s">
        <v>1270</v>
      </c>
    </row>
    <row r="2436" spans="1:2" ht="15" hidden="1" x14ac:dyDescent="0.25">
      <c r="A2436" s="425" t="s">
        <v>2037</v>
      </c>
      <c r="B2436" s="425" t="s">
        <v>2037</v>
      </c>
    </row>
    <row r="2437" spans="1:2" ht="15" hidden="1" x14ac:dyDescent="0.25">
      <c r="A2437" s="425" t="s">
        <v>2038</v>
      </c>
      <c r="B2437" s="425" t="s">
        <v>2038</v>
      </c>
    </row>
    <row r="2438" spans="1:2" ht="15" hidden="1" x14ac:dyDescent="0.25">
      <c r="A2438" s="425" t="s">
        <v>2039</v>
      </c>
      <c r="B2438" s="425" t="s">
        <v>2039</v>
      </c>
    </row>
    <row r="2439" spans="1:2" ht="15" hidden="1" x14ac:dyDescent="0.25">
      <c r="A2439" s="425" t="s">
        <v>2040</v>
      </c>
      <c r="B2439" s="425" t="s">
        <v>2040</v>
      </c>
    </row>
    <row r="2440" spans="1:2" ht="15" hidden="1" x14ac:dyDescent="0.25">
      <c r="A2440" s="425" t="s">
        <v>2041</v>
      </c>
      <c r="B2440" s="425" t="s">
        <v>2041</v>
      </c>
    </row>
    <row r="2441" spans="1:2" ht="15" hidden="1" x14ac:dyDescent="0.25">
      <c r="A2441" s="425" t="s">
        <v>2042</v>
      </c>
      <c r="B2441" s="425" t="s">
        <v>2042</v>
      </c>
    </row>
    <row r="2442" spans="1:2" ht="15" hidden="1" x14ac:dyDescent="0.25">
      <c r="A2442" s="425" t="s">
        <v>2043</v>
      </c>
      <c r="B2442" s="425" t="s">
        <v>2043</v>
      </c>
    </row>
    <row r="2443" spans="1:2" ht="15" hidden="1" x14ac:dyDescent="0.25">
      <c r="A2443" s="425" t="s">
        <v>2044</v>
      </c>
      <c r="B2443" s="425" t="s">
        <v>2044</v>
      </c>
    </row>
    <row r="2444" spans="1:2" ht="15" hidden="1" x14ac:dyDescent="0.25">
      <c r="A2444" s="425" t="s">
        <v>2045</v>
      </c>
      <c r="B2444" s="425" t="s">
        <v>2045</v>
      </c>
    </row>
    <row r="2445" spans="1:2" ht="15" hidden="1" x14ac:dyDescent="0.25">
      <c r="A2445" s="425" t="s">
        <v>2046</v>
      </c>
      <c r="B2445" s="425" t="s">
        <v>2046</v>
      </c>
    </row>
    <row r="2446" spans="1:2" ht="15" hidden="1" x14ac:dyDescent="0.25">
      <c r="A2446" s="425" t="s">
        <v>2047</v>
      </c>
      <c r="B2446" s="425" t="s">
        <v>2047</v>
      </c>
    </row>
    <row r="2447" spans="1:2" ht="15" hidden="1" x14ac:dyDescent="0.25">
      <c r="A2447" s="425" t="s">
        <v>2048</v>
      </c>
      <c r="B2447" s="425" t="s">
        <v>2048</v>
      </c>
    </row>
    <row r="2448" spans="1:2" ht="15" hidden="1" x14ac:dyDescent="0.25">
      <c r="A2448" s="425" t="s">
        <v>2049</v>
      </c>
      <c r="B2448" s="425" t="s">
        <v>2049</v>
      </c>
    </row>
    <row r="2449" spans="1:2" ht="15" hidden="1" x14ac:dyDescent="0.25">
      <c r="A2449" s="425" t="s">
        <v>2050</v>
      </c>
      <c r="B2449" s="425" t="s">
        <v>2050</v>
      </c>
    </row>
    <row r="2450" spans="1:2" ht="15" hidden="1" x14ac:dyDescent="0.25">
      <c r="A2450" s="425" t="s">
        <v>2051</v>
      </c>
      <c r="B2450" s="425" t="s">
        <v>2051</v>
      </c>
    </row>
    <row r="2451" spans="1:2" ht="15" hidden="1" x14ac:dyDescent="0.25">
      <c r="A2451" s="425" t="s">
        <v>2052</v>
      </c>
      <c r="B2451" s="425" t="s">
        <v>2052</v>
      </c>
    </row>
    <row r="2452" spans="1:2" ht="15" hidden="1" x14ac:dyDescent="0.25">
      <c r="A2452" s="425" t="s">
        <v>2053</v>
      </c>
      <c r="B2452" s="425" t="s">
        <v>2053</v>
      </c>
    </row>
    <row r="2453" spans="1:2" ht="15" hidden="1" x14ac:dyDescent="0.25">
      <c r="A2453" s="425" t="s">
        <v>2054</v>
      </c>
      <c r="B2453" s="425" t="s">
        <v>2054</v>
      </c>
    </row>
    <row r="2454" spans="1:2" ht="15" hidden="1" x14ac:dyDescent="0.25">
      <c r="A2454" s="425" t="s">
        <v>2055</v>
      </c>
      <c r="B2454" s="425" t="s">
        <v>2055</v>
      </c>
    </row>
    <row r="2455" spans="1:2" ht="15" hidden="1" x14ac:dyDescent="0.25">
      <c r="A2455" s="425" t="s">
        <v>2056</v>
      </c>
      <c r="B2455" s="425" t="s">
        <v>2056</v>
      </c>
    </row>
    <row r="2456" spans="1:2" ht="15" hidden="1" x14ac:dyDescent="0.25">
      <c r="A2456" s="425" t="s">
        <v>2057</v>
      </c>
      <c r="B2456" s="425" t="s">
        <v>2057</v>
      </c>
    </row>
    <row r="2457" spans="1:2" ht="15" hidden="1" x14ac:dyDescent="0.25">
      <c r="A2457" s="425" t="s">
        <v>2058</v>
      </c>
      <c r="B2457" s="425" t="s">
        <v>2058</v>
      </c>
    </row>
    <row r="2458" spans="1:2" ht="15" hidden="1" x14ac:dyDescent="0.25">
      <c r="A2458" s="425" t="s">
        <v>2059</v>
      </c>
      <c r="B2458" s="425" t="s">
        <v>2059</v>
      </c>
    </row>
    <row r="2459" spans="1:2" ht="15" hidden="1" x14ac:dyDescent="0.25">
      <c r="A2459" s="425" t="s">
        <v>2060</v>
      </c>
      <c r="B2459" s="425" t="s">
        <v>2060</v>
      </c>
    </row>
    <row r="2460" spans="1:2" ht="15" hidden="1" x14ac:dyDescent="0.25">
      <c r="A2460" s="425" t="s">
        <v>2060</v>
      </c>
      <c r="B2460" s="425" t="s">
        <v>2060</v>
      </c>
    </row>
    <row r="2461" spans="1:2" ht="15" hidden="1" x14ac:dyDescent="0.25">
      <c r="A2461" s="425" t="s">
        <v>2061</v>
      </c>
      <c r="B2461" s="425" t="s">
        <v>2061</v>
      </c>
    </row>
    <row r="2462" spans="1:2" ht="15" hidden="1" x14ac:dyDescent="0.25">
      <c r="A2462" s="425" t="s">
        <v>2062</v>
      </c>
      <c r="B2462" s="425" t="s">
        <v>2062</v>
      </c>
    </row>
    <row r="2463" spans="1:2" ht="15" hidden="1" x14ac:dyDescent="0.25">
      <c r="A2463" s="425" t="s">
        <v>2063</v>
      </c>
      <c r="B2463" s="425" t="s">
        <v>2063</v>
      </c>
    </row>
    <row r="2464" spans="1:2" ht="15" hidden="1" x14ac:dyDescent="0.25">
      <c r="A2464" s="425" t="s">
        <v>2064</v>
      </c>
      <c r="B2464" s="425" t="s">
        <v>2064</v>
      </c>
    </row>
    <row r="2465" spans="1:2" ht="15" hidden="1" x14ac:dyDescent="0.25">
      <c r="A2465" s="425" t="s">
        <v>2065</v>
      </c>
      <c r="B2465" s="425" t="s">
        <v>2065</v>
      </c>
    </row>
    <row r="2466" spans="1:2" ht="15" hidden="1" x14ac:dyDescent="0.25">
      <c r="A2466" s="425" t="s">
        <v>2066</v>
      </c>
      <c r="B2466" s="425" t="s">
        <v>2066</v>
      </c>
    </row>
    <row r="2467" spans="1:2" ht="15" hidden="1" x14ac:dyDescent="0.25">
      <c r="A2467" s="425" t="s">
        <v>2067</v>
      </c>
      <c r="B2467" s="425" t="s">
        <v>2067</v>
      </c>
    </row>
    <row r="2468" spans="1:2" ht="15" hidden="1" x14ac:dyDescent="0.25">
      <c r="A2468" s="425" t="s">
        <v>2068</v>
      </c>
      <c r="B2468" s="425" t="s">
        <v>2068</v>
      </c>
    </row>
    <row r="2469" spans="1:2" ht="15" hidden="1" x14ac:dyDescent="0.25">
      <c r="A2469" s="425" t="s">
        <v>2069</v>
      </c>
      <c r="B2469" s="425" t="s">
        <v>2069</v>
      </c>
    </row>
    <row r="2470" spans="1:2" ht="15" hidden="1" x14ac:dyDescent="0.25">
      <c r="A2470" s="425" t="s">
        <v>2070</v>
      </c>
      <c r="B2470" s="425" t="s">
        <v>2070</v>
      </c>
    </row>
    <row r="2471" spans="1:2" ht="15" hidden="1" x14ac:dyDescent="0.25">
      <c r="A2471" s="425" t="s">
        <v>2071</v>
      </c>
      <c r="B2471" s="425" t="s">
        <v>2071</v>
      </c>
    </row>
    <row r="2472" spans="1:2" ht="15" hidden="1" x14ac:dyDescent="0.25">
      <c r="A2472" s="425" t="s">
        <v>2072</v>
      </c>
      <c r="B2472" s="425" t="s">
        <v>2072</v>
      </c>
    </row>
    <row r="2473" spans="1:2" ht="15" hidden="1" x14ac:dyDescent="0.25">
      <c r="A2473" s="425" t="s">
        <v>2073</v>
      </c>
      <c r="B2473" s="425" t="s">
        <v>2073</v>
      </c>
    </row>
    <row r="2474" spans="1:2" ht="15" hidden="1" x14ac:dyDescent="0.25">
      <c r="A2474" s="425" t="s">
        <v>2074</v>
      </c>
      <c r="B2474" s="425" t="s">
        <v>2074</v>
      </c>
    </row>
    <row r="2475" spans="1:2" ht="15" hidden="1" x14ac:dyDescent="0.25">
      <c r="A2475" s="425" t="s">
        <v>2075</v>
      </c>
      <c r="B2475" s="425" t="s">
        <v>2075</v>
      </c>
    </row>
    <row r="2476" spans="1:2" ht="15" hidden="1" x14ac:dyDescent="0.25">
      <c r="A2476" s="425" t="s">
        <v>2076</v>
      </c>
      <c r="B2476" s="425" t="s">
        <v>2076</v>
      </c>
    </row>
    <row r="2477" spans="1:2" ht="15" hidden="1" x14ac:dyDescent="0.25">
      <c r="A2477" s="425" t="s">
        <v>2077</v>
      </c>
      <c r="B2477" s="425" t="s">
        <v>2077</v>
      </c>
    </row>
    <row r="2478" spans="1:2" ht="15" hidden="1" x14ac:dyDescent="0.25">
      <c r="A2478" s="425" t="s">
        <v>2078</v>
      </c>
      <c r="B2478" s="425" t="s">
        <v>2078</v>
      </c>
    </row>
    <row r="2479" spans="1:2" ht="15" hidden="1" x14ac:dyDescent="0.25">
      <c r="A2479" s="425" t="s">
        <v>2079</v>
      </c>
      <c r="B2479" s="425" t="s">
        <v>2079</v>
      </c>
    </row>
    <row r="2480" spans="1:2" ht="15" hidden="1" x14ac:dyDescent="0.25">
      <c r="A2480" s="425" t="s">
        <v>2080</v>
      </c>
      <c r="B2480" s="425" t="s">
        <v>2080</v>
      </c>
    </row>
    <row r="2481" spans="1:2" ht="15" hidden="1" x14ac:dyDescent="0.25">
      <c r="A2481" s="425" t="s">
        <v>2081</v>
      </c>
      <c r="B2481" s="425" t="s">
        <v>2081</v>
      </c>
    </row>
    <row r="2482" spans="1:2" ht="15" hidden="1" x14ac:dyDescent="0.25">
      <c r="A2482" s="425" t="s">
        <v>2082</v>
      </c>
      <c r="B2482" s="425" t="s">
        <v>2082</v>
      </c>
    </row>
    <row r="2483" spans="1:2" ht="15" hidden="1" x14ac:dyDescent="0.25">
      <c r="A2483" s="425" t="s">
        <v>2083</v>
      </c>
      <c r="B2483" s="425" t="s">
        <v>2083</v>
      </c>
    </row>
    <row r="2484" spans="1:2" ht="15" hidden="1" x14ac:dyDescent="0.25">
      <c r="A2484" s="425" t="s">
        <v>2084</v>
      </c>
      <c r="B2484" s="425" t="s">
        <v>2084</v>
      </c>
    </row>
    <row r="2485" spans="1:2" ht="15" hidden="1" x14ac:dyDescent="0.25">
      <c r="A2485" s="425" t="s">
        <v>2085</v>
      </c>
      <c r="B2485" s="425" t="s">
        <v>2085</v>
      </c>
    </row>
    <row r="2486" spans="1:2" ht="15" hidden="1" x14ac:dyDescent="0.25">
      <c r="A2486" s="425" t="s">
        <v>2086</v>
      </c>
      <c r="B2486" s="425" t="s">
        <v>2086</v>
      </c>
    </row>
    <row r="2487" spans="1:2" ht="15" hidden="1" x14ac:dyDescent="0.25">
      <c r="A2487" s="425" t="s">
        <v>2087</v>
      </c>
      <c r="B2487" s="425" t="s">
        <v>2087</v>
      </c>
    </row>
    <row r="2488" spans="1:2" ht="15" hidden="1" x14ac:dyDescent="0.25">
      <c r="A2488" s="425" t="s">
        <v>2088</v>
      </c>
      <c r="B2488" s="425" t="s">
        <v>2088</v>
      </c>
    </row>
    <row r="2489" spans="1:2" ht="15" hidden="1" x14ac:dyDescent="0.25">
      <c r="A2489" s="425" t="s">
        <v>2089</v>
      </c>
      <c r="B2489" s="425" t="s">
        <v>2089</v>
      </c>
    </row>
    <row r="2490" spans="1:2" ht="15" hidden="1" x14ac:dyDescent="0.25">
      <c r="A2490" s="425" t="s">
        <v>2090</v>
      </c>
      <c r="B2490" s="425" t="s">
        <v>2090</v>
      </c>
    </row>
    <row r="2491" spans="1:2" ht="15" hidden="1" x14ac:dyDescent="0.25">
      <c r="A2491" s="425" t="s">
        <v>2091</v>
      </c>
      <c r="B2491" s="425" t="s">
        <v>2091</v>
      </c>
    </row>
    <row r="2492" spans="1:2" ht="15" hidden="1" x14ac:dyDescent="0.25">
      <c r="A2492" s="425" t="s">
        <v>2092</v>
      </c>
      <c r="B2492" s="425" t="s">
        <v>2092</v>
      </c>
    </row>
    <row r="2493" spans="1:2" ht="15" hidden="1" x14ac:dyDescent="0.25">
      <c r="A2493" s="425" t="s">
        <v>2093</v>
      </c>
      <c r="B2493" s="425" t="s">
        <v>2093</v>
      </c>
    </row>
    <row r="2494" spans="1:2" ht="15" hidden="1" x14ac:dyDescent="0.25">
      <c r="A2494" s="425" t="s">
        <v>2094</v>
      </c>
      <c r="B2494" s="425" t="s">
        <v>2094</v>
      </c>
    </row>
    <row r="2495" spans="1:2" ht="15" hidden="1" x14ac:dyDescent="0.25">
      <c r="A2495" s="425" t="s">
        <v>2095</v>
      </c>
      <c r="B2495" s="425" t="s">
        <v>2095</v>
      </c>
    </row>
    <row r="2496" spans="1:2" ht="15" hidden="1" x14ac:dyDescent="0.25">
      <c r="A2496" s="425" t="s">
        <v>2096</v>
      </c>
      <c r="B2496" s="425" t="s">
        <v>2096</v>
      </c>
    </row>
    <row r="2497" spans="1:2" ht="15" hidden="1" x14ac:dyDescent="0.25">
      <c r="A2497" s="425" t="s">
        <v>2097</v>
      </c>
      <c r="B2497" s="425" t="s">
        <v>2097</v>
      </c>
    </row>
    <row r="2498" spans="1:2" ht="15" hidden="1" x14ac:dyDescent="0.25">
      <c r="A2498" s="425" t="s">
        <v>2098</v>
      </c>
      <c r="B2498" s="425" t="s">
        <v>2098</v>
      </c>
    </row>
    <row r="2499" spans="1:2" ht="15" hidden="1" x14ac:dyDescent="0.25">
      <c r="A2499" s="425" t="s">
        <v>2099</v>
      </c>
      <c r="B2499" s="425" t="s">
        <v>2099</v>
      </c>
    </row>
    <row r="2500" spans="1:2" ht="15" hidden="1" x14ac:dyDescent="0.25">
      <c r="A2500" s="425" t="s">
        <v>2100</v>
      </c>
      <c r="B2500" s="425" t="s">
        <v>2100</v>
      </c>
    </row>
    <row r="2501" spans="1:2" ht="15" hidden="1" x14ac:dyDescent="0.25">
      <c r="A2501" s="425" t="s">
        <v>2101</v>
      </c>
      <c r="B2501" s="425" t="s">
        <v>2101</v>
      </c>
    </row>
    <row r="2502" spans="1:2" ht="15" hidden="1" x14ac:dyDescent="0.25">
      <c r="A2502" s="425" t="s">
        <v>2102</v>
      </c>
      <c r="B2502" s="425" t="s">
        <v>2102</v>
      </c>
    </row>
    <row r="2503" spans="1:2" ht="15" hidden="1" x14ac:dyDescent="0.25">
      <c r="A2503" s="425" t="s">
        <v>2103</v>
      </c>
      <c r="B2503" s="425" t="s">
        <v>2103</v>
      </c>
    </row>
    <row r="2504" spans="1:2" ht="15" hidden="1" x14ac:dyDescent="0.25">
      <c r="A2504" s="425" t="s">
        <v>2104</v>
      </c>
      <c r="B2504" s="425" t="s">
        <v>2104</v>
      </c>
    </row>
    <row r="2505" spans="1:2" ht="15" hidden="1" x14ac:dyDescent="0.25">
      <c r="A2505" s="425" t="s">
        <v>2105</v>
      </c>
      <c r="B2505" s="425" t="s">
        <v>2105</v>
      </c>
    </row>
    <row r="2506" spans="1:2" ht="15" hidden="1" x14ac:dyDescent="0.25">
      <c r="A2506" s="425" t="s">
        <v>2106</v>
      </c>
      <c r="B2506" s="425" t="s">
        <v>2106</v>
      </c>
    </row>
    <row r="2507" spans="1:2" ht="15" hidden="1" x14ac:dyDescent="0.25">
      <c r="A2507" s="425" t="s">
        <v>2107</v>
      </c>
      <c r="B2507" s="425" t="s">
        <v>2107</v>
      </c>
    </row>
    <row r="2508" spans="1:2" ht="15" hidden="1" x14ac:dyDescent="0.25">
      <c r="A2508" s="425" t="s">
        <v>2108</v>
      </c>
      <c r="B2508" s="425" t="s">
        <v>2108</v>
      </c>
    </row>
    <row r="2509" spans="1:2" ht="15" hidden="1" x14ac:dyDescent="0.25">
      <c r="A2509" s="425" t="s">
        <v>2109</v>
      </c>
      <c r="B2509" s="425" t="s">
        <v>2109</v>
      </c>
    </row>
    <row r="2510" spans="1:2" ht="15" hidden="1" x14ac:dyDescent="0.25">
      <c r="A2510" s="425" t="s">
        <v>2110</v>
      </c>
      <c r="B2510" s="425" t="s">
        <v>2110</v>
      </c>
    </row>
    <row r="2511" spans="1:2" ht="15" hidden="1" x14ac:dyDescent="0.25">
      <c r="A2511" s="425" t="s">
        <v>2111</v>
      </c>
      <c r="B2511" s="425" t="s">
        <v>2111</v>
      </c>
    </row>
    <row r="2512" spans="1:2" ht="15" hidden="1" x14ac:dyDescent="0.25">
      <c r="A2512" s="425" t="s">
        <v>2112</v>
      </c>
      <c r="B2512" s="425" t="s">
        <v>2112</v>
      </c>
    </row>
    <row r="2513" spans="1:2" ht="15" hidden="1" x14ac:dyDescent="0.25">
      <c r="A2513" s="425" t="s">
        <v>2113</v>
      </c>
      <c r="B2513" s="425" t="s">
        <v>2113</v>
      </c>
    </row>
    <row r="2514" spans="1:2" ht="15" hidden="1" x14ac:dyDescent="0.25">
      <c r="A2514" s="425" t="s">
        <v>2114</v>
      </c>
      <c r="B2514" s="425" t="s">
        <v>2114</v>
      </c>
    </row>
    <row r="2515" spans="1:2" ht="15" hidden="1" x14ac:dyDescent="0.25">
      <c r="A2515" s="425" t="s">
        <v>2115</v>
      </c>
      <c r="B2515" s="425" t="s">
        <v>2115</v>
      </c>
    </row>
    <row r="2516" spans="1:2" ht="15" hidden="1" x14ac:dyDescent="0.25">
      <c r="A2516" s="425" t="s">
        <v>2116</v>
      </c>
      <c r="B2516" s="425" t="s">
        <v>2116</v>
      </c>
    </row>
    <row r="2517" spans="1:2" ht="15" hidden="1" x14ac:dyDescent="0.25">
      <c r="A2517" s="425" t="s">
        <v>2117</v>
      </c>
      <c r="B2517" s="425" t="s">
        <v>2117</v>
      </c>
    </row>
    <row r="2518" spans="1:2" ht="15" hidden="1" x14ac:dyDescent="0.25">
      <c r="A2518" s="425" t="s">
        <v>2118</v>
      </c>
      <c r="B2518" s="425" t="s">
        <v>2118</v>
      </c>
    </row>
    <row r="2519" spans="1:2" ht="15" hidden="1" x14ac:dyDescent="0.25">
      <c r="A2519" s="425" t="s">
        <v>2119</v>
      </c>
      <c r="B2519" s="425" t="s">
        <v>2119</v>
      </c>
    </row>
    <row r="2520" spans="1:2" ht="15" hidden="1" x14ac:dyDescent="0.25">
      <c r="A2520" s="425" t="s">
        <v>2120</v>
      </c>
      <c r="B2520" s="425" t="s">
        <v>2120</v>
      </c>
    </row>
    <row r="2521" spans="1:2" ht="15" hidden="1" x14ac:dyDescent="0.25">
      <c r="A2521" s="425" t="s">
        <v>2121</v>
      </c>
      <c r="B2521" s="425" t="s">
        <v>2121</v>
      </c>
    </row>
    <row r="2522" spans="1:2" ht="15" hidden="1" x14ac:dyDescent="0.25">
      <c r="A2522" s="425" t="s">
        <v>2122</v>
      </c>
      <c r="B2522" s="425" t="s">
        <v>2122</v>
      </c>
    </row>
    <row r="2523" spans="1:2" ht="15" hidden="1" x14ac:dyDescent="0.25">
      <c r="A2523" s="425" t="s">
        <v>2123</v>
      </c>
      <c r="B2523" s="425" t="s">
        <v>2123</v>
      </c>
    </row>
    <row r="2524" spans="1:2" ht="15" hidden="1" x14ac:dyDescent="0.25">
      <c r="A2524" s="425" t="s">
        <v>2124</v>
      </c>
      <c r="B2524" s="425" t="s">
        <v>2124</v>
      </c>
    </row>
    <row r="2525" spans="1:2" ht="15" hidden="1" x14ac:dyDescent="0.25">
      <c r="A2525" s="425" t="s">
        <v>2125</v>
      </c>
      <c r="B2525" s="425" t="s">
        <v>2125</v>
      </c>
    </row>
    <row r="2526" spans="1:2" ht="15" hidden="1" x14ac:dyDescent="0.25">
      <c r="A2526" s="425" t="s">
        <v>2126</v>
      </c>
      <c r="B2526" s="425" t="s">
        <v>2126</v>
      </c>
    </row>
    <row r="2527" spans="1:2" ht="15" hidden="1" x14ac:dyDescent="0.25">
      <c r="A2527" s="425" t="s">
        <v>2127</v>
      </c>
      <c r="B2527" s="425" t="s">
        <v>2127</v>
      </c>
    </row>
    <row r="2528" spans="1:2" ht="15" hidden="1" x14ac:dyDescent="0.25">
      <c r="A2528" s="425" t="s">
        <v>2128</v>
      </c>
      <c r="B2528" s="425" t="s">
        <v>2128</v>
      </c>
    </row>
    <row r="2529" spans="1:2" ht="15" hidden="1" x14ac:dyDescent="0.25">
      <c r="A2529" s="425" t="s">
        <v>2129</v>
      </c>
      <c r="B2529" s="425" t="s">
        <v>2129</v>
      </c>
    </row>
    <row r="2530" spans="1:2" ht="15" hidden="1" x14ac:dyDescent="0.25">
      <c r="A2530" s="425" t="s">
        <v>2130</v>
      </c>
      <c r="B2530" s="425" t="s">
        <v>2130</v>
      </c>
    </row>
    <row r="2531" spans="1:2" ht="15" hidden="1" x14ac:dyDescent="0.25">
      <c r="A2531" s="425" t="s">
        <v>2131</v>
      </c>
      <c r="B2531" s="425" t="s">
        <v>2132</v>
      </c>
    </row>
    <row r="2532" spans="1:2" ht="15" hidden="1" x14ac:dyDescent="0.25">
      <c r="A2532" s="425" t="s">
        <v>2133</v>
      </c>
      <c r="B2532" s="425" t="s">
        <v>2134</v>
      </c>
    </row>
    <row r="2533" spans="1:2" ht="15" hidden="1" x14ac:dyDescent="0.25">
      <c r="A2533" s="425" t="s">
        <v>2135</v>
      </c>
      <c r="B2533" s="425" t="s">
        <v>2136</v>
      </c>
    </row>
    <row r="2534" spans="1:2" ht="15" hidden="1" x14ac:dyDescent="0.25">
      <c r="A2534" s="425" t="s">
        <v>2137</v>
      </c>
      <c r="B2534" s="425" t="s">
        <v>2138</v>
      </c>
    </row>
    <row r="2535" spans="1:2" ht="15" hidden="1" x14ac:dyDescent="0.25">
      <c r="A2535" s="425" t="s">
        <v>2139</v>
      </c>
      <c r="B2535" s="425" t="s">
        <v>2059</v>
      </c>
    </row>
    <row r="2536" spans="1:2" ht="15" hidden="1" x14ac:dyDescent="0.25">
      <c r="A2536" s="425" t="s">
        <v>2140</v>
      </c>
      <c r="B2536" s="425" t="s">
        <v>2141</v>
      </c>
    </row>
    <row r="2537" spans="1:2" ht="15" hidden="1" x14ac:dyDescent="0.25">
      <c r="A2537" s="425" t="s">
        <v>2142</v>
      </c>
      <c r="B2537" s="425" t="s">
        <v>2143</v>
      </c>
    </row>
    <row r="2538" spans="1:2" ht="15" hidden="1" x14ac:dyDescent="0.25">
      <c r="A2538" s="425" t="s">
        <v>1533</v>
      </c>
      <c r="B2538" s="425" t="s">
        <v>1534</v>
      </c>
    </row>
    <row r="2539" spans="1:2" ht="15" hidden="1" x14ac:dyDescent="0.25">
      <c r="A2539" s="425" t="s">
        <v>2144</v>
      </c>
      <c r="B2539" s="425" t="s">
        <v>2145</v>
      </c>
    </row>
    <row r="2540" spans="1:2" ht="15" hidden="1" x14ac:dyDescent="0.25">
      <c r="A2540" s="425" t="s">
        <v>2146</v>
      </c>
      <c r="B2540" s="425" t="s">
        <v>2147</v>
      </c>
    </row>
    <row r="2541" spans="1:2" ht="15" hidden="1" x14ac:dyDescent="0.25">
      <c r="A2541" s="425" t="s">
        <v>1537</v>
      </c>
      <c r="B2541" s="425" t="s">
        <v>1538</v>
      </c>
    </row>
    <row r="2542" spans="1:2" ht="15" hidden="1" x14ac:dyDescent="0.25">
      <c r="A2542" s="425" t="s">
        <v>2148</v>
      </c>
      <c r="B2542" s="425" t="s">
        <v>2149</v>
      </c>
    </row>
    <row r="2543" spans="1:2" ht="15" hidden="1" x14ac:dyDescent="0.25">
      <c r="A2543" s="425" t="s">
        <v>1540</v>
      </c>
      <c r="B2543" s="425" t="s">
        <v>1541</v>
      </c>
    </row>
    <row r="2544" spans="1:2" ht="15" hidden="1" x14ac:dyDescent="0.25">
      <c r="A2544" s="425" t="s">
        <v>2150</v>
      </c>
      <c r="B2544" s="425" t="s">
        <v>2151</v>
      </c>
    </row>
    <row r="2545" spans="1:2" ht="15" hidden="1" x14ac:dyDescent="0.25">
      <c r="A2545" s="425" t="s">
        <v>2152</v>
      </c>
      <c r="B2545" s="425" t="s">
        <v>2153</v>
      </c>
    </row>
    <row r="2546" spans="1:2" ht="15" hidden="1" x14ac:dyDescent="0.25">
      <c r="A2546" s="425" t="s">
        <v>2154</v>
      </c>
      <c r="B2546" s="425" t="s">
        <v>2155</v>
      </c>
    </row>
    <row r="2547" spans="1:2" ht="15" hidden="1" x14ac:dyDescent="0.25">
      <c r="A2547" s="425" t="s">
        <v>2156</v>
      </c>
      <c r="B2547" s="425" t="s">
        <v>2157</v>
      </c>
    </row>
    <row r="2548" spans="1:2" ht="15" hidden="1" x14ac:dyDescent="0.25">
      <c r="A2548" s="425" t="s">
        <v>1669</v>
      </c>
      <c r="B2548" s="425" t="s">
        <v>1670</v>
      </c>
    </row>
    <row r="2549" spans="1:2" ht="15" hidden="1" x14ac:dyDescent="0.25">
      <c r="A2549" s="425" t="s">
        <v>2158</v>
      </c>
      <c r="B2549" s="425" t="s">
        <v>2159</v>
      </c>
    </row>
    <row r="2550" spans="1:2" ht="15" hidden="1" x14ac:dyDescent="0.25">
      <c r="A2550" s="425" t="s">
        <v>2158</v>
      </c>
      <c r="B2550" s="425" t="s">
        <v>2159</v>
      </c>
    </row>
    <row r="2551" spans="1:2" ht="15" hidden="1" x14ac:dyDescent="0.25">
      <c r="A2551" s="425" t="s">
        <v>2160</v>
      </c>
      <c r="B2551" s="425" t="s">
        <v>2161</v>
      </c>
    </row>
    <row r="2552" spans="1:2" ht="15" hidden="1" x14ac:dyDescent="0.25">
      <c r="A2552" s="425" t="s">
        <v>2162</v>
      </c>
      <c r="B2552" s="425" t="s">
        <v>2163</v>
      </c>
    </row>
    <row r="2553" spans="1:2" ht="15" hidden="1" x14ac:dyDescent="0.25">
      <c r="A2553" s="425" t="s">
        <v>2164</v>
      </c>
      <c r="B2553" s="425" t="s">
        <v>2165</v>
      </c>
    </row>
    <row r="2554" spans="1:2" ht="15" hidden="1" x14ac:dyDescent="0.25">
      <c r="A2554" s="425" t="s">
        <v>2166</v>
      </c>
      <c r="B2554" s="425" t="s">
        <v>2167</v>
      </c>
    </row>
    <row r="2555" spans="1:2" ht="15" hidden="1" x14ac:dyDescent="0.25">
      <c r="A2555" s="425" t="s">
        <v>2168</v>
      </c>
      <c r="B2555" s="425" t="s">
        <v>2169</v>
      </c>
    </row>
    <row r="2556" spans="1:2" ht="15" hidden="1" x14ac:dyDescent="0.25">
      <c r="A2556" s="425" t="s">
        <v>2168</v>
      </c>
      <c r="B2556" s="425" t="s">
        <v>2169</v>
      </c>
    </row>
    <row r="2557" spans="1:2" ht="15" hidden="1" x14ac:dyDescent="0.25">
      <c r="A2557" s="425" t="s">
        <v>2170</v>
      </c>
      <c r="B2557" s="425" t="s">
        <v>2171</v>
      </c>
    </row>
    <row r="2558" spans="1:2" ht="15" hidden="1" x14ac:dyDescent="0.25">
      <c r="A2558" s="425" t="s">
        <v>2172</v>
      </c>
      <c r="B2558" s="425" t="s">
        <v>2173</v>
      </c>
    </row>
    <row r="2559" spans="1:2" ht="15" hidden="1" x14ac:dyDescent="0.25">
      <c r="A2559" s="425" t="s">
        <v>2174</v>
      </c>
      <c r="B2559" s="425" t="s">
        <v>2175</v>
      </c>
    </row>
    <row r="2560" spans="1:2" ht="15" hidden="1" x14ac:dyDescent="0.25">
      <c r="A2560" s="425" t="s">
        <v>2176</v>
      </c>
      <c r="B2560" s="425" t="s">
        <v>2177</v>
      </c>
    </row>
    <row r="2561" spans="1:2" ht="15" hidden="1" x14ac:dyDescent="0.25">
      <c r="A2561" s="425" t="s">
        <v>2178</v>
      </c>
      <c r="B2561" s="425" t="s">
        <v>2179</v>
      </c>
    </row>
    <row r="2562" spans="1:2" ht="15" hidden="1" x14ac:dyDescent="0.25">
      <c r="A2562" s="425" t="s">
        <v>2180</v>
      </c>
      <c r="B2562" s="425" t="s">
        <v>2181</v>
      </c>
    </row>
    <row r="2563" spans="1:2" ht="15" hidden="1" x14ac:dyDescent="0.25">
      <c r="A2563" s="425" t="s">
        <v>2180</v>
      </c>
      <c r="B2563" s="425" t="s">
        <v>2181</v>
      </c>
    </row>
    <row r="2564" spans="1:2" ht="15" hidden="1" x14ac:dyDescent="0.25">
      <c r="A2564" s="425" t="s">
        <v>2182</v>
      </c>
      <c r="B2564" s="425" t="s">
        <v>2183</v>
      </c>
    </row>
    <row r="2565" spans="1:2" ht="15" hidden="1" x14ac:dyDescent="0.25">
      <c r="A2565" s="425" t="s">
        <v>2184</v>
      </c>
      <c r="B2565" s="425" t="s">
        <v>2185</v>
      </c>
    </row>
    <row r="2566" spans="1:2" ht="15" hidden="1" x14ac:dyDescent="0.25">
      <c r="A2566" s="425" t="s">
        <v>2186</v>
      </c>
      <c r="B2566" s="425" t="s">
        <v>2187</v>
      </c>
    </row>
    <row r="2567" spans="1:2" ht="15" hidden="1" x14ac:dyDescent="0.25">
      <c r="A2567" s="425" t="s">
        <v>2188</v>
      </c>
      <c r="B2567" s="425" t="s">
        <v>2189</v>
      </c>
    </row>
    <row r="2568" spans="1:2" ht="15" hidden="1" x14ac:dyDescent="0.25">
      <c r="A2568" s="425" t="s">
        <v>2188</v>
      </c>
      <c r="B2568" s="425" t="s">
        <v>2189</v>
      </c>
    </row>
    <row r="2569" spans="1:2" ht="15" hidden="1" x14ac:dyDescent="0.25">
      <c r="A2569" s="425" t="s">
        <v>2190</v>
      </c>
      <c r="B2569" s="425" t="s">
        <v>2191</v>
      </c>
    </row>
    <row r="2570" spans="1:2" ht="15" hidden="1" x14ac:dyDescent="0.25">
      <c r="A2570" s="425" t="s">
        <v>1603</v>
      </c>
      <c r="B2570" s="425" t="s">
        <v>1604</v>
      </c>
    </row>
    <row r="2571" spans="1:2" ht="15" hidden="1" x14ac:dyDescent="0.25">
      <c r="A2571" s="425" t="s">
        <v>2192</v>
      </c>
      <c r="B2571" s="425" t="s">
        <v>1226</v>
      </c>
    </row>
    <row r="2572" spans="1:2" ht="15" hidden="1" x14ac:dyDescent="0.25">
      <c r="A2572" s="425" t="s">
        <v>2193</v>
      </c>
      <c r="B2572" s="425" t="s">
        <v>2194</v>
      </c>
    </row>
    <row r="2573" spans="1:2" ht="15" hidden="1" x14ac:dyDescent="0.25">
      <c r="A2573" s="425" t="s">
        <v>2195</v>
      </c>
      <c r="B2573" s="425" t="s">
        <v>2196</v>
      </c>
    </row>
    <row r="2574" spans="1:2" ht="15" hidden="1" x14ac:dyDescent="0.25">
      <c r="A2574" s="425" t="s">
        <v>2197</v>
      </c>
      <c r="B2574" s="425" t="s">
        <v>2198</v>
      </c>
    </row>
    <row r="2575" spans="1:2" ht="15" hidden="1" x14ac:dyDescent="0.25">
      <c r="A2575" s="425" t="s">
        <v>1701</v>
      </c>
      <c r="B2575" s="425" t="s">
        <v>1702</v>
      </c>
    </row>
    <row r="2576" spans="1:2" ht="15" hidden="1" x14ac:dyDescent="0.25">
      <c r="A2576" s="425" t="s">
        <v>2199</v>
      </c>
      <c r="B2576" s="425" t="s">
        <v>2200</v>
      </c>
    </row>
    <row r="2577" spans="1:2" ht="15" hidden="1" x14ac:dyDescent="0.25">
      <c r="A2577" s="425" t="s">
        <v>2201</v>
      </c>
      <c r="B2577" s="425" t="s">
        <v>2202</v>
      </c>
    </row>
    <row r="2578" spans="1:2" ht="15" hidden="1" x14ac:dyDescent="0.25">
      <c r="A2578" s="425" t="s">
        <v>208</v>
      </c>
      <c r="B2578" s="425" t="s">
        <v>309</v>
      </c>
    </row>
    <row r="2579" spans="1:2" ht="15" hidden="1" x14ac:dyDescent="0.25">
      <c r="A2579" s="425" t="s">
        <v>208</v>
      </c>
      <c r="B2579" s="425" t="s">
        <v>309</v>
      </c>
    </row>
    <row r="2580" spans="1:2" ht="15" hidden="1" x14ac:dyDescent="0.25">
      <c r="A2580" s="425" t="s">
        <v>208</v>
      </c>
      <c r="B2580" s="425" t="s">
        <v>309</v>
      </c>
    </row>
    <row r="2581" spans="1:2" ht="15" hidden="1" x14ac:dyDescent="0.25">
      <c r="A2581" s="425" t="s">
        <v>208</v>
      </c>
      <c r="B2581" s="425" t="s">
        <v>309</v>
      </c>
    </row>
    <row r="2582" spans="1:2" ht="15" hidden="1" x14ac:dyDescent="0.25">
      <c r="A2582" s="425" t="s">
        <v>208</v>
      </c>
      <c r="B2582" s="425" t="s">
        <v>309</v>
      </c>
    </row>
    <row r="2583" spans="1:2" ht="15" hidden="1" x14ac:dyDescent="0.25">
      <c r="A2583" s="425" t="s">
        <v>208</v>
      </c>
      <c r="B2583" s="425" t="s">
        <v>309</v>
      </c>
    </row>
    <row r="2584" spans="1:2" ht="15" hidden="1" x14ac:dyDescent="0.25">
      <c r="A2584" s="425" t="s">
        <v>208</v>
      </c>
      <c r="B2584" s="425" t="s">
        <v>309</v>
      </c>
    </row>
    <row r="2585" spans="1:2" ht="15" hidden="1" x14ac:dyDescent="0.25">
      <c r="A2585" s="425" t="s">
        <v>179</v>
      </c>
      <c r="B2585" s="425" t="s">
        <v>311</v>
      </c>
    </row>
    <row r="2586" spans="1:2" ht="15" hidden="1" x14ac:dyDescent="0.25">
      <c r="A2586" s="425" t="s">
        <v>179</v>
      </c>
      <c r="B2586" s="425" t="s">
        <v>311</v>
      </c>
    </row>
    <row r="2587" spans="1:2" ht="15" hidden="1" x14ac:dyDescent="0.25">
      <c r="A2587" s="425" t="s">
        <v>179</v>
      </c>
      <c r="B2587" s="425" t="s">
        <v>311</v>
      </c>
    </row>
    <row r="2588" spans="1:2" ht="15" hidden="1" x14ac:dyDescent="0.25">
      <c r="A2588" s="425" t="s">
        <v>395</v>
      </c>
      <c r="B2588" s="425" t="s">
        <v>396</v>
      </c>
    </row>
    <row r="2589" spans="1:2" ht="15" hidden="1" x14ac:dyDescent="0.25">
      <c r="A2589" s="425" t="s">
        <v>1619</v>
      </c>
      <c r="B2589" s="425" t="s">
        <v>1620</v>
      </c>
    </row>
    <row r="2590" spans="1:2" ht="15" hidden="1" x14ac:dyDescent="0.25">
      <c r="A2590" s="425" t="s">
        <v>1455</v>
      </c>
      <c r="B2590" s="425" t="s">
        <v>1456</v>
      </c>
    </row>
    <row r="2591" spans="1:2" ht="15" hidden="1" x14ac:dyDescent="0.25">
      <c r="A2591" s="425" t="s">
        <v>1455</v>
      </c>
      <c r="B2591" s="425" t="s">
        <v>1456</v>
      </c>
    </row>
    <row r="2592" spans="1:2" ht="15" hidden="1" x14ac:dyDescent="0.25">
      <c r="A2592" s="426" t="s">
        <v>1455</v>
      </c>
      <c r="B2592" s="426" t="s">
        <v>1456</v>
      </c>
    </row>
    <row r="2593" spans="1:2" ht="15" hidden="1" x14ac:dyDescent="0.25">
      <c r="A2593" s="425" t="s">
        <v>1455</v>
      </c>
      <c r="B2593" s="425" t="s">
        <v>1456</v>
      </c>
    </row>
    <row r="2594" spans="1:2" ht="15" hidden="1" x14ac:dyDescent="0.25">
      <c r="A2594" s="425" t="s">
        <v>1455</v>
      </c>
      <c r="B2594" s="425" t="s">
        <v>1456</v>
      </c>
    </row>
    <row r="2595" spans="1:2" ht="15" hidden="1" x14ac:dyDescent="0.25">
      <c r="A2595" s="425" t="s">
        <v>182</v>
      </c>
      <c r="B2595" s="425" t="s">
        <v>315</v>
      </c>
    </row>
    <row r="2596" spans="1:2" ht="15" hidden="1" x14ac:dyDescent="0.25">
      <c r="A2596" s="425" t="s">
        <v>182</v>
      </c>
      <c r="B2596" s="425" t="s">
        <v>315</v>
      </c>
    </row>
    <row r="2597" spans="1:2" ht="15" hidden="1" x14ac:dyDescent="0.25">
      <c r="A2597" s="425" t="s">
        <v>182</v>
      </c>
      <c r="B2597" s="425" t="s">
        <v>315</v>
      </c>
    </row>
    <row r="2598" spans="1:2" ht="15" hidden="1" x14ac:dyDescent="0.25">
      <c r="A2598" s="425" t="s">
        <v>182</v>
      </c>
      <c r="B2598" s="425" t="s">
        <v>315</v>
      </c>
    </row>
    <row r="2599" spans="1:2" ht="15" hidden="1" x14ac:dyDescent="0.25">
      <c r="A2599" s="425" t="s">
        <v>182</v>
      </c>
      <c r="B2599" s="425" t="s">
        <v>315</v>
      </c>
    </row>
    <row r="2600" spans="1:2" ht="15" hidden="1" x14ac:dyDescent="0.25">
      <c r="A2600" s="425" t="s">
        <v>182</v>
      </c>
      <c r="B2600" s="425" t="s">
        <v>315</v>
      </c>
    </row>
    <row r="2601" spans="1:2" ht="15" hidden="1" x14ac:dyDescent="0.25">
      <c r="A2601" s="425" t="s">
        <v>182</v>
      </c>
      <c r="B2601" s="425" t="s">
        <v>315</v>
      </c>
    </row>
    <row r="2602" spans="1:2" ht="15" hidden="1" x14ac:dyDescent="0.25">
      <c r="A2602" s="425" t="s">
        <v>182</v>
      </c>
      <c r="B2602" s="425" t="s">
        <v>315</v>
      </c>
    </row>
    <row r="2603" spans="1:2" ht="15" hidden="1" x14ac:dyDescent="0.25">
      <c r="A2603" s="425" t="s">
        <v>182</v>
      </c>
      <c r="B2603" s="425" t="s">
        <v>315</v>
      </c>
    </row>
    <row r="2604" spans="1:2" ht="15" hidden="1" x14ac:dyDescent="0.25">
      <c r="A2604" s="425" t="s">
        <v>182</v>
      </c>
      <c r="B2604" s="425" t="s">
        <v>315</v>
      </c>
    </row>
    <row r="2605" spans="1:2" ht="15" hidden="1" x14ac:dyDescent="0.25">
      <c r="A2605" s="425" t="s">
        <v>182</v>
      </c>
      <c r="B2605" s="425" t="s">
        <v>315</v>
      </c>
    </row>
    <row r="2606" spans="1:2" ht="15" hidden="1" x14ac:dyDescent="0.25">
      <c r="A2606" s="425" t="s">
        <v>182</v>
      </c>
      <c r="B2606" s="425" t="s">
        <v>315</v>
      </c>
    </row>
    <row r="2607" spans="1:2" ht="15" hidden="1" x14ac:dyDescent="0.25">
      <c r="A2607" s="425" t="s">
        <v>210</v>
      </c>
      <c r="B2607" s="425" t="s">
        <v>316</v>
      </c>
    </row>
    <row r="2608" spans="1:2" ht="15" hidden="1" x14ac:dyDescent="0.25">
      <c r="A2608" s="425" t="s">
        <v>210</v>
      </c>
      <c r="B2608" s="425" t="s">
        <v>316</v>
      </c>
    </row>
    <row r="2609" spans="1:2" ht="15" hidden="1" x14ac:dyDescent="0.25">
      <c r="A2609" s="425" t="s">
        <v>210</v>
      </c>
      <c r="B2609" s="425" t="s">
        <v>316</v>
      </c>
    </row>
    <row r="2610" spans="1:2" ht="15" hidden="1" x14ac:dyDescent="0.25">
      <c r="A2610" s="425" t="s">
        <v>210</v>
      </c>
      <c r="B2610" s="425" t="s">
        <v>316</v>
      </c>
    </row>
    <row r="2611" spans="1:2" ht="15" hidden="1" x14ac:dyDescent="0.25">
      <c r="A2611" s="425" t="s">
        <v>183</v>
      </c>
      <c r="B2611" s="425" t="s">
        <v>317</v>
      </c>
    </row>
    <row r="2612" spans="1:2" ht="15" hidden="1" x14ac:dyDescent="0.25">
      <c r="A2612" s="425" t="s">
        <v>184</v>
      </c>
      <c r="B2612" s="425" t="s">
        <v>318</v>
      </c>
    </row>
    <row r="2613" spans="1:2" ht="15" hidden="1" x14ac:dyDescent="0.25">
      <c r="A2613" s="425" t="s">
        <v>184</v>
      </c>
      <c r="B2613" s="425" t="s">
        <v>318</v>
      </c>
    </row>
    <row r="2614" spans="1:2" ht="15" hidden="1" x14ac:dyDescent="0.25">
      <c r="A2614" s="425" t="s">
        <v>184</v>
      </c>
      <c r="B2614" s="425" t="s">
        <v>318</v>
      </c>
    </row>
    <row r="2615" spans="1:2" ht="15" hidden="1" x14ac:dyDescent="0.25">
      <c r="A2615" s="425" t="s">
        <v>184</v>
      </c>
      <c r="B2615" s="425" t="s">
        <v>318</v>
      </c>
    </row>
    <row r="2616" spans="1:2" ht="15" hidden="1" x14ac:dyDescent="0.25">
      <c r="A2616" s="425" t="s">
        <v>185</v>
      </c>
      <c r="B2616" s="425" t="s">
        <v>319</v>
      </c>
    </row>
    <row r="2617" spans="1:2" ht="15" hidden="1" x14ac:dyDescent="0.25">
      <c r="A2617" s="425" t="s">
        <v>185</v>
      </c>
      <c r="B2617" s="425" t="s">
        <v>319</v>
      </c>
    </row>
    <row r="2618" spans="1:2" ht="15" hidden="1" x14ac:dyDescent="0.25">
      <c r="A2618" s="425" t="s">
        <v>185</v>
      </c>
      <c r="B2618" s="425" t="s">
        <v>319</v>
      </c>
    </row>
    <row r="2619" spans="1:2" ht="15" hidden="1" x14ac:dyDescent="0.25">
      <c r="A2619" s="425" t="s">
        <v>185</v>
      </c>
      <c r="B2619" s="425" t="s">
        <v>319</v>
      </c>
    </row>
    <row r="2620" spans="1:2" ht="15" hidden="1" x14ac:dyDescent="0.25">
      <c r="A2620" s="425" t="s">
        <v>185</v>
      </c>
      <c r="B2620" s="425" t="s">
        <v>319</v>
      </c>
    </row>
    <row r="2621" spans="1:2" ht="15" hidden="1" x14ac:dyDescent="0.25">
      <c r="A2621" s="425" t="s">
        <v>185</v>
      </c>
      <c r="B2621" s="425" t="s">
        <v>319</v>
      </c>
    </row>
    <row r="2622" spans="1:2" ht="15" hidden="1" x14ac:dyDescent="0.25">
      <c r="A2622" s="425" t="s">
        <v>185</v>
      </c>
      <c r="B2622" s="425" t="s">
        <v>319</v>
      </c>
    </row>
    <row r="2623" spans="1:2" ht="15" hidden="1" x14ac:dyDescent="0.25">
      <c r="A2623" s="425" t="s">
        <v>185</v>
      </c>
      <c r="B2623" s="425" t="s">
        <v>319</v>
      </c>
    </row>
    <row r="2624" spans="1:2" ht="15" hidden="1" x14ac:dyDescent="0.25">
      <c r="A2624" s="425" t="s">
        <v>185</v>
      </c>
      <c r="B2624" s="425" t="s">
        <v>319</v>
      </c>
    </row>
    <row r="2625" spans="1:2" ht="15" hidden="1" x14ac:dyDescent="0.25">
      <c r="A2625" s="425" t="s">
        <v>185</v>
      </c>
      <c r="B2625" s="425" t="s">
        <v>319</v>
      </c>
    </row>
    <row r="2626" spans="1:2" ht="15" hidden="1" x14ac:dyDescent="0.25">
      <c r="A2626" s="425" t="s">
        <v>185</v>
      </c>
      <c r="B2626" s="425" t="s">
        <v>319</v>
      </c>
    </row>
    <row r="2627" spans="1:2" ht="15" hidden="1" x14ac:dyDescent="0.25">
      <c r="A2627" s="425" t="s">
        <v>185</v>
      </c>
      <c r="B2627" s="425" t="s">
        <v>319</v>
      </c>
    </row>
    <row r="2628" spans="1:2" ht="15" hidden="1" x14ac:dyDescent="0.25">
      <c r="A2628" s="425" t="s">
        <v>185</v>
      </c>
      <c r="B2628" s="425" t="s">
        <v>319</v>
      </c>
    </row>
    <row r="2629" spans="1:2" ht="15" hidden="1" x14ac:dyDescent="0.25">
      <c r="A2629" s="425" t="s">
        <v>185</v>
      </c>
      <c r="B2629" s="425" t="s">
        <v>319</v>
      </c>
    </row>
    <row r="2630" spans="1:2" ht="15" hidden="1" x14ac:dyDescent="0.25">
      <c r="A2630" s="425" t="s">
        <v>185</v>
      </c>
      <c r="B2630" s="425" t="s">
        <v>319</v>
      </c>
    </row>
    <row r="2631" spans="1:2" ht="15" hidden="1" x14ac:dyDescent="0.25">
      <c r="A2631" s="425" t="s">
        <v>185</v>
      </c>
      <c r="B2631" s="425" t="s">
        <v>319</v>
      </c>
    </row>
    <row r="2632" spans="1:2" ht="15" hidden="1" x14ac:dyDescent="0.25">
      <c r="A2632" s="425" t="s">
        <v>185</v>
      </c>
      <c r="B2632" s="425" t="s">
        <v>319</v>
      </c>
    </row>
    <row r="2633" spans="1:2" ht="15" hidden="1" x14ac:dyDescent="0.25">
      <c r="A2633" s="425" t="s">
        <v>185</v>
      </c>
      <c r="B2633" s="425" t="s">
        <v>319</v>
      </c>
    </row>
    <row r="2634" spans="1:2" ht="15" hidden="1" x14ac:dyDescent="0.25">
      <c r="A2634" s="425" t="s">
        <v>185</v>
      </c>
      <c r="B2634" s="425" t="s">
        <v>319</v>
      </c>
    </row>
    <row r="2635" spans="1:2" ht="15" hidden="1" x14ac:dyDescent="0.25">
      <c r="A2635" s="425" t="s">
        <v>185</v>
      </c>
      <c r="B2635" s="425" t="s">
        <v>319</v>
      </c>
    </row>
    <row r="2636" spans="1:2" ht="15" hidden="1" x14ac:dyDescent="0.25">
      <c r="A2636" s="425" t="s">
        <v>185</v>
      </c>
      <c r="B2636" s="425" t="s">
        <v>319</v>
      </c>
    </row>
    <row r="2637" spans="1:2" ht="15" hidden="1" x14ac:dyDescent="0.25">
      <c r="A2637" s="425" t="s">
        <v>185</v>
      </c>
      <c r="B2637" s="425" t="s">
        <v>319</v>
      </c>
    </row>
    <row r="2638" spans="1:2" ht="15" hidden="1" x14ac:dyDescent="0.25">
      <c r="A2638" s="425" t="s">
        <v>185</v>
      </c>
      <c r="B2638" s="425" t="s">
        <v>319</v>
      </c>
    </row>
    <row r="2639" spans="1:2" ht="15" hidden="1" x14ac:dyDescent="0.25">
      <c r="A2639" s="425" t="s">
        <v>185</v>
      </c>
      <c r="B2639" s="425" t="s">
        <v>319</v>
      </c>
    </row>
    <row r="2640" spans="1:2" ht="15" hidden="1" x14ac:dyDescent="0.25">
      <c r="A2640" s="425" t="s">
        <v>185</v>
      </c>
      <c r="B2640" s="425" t="s">
        <v>319</v>
      </c>
    </row>
    <row r="2641" spans="1:2" ht="15" hidden="1" x14ac:dyDescent="0.25">
      <c r="A2641" s="425" t="s">
        <v>185</v>
      </c>
      <c r="B2641" s="425" t="s">
        <v>319</v>
      </c>
    </row>
    <row r="2642" spans="1:2" ht="15" hidden="1" x14ac:dyDescent="0.25">
      <c r="A2642" s="425" t="s">
        <v>187</v>
      </c>
      <c r="B2642" s="425" t="s">
        <v>322</v>
      </c>
    </row>
    <row r="2643" spans="1:2" ht="15" hidden="1" x14ac:dyDescent="0.25">
      <c r="A2643" s="425" t="s">
        <v>187</v>
      </c>
      <c r="B2643" s="425" t="s">
        <v>322</v>
      </c>
    </row>
    <row r="2644" spans="1:2" ht="15" hidden="1" x14ac:dyDescent="0.25">
      <c r="A2644" s="425" t="s">
        <v>187</v>
      </c>
      <c r="B2644" s="425" t="s">
        <v>322</v>
      </c>
    </row>
    <row r="2645" spans="1:2" ht="15" hidden="1" x14ac:dyDescent="0.25">
      <c r="A2645" s="425" t="s">
        <v>187</v>
      </c>
      <c r="B2645" s="425" t="s">
        <v>322</v>
      </c>
    </row>
    <row r="2646" spans="1:2" ht="15" hidden="1" x14ac:dyDescent="0.25">
      <c r="A2646" s="425" t="s">
        <v>187</v>
      </c>
      <c r="B2646" s="425" t="s">
        <v>322</v>
      </c>
    </row>
    <row r="2647" spans="1:2" ht="15" hidden="1" x14ac:dyDescent="0.25">
      <c r="A2647" s="425" t="s">
        <v>1459</v>
      </c>
      <c r="B2647" s="425" t="s">
        <v>1460</v>
      </c>
    </row>
    <row r="2648" spans="1:2" ht="15" hidden="1" x14ac:dyDescent="0.25">
      <c r="A2648" s="425" t="s">
        <v>188</v>
      </c>
      <c r="B2648" s="425" t="s">
        <v>323</v>
      </c>
    </row>
    <row r="2649" spans="1:2" ht="15" hidden="1" x14ac:dyDescent="0.25">
      <c r="A2649" s="425" t="s">
        <v>188</v>
      </c>
      <c r="B2649" s="425" t="s">
        <v>323</v>
      </c>
    </row>
    <row r="2650" spans="1:2" ht="15" hidden="1" x14ac:dyDescent="0.25">
      <c r="A2650" s="425" t="s">
        <v>188</v>
      </c>
      <c r="B2650" s="425" t="s">
        <v>323</v>
      </c>
    </row>
    <row r="2651" spans="1:2" ht="15" hidden="1" x14ac:dyDescent="0.25">
      <c r="A2651" s="425" t="s">
        <v>188</v>
      </c>
      <c r="B2651" s="425" t="s">
        <v>323</v>
      </c>
    </row>
    <row r="2652" spans="1:2" ht="15" hidden="1" x14ac:dyDescent="0.25">
      <c r="A2652" s="425" t="s">
        <v>1269</v>
      </c>
      <c r="B2652" s="425" t="s">
        <v>1270</v>
      </c>
    </row>
    <row r="2653" spans="1:2" ht="15" hidden="1" x14ac:dyDescent="0.25">
      <c r="A2653" s="425" t="s">
        <v>1269</v>
      </c>
      <c r="B2653" s="425" t="s">
        <v>1270</v>
      </c>
    </row>
    <row r="2654" spans="1:2" ht="15" hidden="1" x14ac:dyDescent="0.25">
      <c r="A2654" s="425" t="s">
        <v>1269</v>
      </c>
      <c r="B2654" s="425" t="s">
        <v>1270</v>
      </c>
    </row>
    <row r="2655" spans="1:2" ht="15" hidden="1" x14ac:dyDescent="0.25">
      <c r="A2655" s="425" t="s">
        <v>1269</v>
      </c>
      <c r="B2655" s="425" t="s">
        <v>1270</v>
      </c>
    </row>
    <row r="2656" spans="1:2" ht="15" hidden="1" x14ac:dyDescent="0.25">
      <c r="A2656" s="425" t="s">
        <v>1269</v>
      </c>
      <c r="B2656" s="425" t="s">
        <v>1270</v>
      </c>
    </row>
    <row r="2657" spans="1:2" ht="15" hidden="1" x14ac:dyDescent="0.25">
      <c r="A2657" s="425" t="s">
        <v>1269</v>
      </c>
      <c r="B2657" s="425" t="s">
        <v>1270</v>
      </c>
    </row>
    <row r="2658" spans="1:2" ht="15" hidden="1" x14ac:dyDescent="0.25">
      <c r="A2658" s="425" t="s">
        <v>1269</v>
      </c>
      <c r="B2658" s="425" t="s">
        <v>1270</v>
      </c>
    </row>
    <row r="2659" spans="1:2" ht="15" hidden="1" x14ac:dyDescent="0.25">
      <c r="A2659" s="425" t="s">
        <v>1269</v>
      </c>
      <c r="B2659" s="425" t="s">
        <v>1270</v>
      </c>
    </row>
    <row r="2660" spans="1:2" ht="15" hidden="1" x14ac:dyDescent="0.25">
      <c r="A2660" s="425" t="s">
        <v>2203</v>
      </c>
      <c r="B2660" s="425" t="s">
        <v>2203</v>
      </c>
    </row>
    <row r="2661" spans="1:2" ht="15" hidden="1" x14ac:dyDescent="0.25">
      <c r="A2661" s="425" t="s">
        <v>2204</v>
      </c>
      <c r="B2661" s="425" t="s">
        <v>2204</v>
      </c>
    </row>
    <row r="2662" spans="1:2" ht="15" hidden="1" x14ac:dyDescent="0.25">
      <c r="A2662" s="425" t="s">
        <v>2205</v>
      </c>
      <c r="B2662" s="425" t="s">
        <v>2205</v>
      </c>
    </row>
    <row r="2663" spans="1:2" ht="15" hidden="1" x14ac:dyDescent="0.25">
      <c r="A2663" s="425" t="s">
        <v>2206</v>
      </c>
      <c r="B2663" s="425" t="s">
        <v>2206</v>
      </c>
    </row>
    <row r="2664" spans="1:2" ht="15" hidden="1" x14ac:dyDescent="0.25">
      <c r="A2664" s="425" t="s">
        <v>2207</v>
      </c>
      <c r="B2664" s="425" t="s">
        <v>2207</v>
      </c>
    </row>
    <row r="2665" spans="1:2" ht="15" hidden="1" x14ac:dyDescent="0.25">
      <c r="A2665" s="425" t="s">
        <v>2208</v>
      </c>
      <c r="B2665" s="425" t="s">
        <v>2208</v>
      </c>
    </row>
    <row r="2666" spans="1:2" ht="15" hidden="1" x14ac:dyDescent="0.25">
      <c r="A2666" s="425" t="s">
        <v>2209</v>
      </c>
      <c r="B2666" s="425" t="s">
        <v>2209</v>
      </c>
    </row>
    <row r="2667" spans="1:2" ht="15" hidden="1" x14ac:dyDescent="0.25">
      <c r="A2667" s="425" t="s">
        <v>2210</v>
      </c>
      <c r="B2667" s="425" t="s">
        <v>2210</v>
      </c>
    </row>
    <row r="2668" spans="1:2" ht="15" hidden="1" x14ac:dyDescent="0.25">
      <c r="A2668" s="425" t="s">
        <v>2210</v>
      </c>
      <c r="B2668" s="425" t="s">
        <v>2210</v>
      </c>
    </row>
    <row r="2669" spans="1:2" ht="15" hidden="1" x14ac:dyDescent="0.25">
      <c r="A2669" s="425" t="s">
        <v>2211</v>
      </c>
      <c r="B2669" s="425" t="s">
        <v>2211</v>
      </c>
    </row>
    <row r="2670" spans="1:2" ht="15" hidden="1" x14ac:dyDescent="0.25">
      <c r="A2670" s="425" t="s">
        <v>2212</v>
      </c>
      <c r="B2670" s="425" t="s">
        <v>2212</v>
      </c>
    </row>
    <row r="2671" spans="1:2" ht="15" hidden="1" x14ac:dyDescent="0.25">
      <c r="A2671" s="425" t="s">
        <v>2213</v>
      </c>
      <c r="B2671" s="425" t="s">
        <v>2213</v>
      </c>
    </row>
    <row r="2672" spans="1:2" ht="15" hidden="1" x14ac:dyDescent="0.25">
      <c r="A2672" s="425" t="s">
        <v>2214</v>
      </c>
      <c r="B2672" s="425" t="s">
        <v>2214</v>
      </c>
    </row>
    <row r="2673" spans="1:2" ht="15" hidden="1" x14ac:dyDescent="0.25">
      <c r="A2673" s="425" t="s">
        <v>2215</v>
      </c>
      <c r="B2673" s="425" t="s">
        <v>2215</v>
      </c>
    </row>
    <row r="2674" spans="1:2" ht="15" hidden="1" x14ac:dyDescent="0.25">
      <c r="A2674" s="425" t="s">
        <v>2216</v>
      </c>
      <c r="B2674" s="425" t="s">
        <v>2216</v>
      </c>
    </row>
    <row r="2675" spans="1:2" ht="15" hidden="1" x14ac:dyDescent="0.25">
      <c r="A2675" s="425" t="s">
        <v>2217</v>
      </c>
      <c r="B2675" s="425" t="s">
        <v>2217</v>
      </c>
    </row>
    <row r="2676" spans="1:2" ht="15" hidden="1" x14ac:dyDescent="0.25">
      <c r="A2676" s="425" t="s">
        <v>2218</v>
      </c>
      <c r="B2676" s="425" t="s">
        <v>2218</v>
      </c>
    </row>
    <row r="2677" spans="1:2" ht="15" hidden="1" x14ac:dyDescent="0.25">
      <c r="A2677" s="425" t="s">
        <v>2219</v>
      </c>
      <c r="B2677" s="425" t="s">
        <v>2219</v>
      </c>
    </row>
    <row r="2678" spans="1:2" ht="15" hidden="1" x14ac:dyDescent="0.25">
      <c r="A2678" s="425" t="s">
        <v>2220</v>
      </c>
      <c r="B2678" s="425" t="s">
        <v>2220</v>
      </c>
    </row>
    <row r="2679" spans="1:2" ht="15" hidden="1" x14ac:dyDescent="0.25">
      <c r="A2679" s="425" t="s">
        <v>2221</v>
      </c>
      <c r="B2679" s="425" t="s">
        <v>2221</v>
      </c>
    </row>
    <row r="2680" spans="1:2" ht="15" hidden="1" x14ac:dyDescent="0.25">
      <c r="A2680" s="425" t="s">
        <v>2222</v>
      </c>
      <c r="B2680" s="425" t="s">
        <v>2222</v>
      </c>
    </row>
    <row r="2681" spans="1:2" ht="15" hidden="1" x14ac:dyDescent="0.25">
      <c r="A2681" s="425" t="s">
        <v>2223</v>
      </c>
      <c r="B2681" s="425" t="s">
        <v>2223</v>
      </c>
    </row>
    <row r="2682" spans="1:2" ht="15" hidden="1" x14ac:dyDescent="0.25">
      <c r="A2682" s="425" t="s">
        <v>2224</v>
      </c>
      <c r="B2682" s="425" t="s">
        <v>2224</v>
      </c>
    </row>
    <row r="2683" spans="1:2" ht="15" hidden="1" x14ac:dyDescent="0.25">
      <c r="A2683" s="425" t="s">
        <v>2225</v>
      </c>
      <c r="B2683" s="425" t="s">
        <v>2225</v>
      </c>
    </row>
    <row r="2684" spans="1:2" ht="15" hidden="1" x14ac:dyDescent="0.25">
      <c r="A2684" s="425" t="s">
        <v>2226</v>
      </c>
      <c r="B2684" s="425" t="s">
        <v>2226</v>
      </c>
    </row>
    <row r="2685" spans="1:2" ht="15" hidden="1" x14ac:dyDescent="0.25">
      <c r="A2685" s="425" t="s">
        <v>2227</v>
      </c>
      <c r="B2685" s="425" t="s">
        <v>2227</v>
      </c>
    </row>
    <row r="2686" spans="1:2" ht="15" hidden="1" x14ac:dyDescent="0.25">
      <c r="A2686" s="425" t="s">
        <v>2228</v>
      </c>
      <c r="B2686" s="425" t="s">
        <v>2228</v>
      </c>
    </row>
    <row r="2687" spans="1:2" ht="15" hidden="1" x14ac:dyDescent="0.25">
      <c r="A2687" s="425" t="s">
        <v>2229</v>
      </c>
      <c r="B2687" s="425" t="s">
        <v>2229</v>
      </c>
    </row>
    <row r="2688" spans="1:2" ht="15" hidden="1" x14ac:dyDescent="0.25">
      <c r="A2688" s="425" t="s">
        <v>2230</v>
      </c>
      <c r="B2688" s="425" t="s">
        <v>2230</v>
      </c>
    </row>
    <row r="2689" spans="1:2" ht="15" hidden="1" x14ac:dyDescent="0.25">
      <c r="A2689" s="425" t="s">
        <v>2231</v>
      </c>
      <c r="B2689" s="425" t="s">
        <v>2231</v>
      </c>
    </row>
    <row r="2690" spans="1:2" ht="15" hidden="1" x14ac:dyDescent="0.25">
      <c r="A2690" s="425" t="s">
        <v>2232</v>
      </c>
      <c r="B2690" s="425" t="s">
        <v>2232</v>
      </c>
    </row>
    <row r="2691" spans="1:2" ht="15" hidden="1" x14ac:dyDescent="0.25">
      <c r="A2691" s="425" t="s">
        <v>2233</v>
      </c>
      <c r="B2691" s="425" t="s">
        <v>2233</v>
      </c>
    </row>
    <row r="2692" spans="1:2" ht="15" hidden="1" x14ac:dyDescent="0.25">
      <c r="A2692" s="425" t="s">
        <v>2233</v>
      </c>
      <c r="B2692" s="425" t="s">
        <v>2233</v>
      </c>
    </row>
    <row r="2693" spans="1:2" ht="15" hidden="1" x14ac:dyDescent="0.25">
      <c r="A2693" s="425" t="s">
        <v>2234</v>
      </c>
      <c r="B2693" s="425" t="s">
        <v>2234</v>
      </c>
    </row>
    <row r="2694" spans="1:2" ht="15" hidden="1" x14ac:dyDescent="0.25">
      <c r="A2694" s="425" t="s">
        <v>2235</v>
      </c>
      <c r="B2694" s="425" t="s">
        <v>2235</v>
      </c>
    </row>
    <row r="2695" spans="1:2" ht="15" hidden="1" x14ac:dyDescent="0.25">
      <c r="A2695" s="425" t="s">
        <v>2236</v>
      </c>
      <c r="B2695" s="425" t="s">
        <v>2236</v>
      </c>
    </row>
    <row r="2696" spans="1:2" ht="15" hidden="1" x14ac:dyDescent="0.25">
      <c r="A2696" s="425" t="s">
        <v>2237</v>
      </c>
      <c r="B2696" s="425" t="s">
        <v>2237</v>
      </c>
    </row>
    <row r="2697" spans="1:2" ht="15" hidden="1" x14ac:dyDescent="0.25">
      <c r="A2697" s="425" t="s">
        <v>2238</v>
      </c>
      <c r="B2697" s="425" t="s">
        <v>2238</v>
      </c>
    </row>
    <row r="2698" spans="1:2" ht="15" hidden="1" x14ac:dyDescent="0.25">
      <c r="A2698" s="425" t="s">
        <v>2239</v>
      </c>
      <c r="B2698" s="425" t="s">
        <v>2239</v>
      </c>
    </row>
    <row r="2699" spans="1:2" ht="15" hidden="1" x14ac:dyDescent="0.25">
      <c r="A2699" s="425" t="s">
        <v>2240</v>
      </c>
      <c r="B2699" s="425" t="s">
        <v>2240</v>
      </c>
    </row>
    <row r="2700" spans="1:2" ht="15" hidden="1" x14ac:dyDescent="0.25">
      <c r="A2700" s="425" t="s">
        <v>2241</v>
      </c>
      <c r="B2700" s="425" t="s">
        <v>2241</v>
      </c>
    </row>
    <row r="2701" spans="1:2" ht="15" hidden="1" x14ac:dyDescent="0.25">
      <c r="A2701" s="425" t="s">
        <v>2241</v>
      </c>
      <c r="B2701" s="425" t="s">
        <v>2241</v>
      </c>
    </row>
    <row r="2702" spans="1:2" ht="15" hidden="1" x14ac:dyDescent="0.25">
      <c r="A2702" s="425" t="s">
        <v>2242</v>
      </c>
      <c r="B2702" s="425" t="s">
        <v>2242</v>
      </c>
    </row>
    <row r="2703" spans="1:2" ht="15" hidden="1" x14ac:dyDescent="0.25">
      <c r="A2703" s="425" t="s">
        <v>2242</v>
      </c>
      <c r="B2703" s="425" t="s">
        <v>2242</v>
      </c>
    </row>
    <row r="2704" spans="1:2" ht="15" hidden="1" x14ac:dyDescent="0.25">
      <c r="A2704" s="425" t="s">
        <v>2243</v>
      </c>
      <c r="B2704" s="425" t="s">
        <v>2243</v>
      </c>
    </row>
    <row r="2705" spans="1:2" ht="15" hidden="1" x14ac:dyDescent="0.25">
      <c r="A2705" s="425" t="s">
        <v>2243</v>
      </c>
      <c r="B2705" s="425" t="s">
        <v>2243</v>
      </c>
    </row>
    <row r="2706" spans="1:2" ht="15" hidden="1" x14ac:dyDescent="0.25">
      <c r="A2706" s="425" t="s">
        <v>2244</v>
      </c>
      <c r="B2706" s="425" t="s">
        <v>2244</v>
      </c>
    </row>
    <row r="2707" spans="1:2" ht="15" hidden="1" x14ac:dyDescent="0.25">
      <c r="A2707" s="425" t="s">
        <v>2245</v>
      </c>
      <c r="B2707" s="425" t="s">
        <v>2245</v>
      </c>
    </row>
    <row r="2708" spans="1:2" ht="15" hidden="1" x14ac:dyDescent="0.25">
      <c r="A2708" s="425" t="s">
        <v>2246</v>
      </c>
      <c r="B2708" s="425" t="s">
        <v>2246</v>
      </c>
    </row>
    <row r="2709" spans="1:2" ht="15" hidden="1" x14ac:dyDescent="0.25">
      <c r="A2709" s="425" t="s">
        <v>2247</v>
      </c>
      <c r="B2709" s="425" t="s">
        <v>2247</v>
      </c>
    </row>
    <row r="2710" spans="1:2" ht="15" hidden="1" x14ac:dyDescent="0.25">
      <c r="A2710" s="425" t="s">
        <v>2248</v>
      </c>
      <c r="B2710" s="425" t="s">
        <v>2248</v>
      </c>
    </row>
    <row r="2711" spans="1:2" ht="15" hidden="1" x14ac:dyDescent="0.25">
      <c r="A2711" s="425" t="s">
        <v>2249</v>
      </c>
      <c r="B2711" s="425" t="s">
        <v>2249</v>
      </c>
    </row>
    <row r="2712" spans="1:2" ht="15" hidden="1" x14ac:dyDescent="0.25">
      <c r="A2712" s="425" t="s">
        <v>2250</v>
      </c>
      <c r="B2712" s="425" t="s">
        <v>2250</v>
      </c>
    </row>
    <row r="2713" spans="1:2" ht="15" hidden="1" x14ac:dyDescent="0.25">
      <c r="A2713" s="425" t="s">
        <v>2251</v>
      </c>
      <c r="B2713" s="425" t="s">
        <v>2251</v>
      </c>
    </row>
    <row r="2714" spans="1:2" ht="15" hidden="1" x14ac:dyDescent="0.25">
      <c r="A2714" s="425" t="s">
        <v>2252</v>
      </c>
      <c r="B2714" s="425" t="s">
        <v>2252</v>
      </c>
    </row>
    <row r="2715" spans="1:2" ht="15" hidden="1" x14ac:dyDescent="0.25">
      <c r="A2715" s="425" t="s">
        <v>2253</v>
      </c>
      <c r="B2715" s="425" t="s">
        <v>2253</v>
      </c>
    </row>
    <row r="2716" spans="1:2" ht="15" hidden="1" x14ac:dyDescent="0.25">
      <c r="A2716" s="425" t="s">
        <v>2254</v>
      </c>
      <c r="B2716" s="425" t="s">
        <v>2254</v>
      </c>
    </row>
    <row r="2717" spans="1:2" ht="15" hidden="1" x14ac:dyDescent="0.25">
      <c r="A2717" s="425" t="s">
        <v>2255</v>
      </c>
      <c r="B2717" s="425" t="s">
        <v>2255</v>
      </c>
    </row>
    <row r="2718" spans="1:2" ht="15" hidden="1" x14ac:dyDescent="0.25">
      <c r="A2718" s="425" t="s">
        <v>2256</v>
      </c>
      <c r="B2718" s="425" t="s">
        <v>2256</v>
      </c>
    </row>
    <row r="2719" spans="1:2" ht="15" hidden="1" x14ac:dyDescent="0.25">
      <c r="A2719" s="425" t="s">
        <v>2256</v>
      </c>
      <c r="B2719" s="425" t="s">
        <v>2256</v>
      </c>
    </row>
    <row r="2720" spans="1:2" ht="15" hidden="1" x14ac:dyDescent="0.25">
      <c r="A2720" s="425" t="s">
        <v>2257</v>
      </c>
      <c r="B2720" s="425" t="s">
        <v>2257</v>
      </c>
    </row>
    <row r="2721" spans="1:2" ht="15" hidden="1" x14ac:dyDescent="0.25">
      <c r="A2721" s="425" t="s">
        <v>2258</v>
      </c>
      <c r="B2721" s="425" t="s">
        <v>2258</v>
      </c>
    </row>
    <row r="2722" spans="1:2" ht="15" hidden="1" x14ac:dyDescent="0.25">
      <c r="A2722" s="425" t="s">
        <v>2259</v>
      </c>
      <c r="B2722" s="425" t="s">
        <v>2259</v>
      </c>
    </row>
    <row r="2723" spans="1:2" ht="15" hidden="1" x14ac:dyDescent="0.25">
      <c r="A2723" s="425" t="s">
        <v>2260</v>
      </c>
      <c r="B2723" s="425" t="s">
        <v>2260</v>
      </c>
    </row>
    <row r="2724" spans="1:2" ht="15" hidden="1" x14ac:dyDescent="0.25">
      <c r="A2724" s="425" t="s">
        <v>2261</v>
      </c>
      <c r="B2724" s="425" t="s">
        <v>2261</v>
      </c>
    </row>
    <row r="2725" spans="1:2" ht="15" hidden="1" x14ac:dyDescent="0.25">
      <c r="A2725" s="425" t="s">
        <v>2262</v>
      </c>
      <c r="B2725" s="425" t="s">
        <v>2262</v>
      </c>
    </row>
    <row r="2726" spans="1:2" ht="15" hidden="1" x14ac:dyDescent="0.25">
      <c r="A2726" s="425" t="s">
        <v>2263</v>
      </c>
      <c r="B2726" s="425" t="s">
        <v>2263</v>
      </c>
    </row>
    <row r="2727" spans="1:2" ht="15" hidden="1" x14ac:dyDescent="0.25">
      <c r="A2727" s="425" t="s">
        <v>2264</v>
      </c>
      <c r="B2727" s="425" t="s">
        <v>2264</v>
      </c>
    </row>
    <row r="2728" spans="1:2" ht="15" hidden="1" x14ac:dyDescent="0.25">
      <c r="A2728" s="425" t="s">
        <v>2265</v>
      </c>
      <c r="B2728" s="425" t="s">
        <v>2265</v>
      </c>
    </row>
    <row r="2729" spans="1:2" ht="15" hidden="1" x14ac:dyDescent="0.25">
      <c r="A2729" s="425" t="s">
        <v>2266</v>
      </c>
      <c r="B2729" s="425" t="s">
        <v>2266</v>
      </c>
    </row>
    <row r="2730" spans="1:2" ht="15" hidden="1" x14ac:dyDescent="0.25">
      <c r="A2730" s="425" t="s">
        <v>2267</v>
      </c>
      <c r="B2730" s="425" t="s">
        <v>2248</v>
      </c>
    </row>
    <row r="2731" spans="1:2" ht="15" hidden="1" x14ac:dyDescent="0.25">
      <c r="A2731" s="425" t="s">
        <v>2268</v>
      </c>
      <c r="B2731" s="425" t="s">
        <v>2269</v>
      </c>
    </row>
    <row r="2732" spans="1:2" ht="15" hidden="1" x14ac:dyDescent="0.25">
      <c r="A2732" s="425" t="s">
        <v>2270</v>
      </c>
      <c r="B2732" s="425" t="s">
        <v>2271</v>
      </c>
    </row>
    <row r="2733" spans="1:2" ht="15" hidden="1" x14ac:dyDescent="0.25">
      <c r="A2733" s="425" t="s">
        <v>1768</v>
      </c>
      <c r="B2733" s="425" t="s">
        <v>1769</v>
      </c>
    </row>
    <row r="2734" spans="1:2" ht="15" hidden="1" x14ac:dyDescent="0.25">
      <c r="A2734" s="425" t="s">
        <v>2272</v>
      </c>
      <c r="B2734" s="425" t="s">
        <v>2273</v>
      </c>
    </row>
    <row r="2735" spans="1:2" ht="15" hidden="1" x14ac:dyDescent="0.25">
      <c r="A2735" s="425" t="s">
        <v>2274</v>
      </c>
      <c r="B2735" s="425" t="s">
        <v>2275</v>
      </c>
    </row>
    <row r="2736" spans="1:2" ht="15" hidden="1" x14ac:dyDescent="0.25">
      <c r="A2736" s="425" t="s">
        <v>2274</v>
      </c>
      <c r="B2736" s="425" t="s">
        <v>2275</v>
      </c>
    </row>
    <row r="2737" spans="1:2" ht="15" hidden="1" x14ac:dyDescent="0.25">
      <c r="A2737" s="425" t="s">
        <v>2276</v>
      </c>
      <c r="B2737" s="425" t="s">
        <v>2277</v>
      </c>
    </row>
    <row r="2738" spans="1:2" ht="15" hidden="1" x14ac:dyDescent="0.25">
      <c r="A2738" s="425" t="s">
        <v>1772</v>
      </c>
      <c r="B2738" s="425" t="s">
        <v>2278</v>
      </c>
    </row>
    <row r="2739" spans="1:2" ht="15" hidden="1" x14ac:dyDescent="0.25">
      <c r="A2739" s="425" t="s">
        <v>2279</v>
      </c>
      <c r="B2739" s="425" t="s">
        <v>2280</v>
      </c>
    </row>
    <row r="2740" spans="1:2" ht="15" hidden="1" x14ac:dyDescent="0.25">
      <c r="A2740" s="425" t="s">
        <v>2146</v>
      </c>
      <c r="B2740" s="425" t="s">
        <v>2147</v>
      </c>
    </row>
    <row r="2741" spans="1:2" ht="15" hidden="1" x14ac:dyDescent="0.25">
      <c r="A2741" s="425" t="s">
        <v>2281</v>
      </c>
      <c r="B2741" s="425" t="s">
        <v>2282</v>
      </c>
    </row>
    <row r="2742" spans="1:2" ht="15" hidden="1" x14ac:dyDescent="0.25">
      <c r="A2742" s="425" t="s">
        <v>1542</v>
      </c>
      <c r="B2742" s="425" t="s">
        <v>57</v>
      </c>
    </row>
    <row r="2743" spans="1:2" ht="15" hidden="1" x14ac:dyDescent="0.25">
      <c r="A2743" s="425" t="s">
        <v>2283</v>
      </c>
      <c r="B2743" s="425" t="s">
        <v>2284</v>
      </c>
    </row>
    <row r="2744" spans="1:2" ht="15" hidden="1" x14ac:dyDescent="0.25">
      <c r="A2744" s="425" t="s">
        <v>2285</v>
      </c>
      <c r="B2744" s="425" t="s">
        <v>2286</v>
      </c>
    </row>
    <row r="2745" spans="1:2" ht="15" hidden="1" x14ac:dyDescent="0.25">
      <c r="A2745" s="425" t="s">
        <v>2287</v>
      </c>
      <c r="B2745" s="425" t="s">
        <v>2288</v>
      </c>
    </row>
    <row r="2746" spans="1:2" ht="15" hidden="1" x14ac:dyDescent="0.25">
      <c r="A2746" s="425" t="s">
        <v>2289</v>
      </c>
      <c r="B2746" s="425" t="s">
        <v>2290</v>
      </c>
    </row>
    <row r="2747" spans="1:2" ht="15" hidden="1" x14ac:dyDescent="0.25">
      <c r="A2747" s="425" t="s">
        <v>2291</v>
      </c>
      <c r="B2747" s="425" t="s">
        <v>2292</v>
      </c>
    </row>
    <row r="2748" spans="1:2" ht="15" hidden="1" x14ac:dyDescent="0.25">
      <c r="A2748" s="425" t="s">
        <v>2293</v>
      </c>
      <c r="B2748" s="425" t="s">
        <v>2294</v>
      </c>
    </row>
    <row r="2749" spans="1:2" ht="15" hidden="1" x14ac:dyDescent="0.25">
      <c r="A2749" s="425" t="s">
        <v>2295</v>
      </c>
      <c r="B2749" s="425" t="s">
        <v>2296</v>
      </c>
    </row>
    <row r="2750" spans="1:2" ht="15" hidden="1" x14ac:dyDescent="0.25">
      <c r="A2750" s="425" t="s">
        <v>2297</v>
      </c>
      <c r="B2750" s="425" t="s">
        <v>2298</v>
      </c>
    </row>
    <row r="2751" spans="1:2" ht="15" hidden="1" x14ac:dyDescent="0.25">
      <c r="A2751" s="425" t="s">
        <v>2297</v>
      </c>
      <c r="B2751" s="425" t="s">
        <v>2298</v>
      </c>
    </row>
    <row r="2752" spans="1:2" ht="15" hidden="1" x14ac:dyDescent="0.25">
      <c r="A2752" s="425" t="s">
        <v>226</v>
      </c>
      <c r="B2752" s="425" t="s">
        <v>373</v>
      </c>
    </row>
    <row r="2753" spans="1:2" ht="15" hidden="1" x14ac:dyDescent="0.25">
      <c r="A2753" s="425" t="s">
        <v>2299</v>
      </c>
      <c r="B2753" s="425" t="s">
        <v>2300</v>
      </c>
    </row>
    <row r="2754" spans="1:2" ht="15" hidden="1" x14ac:dyDescent="0.25">
      <c r="A2754" s="426" t="s">
        <v>2301</v>
      </c>
      <c r="B2754" s="426" t="s">
        <v>2302</v>
      </c>
    </row>
    <row r="2755" spans="1:2" ht="15" hidden="1" x14ac:dyDescent="0.25">
      <c r="A2755" s="425" t="s">
        <v>1993</v>
      </c>
      <c r="B2755" s="425" t="s">
        <v>2303</v>
      </c>
    </row>
    <row r="2756" spans="1:2" ht="15" hidden="1" x14ac:dyDescent="0.25">
      <c r="A2756" s="425" t="s">
        <v>2304</v>
      </c>
      <c r="B2756" s="425" t="s">
        <v>2305</v>
      </c>
    </row>
    <row r="2757" spans="1:2" ht="15" hidden="1" x14ac:dyDescent="0.25">
      <c r="A2757" s="425" t="s">
        <v>2306</v>
      </c>
      <c r="B2757" s="425" t="s">
        <v>2307</v>
      </c>
    </row>
    <row r="2758" spans="1:2" ht="15" hidden="1" x14ac:dyDescent="0.25">
      <c r="A2758" s="425" t="s">
        <v>2308</v>
      </c>
      <c r="B2758" s="425" t="s">
        <v>2309</v>
      </c>
    </row>
    <row r="2759" spans="1:2" ht="15" hidden="1" x14ac:dyDescent="0.25">
      <c r="A2759" s="425" t="s">
        <v>2310</v>
      </c>
      <c r="B2759" s="425" t="s">
        <v>2311</v>
      </c>
    </row>
    <row r="2760" spans="1:2" ht="15" hidden="1" x14ac:dyDescent="0.25">
      <c r="A2760" s="425" t="s">
        <v>2310</v>
      </c>
      <c r="B2760" s="425" t="s">
        <v>2311</v>
      </c>
    </row>
    <row r="2761" spans="1:2" ht="15" hidden="1" x14ac:dyDescent="0.25">
      <c r="A2761" s="425" t="s">
        <v>2312</v>
      </c>
      <c r="B2761" s="425" t="s">
        <v>2313</v>
      </c>
    </row>
    <row r="2762" spans="1:2" ht="15" hidden="1" x14ac:dyDescent="0.25">
      <c r="A2762" s="425" t="s">
        <v>2312</v>
      </c>
      <c r="B2762" s="425" t="s">
        <v>2313</v>
      </c>
    </row>
    <row r="2763" spans="1:2" ht="15" hidden="1" x14ac:dyDescent="0.25">
      <c r="A2763" s="425" t="s">
        <v>2314</v>
      </c>
      <c r="B2763" s="425" t="s">
        <v>2315</v>
      </c>
    </row>
    <row r="2764" spans="1:2" ht="15" hidden="1" x14ac:dyDescent="0.25">
      <c r="A2764" s="425" t="s">
        <v>382</v>
      </c>
      <c r="B2764" s="425" t="s">
        <v>383</v>
      </c>
    </row>
    <row r="2765" spans="1:2" ht="15" hidden="1" x14ac:dyDescent="0.25">
      <c r="A2765" s="425" t="s">
        <v>382</v>
      </c>
      <c r="B2765" s="425" t="s">
        <v>383</v>
      </c>
    </row>
    <row r="2766" spans="1:2" ht="15" hidden="1" x14ac:dyDescent="0.25">
      <c r="A2766" s="425" t="s">
        <v>382</v>
      </c>
      <c r="B2766" s="425" t="s">
        <v>383</v>
      </c>
    </row>
    <row r="2767" spans="1:2" ht="15" hidden="1" x14ac:dyDescent="0.25">
      <c r="A2767" s="425" t="s">
        <v>382</v>
      </c>
      <c r="B2767" s="425" t="s">
        <v>383</v>
      </c>
    </row>
    <row r="2768" spans="1:2" ht="15" hidden="1" x14ac:dyDescent="0.25">
      <c r="A2768" s="425" t="s">
        <v>382</v>
      </c>
      <c r="B2768" s="425" t="s">
        <v>383</v>
      </c>
    </row>
    <row r="2769" spans="1:2" ht="15" hidden="1" x14ac:dyDescent="0.25">
      <c r="A2769" s="425" t="s">
        <v>2316</v>
      </c>
      <c r="B2769" s="425" t="s">
        <v>2317</v>
      </c>
    </row>
    <row r="2770" spans="1:2" ht="15" hidden="1" x14ac:dyDescent="0.25">
      <c r="A2770" s="425" t="s">
        <v>2318</v>
      </c>
      <c r="B2770" s="425" t="s">
        <v>2319</v>
      </c>
    </row>
    <row r="2771" spans="1:2" ht="15" hidden="1" x14ac:dyDescent="0.25">
      <c r="A2771" s="425" t="s">
        <v>2318</v>
      </c>
      <c r="B2771" s="425" t="s">
        <v>2319</v>
      </c>
    </row>
    <row r="2772" spans="1:2" ht="15" hidden="1" x14ac:dyDescent="0.25">
      <c r="A2772" s="425" t="s">
        <v>2320</v>
      </c>
      <c r="B2772" s="425" t="s">
        <v>2321</v>
      </c>
    </row>
    <row r="2773" spans="1:2" ht="15" hidden="1" x14ac:dyDescent="0.25">
      <c r="A2773" s="425" t="s">
        <v>2320</v>
      </c>
      <c r="B2773" s="425" t="s">
        <v>2321</v>
      </c>
    </row>
    <row r="2774" spans="1:2" ht="15" hidden="1" x14ac:dyDescent="0.25">
      <c r="A2774" s="425" t="s">
        <v>2322</v>
      </c>
      <c r="B2774" s="425" t="s">
        <v>2323</v>
      </c>
    </row>
    <row r="2775" spans="1:2" ht="15" hidden="1" x14ac:dyDescent="0.25">
      <c r="A2775" s="425" t="s">
        <v>1794</v>
      </c>
      <c r="B2775" s="425" t="s">
        <v>1795</v>
      </c>
    </row>
    <row r="2776" spans="1:2" ht="15" hidden="1" x14ac:dyDescent="0.25">
      <c r="A2776" s="425" t="s">
        <v>1697</v>
      </c>
      <c r="B2776" s="425" t="s">
        <v>1698</v>
      </c>
    </row>
    <row r="2777" spans="1:2" ht="15" hidden="1" x14ac:dyDescent="0.25">
      <c r="A2777" s="425" t="s">
        <v>1697</v>
      </c>
      <c r="B2777" s="425" t="s">
        <v>1698</v>
      </c>
    </row>
    <row r="2778" spans="1:2" ht="15" hidden="1" x14ac:dyDescent="0.25">
      <c r="A2778" s="425" t="s">
        <v>2010</v>
      </c>
      <c r="B2778" s="425" t="s">
        <v>2011</v>
      </c>
    </row>
    <row r="2779" spans="1:2" ht="15" hidden="1" x14ac:dyDescent="0.25">
      <c r="A2779" s="425" t="s">
        <v>1798</v>
      </c>
      <c r="B2779" s="425" t="s">
        <v>1799</v>
      </c>
    </row>
    <row r="2780" spans="1:2" ht="15" hidden="1" x14ac:dyDescent="0.25">
      <c r="A2780" s="425" t="s">
        <v>2324</v>
      </c>
      <c r="B2780" s="425" t="s">
        <v>2325</v>
      </c>
    </row>
    <row r="2781" spans="1:2" ht="15" hidden="1" x14ac:dyDescent="0.25">
      <c r="A2781" s="425" t="s">
        <v>2326</v>
      </c>
      <c r="B2781" s="425" t="s">
        <v>2327</v>
      </c>
    </row>
    <row r="2782" spans="1:2" ht="15" hidden="1" x14ac:dyDescent="0.25">
      <c r="A2782" s="425" t="s">
        <v>2326</v>
      </c>
      <c r="B2782" s="425" t="s">
        <v>2327</v>
      </c>
    </row>
    <row r="2783" spans="1:2" ht="15" hidden="1" x14ac:dyDescent="0.25">
      <c r="A2783" s="425" t="s">
        <v>2328</v>
      </c>
      <c r="B2783" s="425" t="s">
        <v>2329</v>
      </c>
    </row>
    <row r="2784" spans="1:2" ht="15" hidden="1" x14ac:dyDescent="0.25">
      <c r="A2784" s="425" t="s">
        <v>2330</v>
      </c>
      <c r="B2784" s="425" t="s">
        <v>2331</v>
      </c>
    </row>
    <row r="2785" spans="1:2" ht="15" hidden="1" x14ac:dyDescent="0.25">
      <c r="A2785" s="425" t="s">
        <v>2332</v>
      </c>
      <c r="B2785" s="425" t="s">
        <v>2333</v>
      </c>
    </row>
    <row r="2786" spans="1:2" ht="15" hidden="1" x14ac:dyDescent="0.25">
      <c r="A2786" s="425" t="s">
        <v>2334</v>
      </c>
      <c r="B2786" s="425" t="s">
        <v>2335</v>
      </c>
    </row>
    <row r="2787" spans="1:2" ht="15" hidden="1" x14ac:dyDescent="0.25">
      <c r="A2787" s="427" t="s">
        <v>2336</v>
      </c>
      <c r="B2787" s="427" t="s">
        <v>2337</v>
      </c>
    </row>
    <row r="2788" spans="1:2" ht="15" hidden="1" x14ac:dyDescent="0.25">
      <c r="A2788" s="425" t="s">
        <v>2338</v>
      </c>
      <c r="B2788" s="425" t="s">
        <v>2339</v>
      </c>
    </row>
    <row r="2789" spans="1:2" ht="15" hidden="1" x14ac:dyDescent="0.25">
      <c r="A2789" s="425" t="s">
        <v>2340</v>
      </c>
      <c r="B2789" s="425" t="s">
        <v>2341</v>
      </c>
    </row>
    <row r="2790" spans="1:2" ht="15" hidden="1" x14ac:dyDescent="0.25">
      <c r="A2790" s="425" t="s">
        <v>2342</v>
      </c>
      <c r="B2790" s="425" t="s">
        <v>2343</v>
      </c>
    </row>
    <row r="2791" spans="1:2" ht="15" hidden="1" x14ac:dyDescent="0.25">
      <c r="A2791" s="425" t="s">
        <v>2344</v>
      </c>
      <c r="B2791" s="425" t="s">
        <v>2345</v>
      </c>
    </row>
    <row r="2792" spans="1:2" ht="15" hidden="1" x14ac:dyDescent="0.25">
      <c r="A2792" s="425" t="s">
        <v>2344</v>
      </c>
      <c r="B2792" s="425" t="s">
        <v>2345</v>
      </c>
    </row>
    <row r="2793" spans="1:2" ht="15" hidden="1" x14ac:dyDescent="0.25">
      <c r="A2793" s="425" t="s">
        <v>1813</v>
      </c>
      <c r="B2793" s="425" t="s">
        <v>1814</v>
      </c>
    </row>
    <row r="2794" spans="1:2" ht="15" hidden="1" x14ac:dyDescent="0.25">
      <c r="A2794" s="427" t="s">
        <v>2346</v>
      </c>
      <c r="B2794" s="427" t="s">
        <v>2347</v>
      </c>
    </row>
    <row r="2795" spans="1:2" ht="15" hidden="1" x14ac:dyDescent="0.25">
      <c r="A2795" s="425" t="s">
        <v>2348</v>
      </c>
      <c r="B2795" s="425" t="s">
        <v>2349</v>
      </c>
    </row>
    <row r="2796" spans="1:2" ht="15" hidden="1" x14ac:dyDescent="0.25">
      <c r="A2796" s="425" t="s">
        <v>2348</v>
      </c>
      <c r="B2796" s="425" t="s">
        <v>2349</v>
      </c>
    </row>
    <row r="2797" spans="1:2" ht="15" hidden="1" x14ac:dyDescent="0.25">
      <c r="A2797" s="425" t="s">
        <v>1607</v>
      </c>
      <c r="B2797" s="425" t="s">
        <v>1608</v>
      </c>
    </row>
    <row r="2798" spans="1:2" ht="15" hidden="1" x14ac:dyDescent="0.25">
      <c r="A2798" s="425" t="s">
        <v>2195</v>
      </c>
      <c r="B2798" s="425" t="s">
        <v>2350</v>
      </c>
    </row>
    <row r="2799" spans="1:2" ht="15" hidden="1" x14ac:dyDescent="0.25">
      <c r="A2799" s="425" t="s">
        <v>2351</v>
      </c>
      <c r="B2799" s="425" t="s">
        <v>2352</v>
      </c>
    </row>
    <row r="2800" spans="1:2" ht="15" hidden="1" x14ac:dyDescent="0.25">
      <c r="A2800" s="425" t="s">
        <v>2351</v>
      </c>
      <c r="B2800" s="425" t="s">
        <v>2352</v>
      </c>
    </row>
    <row r="2801" spans="1:2" ht="15" hidden="1" x14ac:dyDescent="0.25">
      <c r="A2801" s="425" t="s">
        <v>2353</v>
      </c>
      <c r="B2801" s="425" t="s">
        <v>2354</v>
      </c>
    </row>
    <row r="2802" spans="1:2" ht="15" hidden="1" x14ac:dyDescent="0.25">
      <c r="A2802" s="425" t="s">
        <v>2355</v>
      </c>
      <c r="B2802" s="425" t="s">
        <v>2356</v>
      </c>
    </row>
    <row r="2803" spans="1:2" ht="15" hidden="1" x14ac:dyDescent="0.25">
      <c r="A2803" s="425" t="s">
        <v>2355</v>
      </c>
      <c r="B2803" s="425" t="s">
        <v>2356</v>
      </c>
    </row>
    <row r="2804" spans="1:2" ht="15" hidden="1" x14ac:dyDescent="0.25">
      <c r="A2804" s="425" t="s">
        <v>208</v>
      </c>
      <c r="B2804" s="425" t="s">
        <v>309</v>
      </c>
    </row>
    <row r="2805" spans="1:2" ht="15" hidden="1" x14ac:dyDescent="0.25">
      <c r="A2805" s="425" t="s">
        <v>178</v>
      </c>
      <c r="B2805" s="425" t="s">
        <v>310</v>
      </c>
    </row>
    <row r="2806" spans="1:2" ht="15" hidden="1" x14ac:dyDescent="0.25">
      <c r="A2806" s="425" t="s">
        <v>179</v>
      </c>
      <c r="B2806" s="425" t="s">
        <v>311</v>
      </c>
    </row>
    <row r="2807" spans="1:2" ht="15" hidden="1" x14ac:dyDescent="0.25">
      <c r="A2807" s="425" t="s">
        <v>179</v>
      </c>
      <c r="B2807" s="425" t="s">
        <v>311</v>
      </c>
    </row>
    <row r="2808" spans="1:2" ht="15" hidden="1" x14ac:dyDescent="0.25">
      <c r="A2808" s="425" t="s">
        <v>179</v>
      </c>
      <c r="B2808" s="425" t="s">
        <v>311</v>
      </c>
    </row>
    <row r="2809" spans="1:2" ht="15" hidden="1" x14ac:dyDescent="0.25">
      <c r="A2809" s="425" t="s">
        <v>179</v>
      </c>
      <c r="B2809" s="425" t="s">
        <v>311</v>
      </c>
    </row>
    <row r="2810" spans="1:2" ht="15" hidden="1" x14ac:dyDescent="0.25">
      <c r="A2810" s="425" t="s">
        <v>179</v>
      </c>
      <c r="B2810" s="425" t="s">
        <v>311</v>
      </c>
    </row>
    <row r="2811" spans="1:2" ht="15" hidden="1" x14ac:dyDescent="0.25">
      <c r="A2811" s="425" t="s">
        <v>179</v>
      </c>
      <c r="B2811" s="425" t="s">
        <v>311</v>
      </c>
    </row>
    <row r="2812" spans="1:2" ht="15" hidden="1" x14ac:dyDescent="0.25">
      <c r="A2812" s="425" t="s">
        <v>179</v>
      </c>
      <c r="B2812" s="425" t="s">
        <v>311</v>
      </c>
    </row>
    <row r="2813" spans="1:2" ht="15" hidden="1" x14ac:dyDescent="0.25">
      <c r="A2813" s="425" t="s">
        <v>179</v>
      </c>
      <c r="B2813" s="425" t="s">
        <v>311</v>
      </c>
    </row>
    <row r="2814" spans="1:2" ht="15" hidden="1" x14ac:dyDescent="0.25">
      <c r="A2814" s="425" t="s">
        <v>179</v>
      </c>
      <c r="B2814" s="425" t="s">
        <v>311</v>
      </c>
    </row>
    <row r="2815" spans="1:2" ht="15" hidden="1" x14ac:dyDescent="0.25">
      <c r="A2815" s="425" t="s">
        <v>179</v>
      </c>
      <c r="B2815" s="425" t="s">
        <v>311</v>
      </c>
    </row>
    <row r="2816" spans="1:2" ht="15" hidden="1" x14ac:dyDescent="0.25">
      <c r="A2816" s="425" t="s">
        <v>179</v>
      </c>
      <c r="B2816" s="425" t="s">
        <v>311</v>
      </c>
    </row>
    <row r="2817" spans="1:2" ht="15" hidden="1" x14ac:dyDescent="0.25">
      <c r="A2817" s="425" t="s">
        <v>179</v>
      </c>
      <c r="B2817" s="425" t="s">
        <v>311</v>
      </c>
    </row>
    <row r="2818" spans="1:2" ht="15" hidden="1" x14ac:dyDescent="0.25">
      <c r="A2818" s="425" t="s">
        <v>179</v>
      </c>
      <c r="B2818" s="425" t="s">
        <v>311</v>
      </c>
    </row>
    <row r="2819" spans="1:2" ht="15" hidden="1" x14ac:dyDescent="0.25">
      <c r="A2819" s="425" t="s">
        <v>179</v>
      </c>
      <c r="B2819" s="425" t="s">
        <v>311</v>
      </c>
    </row>
    <row r="2820" spans="1:2" ht="15" hidden="1" x14ac:dyDescent="0.25">
      <c r="A2820" s="425" t="s">
        <v>179</v>
      </c>
      <c r="B2820" s="425" t="s">
        <v>311</v>
      </c>
    </row>
    <row r="2821" spans="1:2" ht="15" hidden="1" x14ac:dyDescent="0.25">
      <c r="A2821" s="425" t="s">
        <v>179</v>
      </c>
      <c r="B2821" s="425" t="s">
        <v>311</v>
      </c>
    </row>
    <row r="2822" spans="1:2" ht="15" hidden="1" x14ac:dyDescent="0.25">
      <c r="A2822" s="425" t="s">
        <v>179</v>
      </c>
      <c r="B2822" s="425" t="s">
        <v>311</v>
      </c>
    </row>
    <row r="2823" spans="1:2" ht="15" hidden="1" x14ac:dyDescent="0.25">
      <c r="A2823" s="425" t="s">
        <v>179</v>
      </c>
      <c r="B2823" s="425" t="s">
        <v>311</v>
      </c>
    </row>
    <row r="2824" spans="1:2" ht="15" hidden="1" x14ac:dyDescent="0.25">
      <c r="A2824" s="425" t="s">
        <v>179</v>
      </c>
      <c r="B2824" s="425" t="s">
        <v>311</v>
      </c>
    </row>
    <row r="2825" spans="1:2" ht="15" hidden="1" x14ac:dyDescent="0.25">
      <c r="A2825" s="425" t="s">
        <v>179</v>
      </c>
      <c r="B2825" s="425" t="s">
        <v>311</v>
      </c>
    </row>
    <row r="2826" spans="1:2" ht="15" hidden="1" x14ac:dyDescent="0.25">
      <c r="A2826" s="425" t="s">
        <v>179</v>
      </c>
      <c r="B2826" s="425" t="s">
        <v>311</v>
      </c>
    </row>
    <row r="2827" spans="1:2" ht="15" hidden="1" x14ac:dyDescent="0.25">
      <c r="A2827" s="425" t="s">
        <v>179</v>
      </c>
      <c r="B2827" s="425" t="s">
        <v>311</v>
      </c>
    </row>
    <row r="2828" spans="1:2" ht="15" hidden="1" x14ac:dyDescent="0.25">
      <c r="A2828" s="425" t="s">
        <v>179</v>
      </c>
      <c r="B2828" s="425" t="s">
        <v>311</v>
      </c>
    </row>
    <row r="2829" spans="1:2" ht="15" hidden="1" x14ac:dyDescent="0.25">
      <c r="A2829" s="425" t="s">
        <v>179</v>
      </c>
      <c r="B2829" s="425" t="s">
        <v>311</v>
      </c>
    </row>
    <row r="2830" spans="1:2" ht="15" hidden="1" x14ac:dyDescent="0.25">
      <c r="A2830" s="425" t="s">
        <v>179</v>
      </c>
      <c r="B2830" s="425" t="s">
        <v>311</v>
      </c>
    </row>
    <row r="2831" spans="1:2" ht="15" hidden="1" x14ac:dyDescent="0.25">
      <c r="A2831" s="425" t="s">
        <v>179</v>
      </c>
      <c r="B2831" s="425" t="s">
        <v>311</v>
      </c>
    </row>
    <row r="2832" spans="1:2" ht="15" hidden="1" x14ac:dyDescent="0.25">
      <c r="A2832" s="425" t="s">
        <v>179</v>
      </c>
      <c r="B2832" s="425" t="s">
        <v>311</v>
      </c>
    </row>
    <row r="2833" spans="1:2" ht="15" hidden="1" x14ac:dyDescent="0.25">
      <c r="A2833" s="425" t="s">
        <v>179</v>
      </c>
      <c r="B2833" s="425" t="s">
        <v>311</v>
      </c>
    </row>
    <row r="2834" spans="1:2" ht="15" hidden="1" x14ac:dyDescent="0.25">
      <c r="A2834" s="425" t="s">
        <v>179</v>
      </c>
      <c r="B2834" s="425" t="s">
        <v>311</v>
      </c>
    </row>
    <row r="2835" spans="1:2" ht="15" hidden="1" x14ac:dyDescent="0.25">
      <c r="A2835" s="425" t="s">
        <v>179</v>
      </c>
      <c r="B2835" s="425" t="s">
        <v>311</v>
      </c>
    </row>
    <row r="2836" spans="1:2" ht="15" hidden="1" x14ac:dyDescent="0.25">
      <c r="A2836" s="425" t="s">
        <v>179</v>
      </c>
      <c r="B2836" s="425" t="s">
        <v>311</v>
      </c>
    </row>
    <row r="2837" spans="1:2" ht="15" hidden="1" x14ac:dyDescent="0.25">
      <c r="A2837" s="425" t="s">
        <v>179</v>
      </c>
      <c r="B2837" s="425" t="s">
        <v>311</v>
      </c>
    </row>
    <row r="2838" spans="1:2" ht="15" hidden="1" x14ac:dyDescent="0.25">
      <c r="A2838" s="425" t="s">
        <v>179</v>
      </c>
      <c r="B2838" s="425" t="s">
        <v>311</v>
      </c>
    </row>
    <row r="2839" spans="1:2" ht="15" hidden="1" x14ac:dyDescent="0.25">
      <c r="A2839" s="425" t="s">
        <v>179</v>
      </c>
      <c r="B2839" s="425" t="s">
        <v>311</v>
      </c>
    </row>
    <row r="2840" spans="1:2" ht="15" hidden="1" x14ac:dyDescent="0.25">
      <c r="A2840" s="425" t="s">
        <v>179</v>
      </c>
      <c r="B2840" s="425" t="s">
        <v>311</v>
      </c>
    </row>
    <row r="2841" spans="1:2" ht="15" hidden="1" x14ac:dyDescent="0.25">
      <c r="A2841" s="425" t="s">
        <v>179</v>
      </c>
      <c r="B2841" s="425" t="s">
        <v>311</v>
      </c>
    </row>
    <row r="2842" spans="1:2" ht="15" hidden="1" x14ac:dyDescent="0.25">
      <c r="A2842" s="425" t="s">
        <v>179</v>
      </c>
      <c r="B2842" s="425" t="s">
        <v>311</v>
      </c>
    </row>
    <row r="2843" spans="1:2" ht="15" hidden="1" x14ac:dyDescent="0.25">
      <c r="A2843" s="425" t="s">
        <v>179</v>
      </c>
      <c r="B2843" s="425" t="s">
        <v>311</v>
      </c>
    </row>
    <row r="2844" spans="1:2" ht="15" hidden="1" x14ac:dyDescent="0.25">
      <c r="A2844" s="425" t="s">
        <v>179</v>
      </c>
      <c r="B2844" s="425" t="s">
        <v>311</v>
      </c>
    </row>
    <row r="2845" spans="1:2" ht="15" hidden="1" x14ac:dyDescent="0.25">
      <c r="A2845" s="425" t="s">
        <v>179</v>
      </c>
      <c r="B2845" s="425" t="s">
        <v>311</v>
      </c>
    </row>
    <row r="2846" spans="1:2" ht="15" hidden="1" x14ac:dyDescent="0.25">
      <c r="A2846" s="425" t="s">
        <v>179</v>
      </c>
      <c r="B2846" s="425" t="s">
        <v>311</v>
      </c>
    </row>
    <row r="2847" spans="1:2" ht="15" hidden="1" x14ac:dyDescent="0.25">
      <c r="A2847" s="425" t="s">
        <v>179</v>
      </c>
      <c r="B2847" s="425" t="s">
        <v>311</v>
      </c>
    </row>
    <row r="2848" spans="1:2" ht="15" hidden="1" x14ac:dyDescent="0.25">
      <c r="A2848" s="425" t="s">
        <v>179</v>
      </c>
      <c r="B2848" s="425" t="s">
        <v>311</v>
      </c>
    </row>
    <row r="2849" spans="1:2" ht="15" hidden="1" x14ac:dyDescent="0.25">
      <c r="A2849" s="425" t="s">
        <v>179</v>
      </c>
      <c r="B2849" s="425" t="s">
        <v>311</v>
      </c>
    </row>
    <row r="2850" spans="1:2" ht="15" hidden="1" x14ac:dyDescent="0.25">
      <c r="A2850" s="425" t="s">
        <v>179</v>
      </c>
      <c r="B2850" s="425" t="s">
        <v>311</v>
      </c>
    </row>
    <row r="2851" spans="1:2" ht="15" hidden="1" x14ac:dyDescent="0.25">
      <c r="A2851" s="425" t="s">
        <v>179</v>
      </c>
      <c r="B2851" s="425" t="s">
        <v>311</v>
      </c>
    </row>
    <row r="2852" spans="1:2" ht="15" hidden="1" x14ac:dyDescent="0.25">
      <c r="A2852" s="425" t="s">
        <v>179</v>
      </c>
      <c r="B2852" s="425" t="s">
        <v>311</v>
      </c>
    </row>
    <row r="2853" spans="1:2" ht="15" hidden="1" x14ac:dyDescent="0.25">
      <c r="A2853" s="425" t="s">
        <v>179</v>
      </c>
      <c r="B2853" s="425" t="s">
        <v>311</v>
      </c>
    </row>
    <row r="2854" spans="1:2" ht="15" hidden="1" x14ac:dyDescent="0.25">
      <c r="A2854" s="425" t="s">
        <v>179</v>
      </c>
      <c r="B2854" s="425" t="s">
        <v>311</v>
      </c>
    </row>
    <row r="2855" spans="1:2" ht="15" hidden="1" x14ac:dyDescent="0.25">
      <c r="A2855" s="425" t="s">
        <v>1617</v>
      </c>
      <c r="B2855" s="425" t="s">
        <v>1618</v>
      </c>
    </row>
    <row r="2856" spans="1:2" ht="15" hidden="1" x14ac:dyDescent="0.25">
      <c r="A2856" s="425" t="s">
        <v>180</v>
      </c>
      <c r="B2856" s="425" t="s">
        <v>312</v>
      </c>
    </row>
    <row r="2857" spans="1:2" ht="15" hidden="1" x14ac:dyDescent="0.25">
      <c r="A2857" s="425" t="s">
        <v>180</v>
      </c>
      <c r="B2857" s="425" t="s">
        <v>312</v>
      </c>
    </row>
    <row r="2858" spans="1:2" ht="15" hidden="1" x14ac:dyDescent="0.25">
      <c r="A2858" s="425" t="s">
        <v>180</v>
      </c>
      <c r="B2858" s="425" t="s">
        <v>312</v>
      </c>
    </row>
    <row r="2859" spans="1:2" ht="15" hidden="1" x14ac:dyDescent="0.25">
      <c r="A2859" s="425" t="s">
        <v>180</v>
      </c>
      <c r="B2859" s="425" t="s">
        <v>312</v>
      </c>
    </row>
    <row r="2860" spans="1:2" ht="15" hidden="1" x14ac:dyDescent="0.25">
      <c r="A2860" s="425" t="s">
        <v>180</v>
      </c>
      <c r="B2860" s="425" t="s">
        <v>312</v>
      </c>
    </row>
    <row r="2861" spans="1:2" ht="15" hidden="1" x14ac:dyDescent="0.25">
      <c r="A2861" s="425" t="s">
        <v>180</v>
      </c>
      <c r="B2861" s="425" t="s">
        <v>312</v>
      </c>
    </row>
    <row r="2862" spans="1:2" ht="15" hidden="1" x14ac:dyDescent="0.25">
      <c r="A2862" s="425" t="s">
        <v>180</v>
      </c>
      <c r="B2862" s="425" t="s">
        <v>312</v>
      </c>
    </row>
    <row r="2863" spans="1:2" ht="15" hidden="1" x14ac:dyDescent="0.25">
      <c r="A2863" s="425" t="s">
        <v>180</v>
      </c>
      <c r="B2863" s="425" t="s">
        <v>312</v>
      </c>
    </row>
    <row r="2864" spans="1:2" ht="15" hidden="1" x14ac:dyDescent="0.25">
      <c r="A2864" s="425" t="s">
        <v>180</v>
      </c>
      <c r="B2864" s="425" t="s">
        <v>312</v>
      </c>
    </row>
    <row r="2865" spans="1:2" ht="15" hidden="1" x14ac:dyDescent="0.25">
      <c r="A2865" s="425" t="s">
        <v>180</v>
      </c>
      <c r="B2865" s="425" t="s">
        <v>312</v>
      </c>
    </row>
    <row r="2866" spans="1:2" ht="15" hidden="1" x14ac:dyDescent="0.25">
      <c r="A2866" s="425" t="s">
        <v>180</v>
      </c>
      <c r="B2866" s="425" t="s">
        <v>312</v>
      </c>
    </row>
    <row r="2867" spans="1:2" ht="15" hidden="1" x14ac:dyDescent="0.25">
      <c r="A2867" s="425" t="s">
        <v>180</v>
      </c>
      <c r="B2867" s="425" t="s">
        <v>312</v>
      </c>
    </row>
    <row r="2868" spans="1:2" ht="15" hidden="1" x14ac:dyDescent="0.25">
      <c r="A2868" s="425" t="s">
        <v>395</v>
      </c>
      <c r="B2868" s="425" t="s">
        <v>396</v>
      </c>
    </row>
    <row r="2869" spans="1:2" ht="15" hidden="1" x14ac:dyDescent="0.25">
      <c r="A2869" s="425" t="s">
        <v>1619</v>
      </c>
      <c r="B2869" s="425" t="s">
        <v>1620</v>
      </c>
    </row>
    <row r="2870" spans="1:2" ht="15" hidden="1" x14ac:dyDescent="0.25">
      <c r="A2870" s="425" t="s">
        <v>209</v>
      </c>
      <c r="B2870" s="425" t="s">
        <v>314</v>
      </c>
    </row>
    <row r="2871" spans="1:2" ht="15" hidden="1" x14ac:dyDescent="0.25">
      <c r="A2871" s="425" t="s">
        <v>182</v>
      </c>
      <c r="B2871" s="425" t="s">
        <v>315</v>
      </c>
    </row>
    <row r="2872" spans="1:2" ht="15" hidden="1" x14ac:dyDescent="0.25">
      <c r="A2872" s="425" t="s">
        <v>182</v>
      </c>
      <c r="B2872" s="425" t="s">
        <v>315</v>
      </c>
    </row>
    <row r="2873" spans="1:2" ht="15" hidden="1" x14ac:dyDescent="0.25">
      <c r="A2873" s="425" t="s">
        <v>182</v>
      </c>
      <c r="B2873" s="425" t="s">
        <v>315</v>
      </c>
    </row>
    <row r="2874" spans="1:2" ht="15" hidden="1" x14ac:dyDescent="0.25">
      <c r="A2874" s="425" t="s">
        <v>182</v>
      </c>
      <c r="B2874" s="425" t="s">
        <v>315</v>
      </c>
    </row>
    <row r="2875" spans="1:2" ht="15" hidden="1" x14ac:dyDescent="0.25">
      <c r="A2875" s="425" t="s">
        <v>182</v>
      </c>
      <c r="B2875" s="425" t="s">
        <v>315</v>
      </c>
    </row>
    <row r="2876" spans="1:2" ht="15" hidden="1" x14ac:dyDescent="0.25">
      <c r="A2876" s="425" t="s">
        <v>182</v>
      </c>
      <c r="B2876" s="425" t="s">
        <v>315</v>
      </c>
    </row>
    <row r="2877" spans="1:2" ht="15" hidden="1" x14ac:dyDescent="0.25">
      <c r="A2877" s="425" t="s">
        <v>182</v>
      </c>
      <c r="B2877" s="425" t="s">
        <v>315</v>
      </c>
    </row>
    <row r="2878" spans="1:2" ht="15" hidden="1" x14ac:dyDescent="0.25">
      <c r="A2878" s="425" t="s">
        <v>182</v>
      </c>
      <c r="B2878" s="425" t="s">
        <v>315</v>
      </c>
    </row>
    <row r="2879" spans="1:2" ht="15" hidden="1" x14ac:dyDescent="0.25">
      <c r="A2879" s="425" t="s">
        <v>182</v>
      </c>
      <c r="B2879" s="425" t="s">
        <v>315</v>
      </c>
    </row>
    <row r="2880" spans="1:2" ht="15" hidden="1" x14ac:dyDescent="0.25">
      <c r="A2880" s="425" t="s">
        <v>182</v>
      </c>
      <c r="B2880" s="425" t="s">
        <v>315</v>
      </c>
    </row>
    <row r="2881" spans="1:2" ht="15" hidden="1" x14ac:dyDescent="0.25">
      <c r="A2881" s="425" t="s">
        <v>182</v>
      </c>
      <c r="B2881" s="425" t="s">
        <v>315</v>
      </c>
    </row>
    <row r="2882" spans="1:2" ht="15" hidden="1" x14ac:dyDescent="0.25">
      <c r="A2882" s="425" t="s">
        <v>182</v>
      </c>
      <c r="B2882" s="425" t="s">
        <v>315</v>
      </c>
    </row>
    <row r="2883" spans="1:2" ht="15" hidden="1" x14ac:dyDescent="0.25">
      <c r="A2883" s="425" t="s">
        <v>182</v>
      </c>
      <c r="B2883" s="425" t="s">
        <v>315</v>
      </c>
    </row>
    <row r="2884" spans="1:2" ht="15" hidden="1" x14ac:dyDescent="0.25">
      <c r="A2884" s="425" t="s">
        <v>210</v>
      </c>
      <c r="B2884" s="425" t="s">
        <v>316</v>
      </c>
    </row>
    <row r="2885" spans="1:2" ht="15" hidden="1" x14ac:dyDescent="0.25">
      <c r="A2885" s="425" t="s">
        <v>210</v>
      </c>
      <c r="B2885" s="425" t="s">
        <v>316</v>
      </c>
    </row>
    <row r="2886" spans="1:2" ht="15" hidden="1" x14ac:dyDescent="0.25">
      <c r="A2886" s="425" t="s">
        <v>210</v>
      </c>
      <c r="B2886" s="425" t="s">
        <v>316</v>
      </c>
    </row>
    <row r="2887" spans="1:2" ht="15" hidden="1" x14ac:dyDescent="0.25">
      <c r="A2887" s="425" t="s">
        <v>210</v>
      </c>
      <c r="B2887" s="425" t="s">
        <v>316</v>
      </c>
    </row>
    <row r="2888" spans="1:2" ht="15" hidden="1" x14ac:dyDescent="0.25">
      <c r="A2888" s="425" t="s">
        <v>210</v>
      </c>
      <c r="B2888" s="425" t="s">
        <v>316</v>
      </c>
    </row>
    <row r="2889" spans="1:2" ht="15" hidden="1" x14ac:dyDescent="0.25">
      <c r="A2889" s="425" t="s">
        <v>210</v>
      </c>
      <c r="B2889" s="425" t="s">
        <v>316</v>
      </c>
    </row>
    <row r="2890" spans="1:2" ht="15" hidden="1" x14ac:dyDescent="0.25">
      <c r="A2890" s="425" t="s">
        <v>210</v>
      </c>
      <c r="B2890" s="425" t="s">
        <v>316</v>
      </c>
    </row>
    <row r="2891" spans="1:2" ht="15" hidden="1" x14ac:dyDescent="0.25">
      <c r="A2891" s="425" t="s">
        <v>210</v>
      </c>
      <c r="B2891" s="425" t="s">
        <v>316</v>
      </c>
    </row>
    <row r="2892" spans="1:2" ht="15" hidden="1" x14ac:dyDescent="0.25">
      <c r="A2892" s="425" t="s">
        <v>210</v>
      </c>
      <c r="B2892" s="425" t="s">
        <v>316</v>
      </c>
    </row>
    <row r="2893" spans="1:2" ht="15" hidden="1" x14ac:dyDescent="0.25">
      <c r="A2893" s="425" t="s">
        <v>184</v>
      </c>
      <c r="B2893" s="425" t="s">
        <v>318</v>
      </c>
    </row>
    <row r="2894" spans="1:2" ht="15" hidden="1" x14ac:dyDescent="0.25">
      <c r="A2894" s="425" t="s">
        <v>185</v>
      </c>
      <c r="B2894" s="425" t="s">
        <v>319</v>
      </c>
    </row>
    <row r="2895" spans="1:2" ht="15" hidden="1" x14ac:dyDescent="0.25">
      <c r="A2895" s="425" t="s">
        <v>185</v>
      </c>
      <c r="B2895" s="425" t="s">
        <v>319</v>
      </c>
    </row>
    <row r="2896" spans="1:2" ht="15" hidden="1" x14ac:dyDescent="0.25">
      <c r="A2896" s="425" t="s">
        <v>185</v>
      </c>
      <c r="B2896" s="425" t="s">
        <v>319</v>
      </c>
    </row>
    <row r="2897" spans="1:2" ht="15" hidden="1" x14ac:dyDescent="0.25">
      <c r="A2897" s="425" t="s">
        <v>185</v>
      </c>
      <c r="B2897" s="425" t="s">
        <v>319</v>
      </c>
    </row>
    <row r="2898" spans="1:2" ht="15" hidden="1" x14ac:dyDescent="0.25">
      <c r="A2898" s="425" t="s">
        <v>185</v>
      </c>
      <c r="B2898" s="425" t="s">
        <v>319</v>
      </c>
    </row>
    <row r="2899" spans="1:2" ht="15" hidden="1" x14ac:dyDescent="0.25">
      <c r="A2899" s="425" t="s">
        <v>185</v>
      </c>
      <c r="B2899" s="425" t="s">
        <v>319</v>
      </c>
    </row>
    <row r="2900" spans="1:2" ht="15" hidden="1" x14ac:dyDescent="0.25">
      <c r="A2900" s="425" t="s">
        <v>401</v>
      </c>
      <c r="B2900" s="425" t="s">
        <v>402</v>
      </c>
    </row>
    <row r="2901" spans="1:2" ht="15" hidden="1" x14ac:dyDescent="0.25">
      <c r="A2901" s="425" t="s">
        <v>1263</v>
      </c>
      <c r="B2901" s="425" t="s">
        <v>1264</v>
      </c>
    </row>
    <row r="2902" spans="1:2" ht="15" hidden="1" x14ac:dyDescent="0.25">
      <c r="A2902" s="425" t="s">
        <v>1263</v>
      </c>
      <c r="B2902" s="425" t="s">
        <v>1264</v>
      </c>
    </row>
    <row r="2903" spans="1:2" ht="15" hidden="1" x14ac:dyDescent="0.25">
      <c r="A2903" s="425" t="s">
        <v>1263</v>
      </c>
      <c r="B2903" s="425" t="s">
        <v>1264</v>
      </c>
    </row>
    <row r="2904" spans="1:2" ht="15" hidden="1" x14ac:dyDescent="0.25">
      <c r="A2904" s="425" t="s">
        <v>1263</v>
      </c>
      <c r="B2904" s="425" t="s">
        <v>1264</v>
      </c>
    </row>
    <row r="2905" spans="1:2" ht="15" hidden="1" x14ac:dyDescent="0.25">
      <c r="A2905" s="425" t="s">
        <v>1263</v>
      </c>
      <c r="B2905" s="425" t="s">
        <v>1264</v>
      </c>
    </row>
    <row r="2906" spans="1:2" ht="15" hidden="1" x14ac:dyDescent="0.25">
      <c r="A2906" s="425" t="s">
        <v>1265</v>
      </c>
      <c r="B2906" s="425" t="s">
        <v>1266</v>
      </c>
    </row>
    <row r="2907" spans="1:2" ht="15" hidden="1" x14ac:dyDescent="0.25">
      <c r="A2907" s="425" t="s">
        <v>1265</v>
      </c>
      <c r="B2907" s="425" t="s">
        <v>1266</v>
      </c>
    </row>
    <row r="2908" spans="1:2" ht="15" hidden="1" x14ac:dyDescent="0.25">
      <c r="A2908" s="425" t="s">
        <v>1265</v>
      </c>
      <c r="B2908" s="425" t="s">
        <v>1266</v>
      </c>
    </row>
    <row r="2909" spans="1:2" ht="15" hidden="1" x14ac:dyDescent="0.25">
      <c r="A2909" s="425" t="s">
        <v>1265</v>
      </c>
      <c r="B2909" s="425" t="s">
        <v>1266</v>
      </c>
    </row>
    <row r="2910" spans="1:2" ht="15" hidden="1" x14ac:dyDescent="0.25">
      <c r="A2910" s="425" t="s">
        <v>1267</v>
      </c>
      <c r="B2910" s="425" t="s">
        <v>1268</v>
      </c>
    </row>
    <row r="2911" spans="1:2" ht="15" hidden="1" x14ac:dyDescent="0.25">
      <c r="A2911" s="425" t="s">
        <v>1267</v>
      </c>
      <c r="B2911" s="425" t="s">
        <v>1268</v>
      </c>
    </row>
    <row r="2912" spans="1:2" ht="15" hidden="1" x14ac:dyDescent="0.25">
      <c r="A2912" s="425" t="s">
        <v>1267</v>
      </c>
      <c r="B2912" s="425" t="s">
        <v>1268</v>
      </c>
    </row>
    <row r="2913" spans="1:2" ht="15" hidden="1" x14ac:dyDescent="0.25">
      <c r="A2913" s="425" t="s">
        <v>1267</v>
      </c>
      <c r="B2913" s="425" t="s">
        <v>1268</v>
      </c>
    </row>
    <row r="2914" spans="1:2" ht="15" hidden="1" x14ac:dyDescent="0.25">
      <c r="A2914" s="425" t="s">
        <v>1267</v>
      </c>
      <c r="B2914" s="425" t="s">
        <v>1268</v>
      </c>
    </row>
    <row r="2915" spans="1:2" ht="15" hidden="1" x14ac:dyDescent="0.25">
      <c r="A2915" s="425" t="s">
        <v>1267</v>
      </c>
      <c r="B2915" s="425" t="s">
        <v>1268</v>
      </c>
    </row>
    <row r="2916" spans="1:2" ht="15" hidden="1" x14ac:dyDescent="0.25">
      <c r="A2916" s="425" t="s">
        <v>1267</v>
      </c>
      <c r="B2916" s="425" t="s">
        <v>1268</v>
      </c>
    </row>
    <row r="2917" spans="1:2" ht="15" hidden="1" x14ac:dyDescent="0.25">
      <c r="A2917" s="425" t="s">
        <v>1267</v>
      </c>
      <c r="B2917" s="425" t="s">
        <v>1268</v>
      </c>
    </row>
    <row r="2918" spans="1:2" ht="15" hidden="1" x14ac:dyDescent="0.25">
      <c r="A2918" s="425" t="s">
        <v>1267</v>
      </c>
      <c r="B2918" s="425" t="s">
        <v>1268</v>
      </c>
    </row>
    <row r="2919" spans="1:2" ht="15" hidden="1" x14ac:dyDescent="0.25">
      <c r="A2919" s="425" t="s">
        <v>1267</v>
      </c>
      <c r="B2919" s="425" t="s">
        <v>1268</v>
      </c>
    </row>
    <row r="2920" spans="1:2" ht="15" hidden="1" x14ac:dyDescent="0.25">
      <c r="A2920" s="425" t="s">
        <v>1267</v>
      </c>
      <c r="B2920" s="425" t="s">
        <v>1268</v>
      </c>
    </row>
    <row r="2921" spans="1:2" ht="15" hidden="1" x14ac:dyDescent="0.25">
      <c r="A2921" s="425" t="s">
        <v>1267</v>
      </c>
      <c r="B2921" s="425" t="s">
        <v>1268</v>
      </c>
    </row>
    <row r="2922" spans="1:2" ht="15" hidden="1" x14ac:dyDescent="0.25">
      <c r="A2922" s="425" t="s">
        <v>1267</v>
      </c>
      <c r="B2922" s="425" t="s">
        <v>1268</v>
      </c>
    </row>
    <row r="2923" spans="1:2" ht="15" hidden="1" x14ac:dyDescent="0.25">
      <c r="A2923" s="425" t="s">
        <v>1267</v>
      </c>
      <c r="B2923" s="425" t="s">
        <v>1268</v>
      </c>
    </row>
    <row r="2924" spans="1:2" ht="15" hidden="1" x14ac:dyDescent="0.25">
      <c r="A2924" s="425" t="s">
        <v>1267</v>
      </c>
      <c r="B2924" s="425" t="s">
        <v>1268</v>
      </c>
    </row>
    <row r="2925" spans="1:2" ht="15" hidden="1" x14ac:dyDescent="0.25">
      <c r="A2925" s="425" t="s">
        <v>1267</v>
      </c>
      <c r="B2925" s="425" t="s">
        <v>1268</v>
      </c>
    </row>
    <row r="2926" spans="1:2" ht="15" hidden="1" x14ac:dyDescent="0.25">
      <c r="A2926" s="425" t="s">
        <v>1267</v>
      </c>
      <c r="B2926" s="425" t="s">
        <v>1268</v>
      </c>
    </row>
    <row r="2927" spans="1:2" ht="15" hidden="1" x14ac:dyDescent="0.25">
      <c r="A2927" s="425" t="s">
        <v>1267</v>
      </c>
      <c r="B2927" s="425" t="s">
        <v>1268</v>
      </c>
    </row>
    <row r="2928" spans="1:2" ht="15" hidden="1" x14ac:dyDescent="0.25">
      <c r="A2928" s="425" t="s">
        <v>1267</v>
      </c>
      <c r="B2928" s="425" t="s">
        <v>1268</v>
      </c>
    </row>
    <row r="2929" spans="1:2" ht="15" hidden="1" x14ac:dyDescent="0.25">
      <c r="A2929" s="425" t="s">
        <v>1267</v>
      </c>
      <c r="B2929" s="425" t="s">
        <v>1268</v>
      </c>
    </row>
    <row r="2930" spans="1:2" ht="15" hidden="1" x14ac:dyDescent="0.25">
      <c r="A2930" s="425" t="s">
        <v>1267</v>
      </c>
      <c r="B2930" s="425" t="s">
        <v>1268</v>
      </c>
    </row>
    <row r="2931" spans="1:2" ht="15" hidden="1" x14ac:dyDescent="0.25">
      <c r="A2931" s="425" t="s">
        <v>1267</v>
      </c>
      <c r="B2931" s="425" t="s">
        <v>1268</v>
      </c>
    </row>
    <row r="2932" spans="1:2" ht="15" hidden="1" x14ac:dyDescent="0.25">
      <c r="A2932" s="425" t="s">
        <v>1267</v>
      </c>
      <c r="B2932" s="425" t="s">
        <v>1268</v>
      </c>
    </row>
    <row r="2933" spans="1:2" ht="15" hidden="1" x14ac:dyDescent="0.25">
      <c r="A2933" s="425" t="s">
        <v>1267</v>
      </c>
      <c r="B2933" s="425" t="s">
        <v>1268</v>
      </c>
    </row>
    <row r="2934" spans="1:2" ht="15" hidden="1" x14ac:dyDescent="0.25">
      <c r="A2934" s="425" t="s">
        <v>1267</v>
      </c>
      <c r="B2934" s="425" t="s">
        <v>1268</v>
      </c>
    </row>
    <row r="2935" spans="1:2" ht="15" hidden="1" x14ac:dyDescent="0.25">
      <c r="A2935" s="425" t="s">
        <v>1267</v>
      </c>
      <c r="B2935" s="425" t="s">
        <v>1268</v>
      </c>
    </row>
    <row r="2936" spans="1:2" ht="15" hidden="1" x14ac:dyDescent="0.25">
      <c r="A2936" s="425" t="s">
        <v>1267</v>
      </c>
      <c r="B2936" s="425" t="s">
        <v>1268</v>
      </c>
    </row>
    <row r="2937" spans="1:2" ht="15" hidden="1" x14ac:dyDescent="0.25">
      <c r="A2937" s="425" t="s">
        <v>1267</v>
      </c>
      <c r="B2937" s="425" t="s">
        <v>1268</v>
      </c>
    </row>
    <row r="2938" spans="1:2" ht="15" hidden="1" x14ac:dyDescent="0.25">
      <c r="A2938" s="425" t="s">
        <v>1267</v>
      </c>
      <c r="B2938" s="425" t="s">
        <v>1268</v>
      </c>
    </row>
    <row r="2939" spans="1:2" ht="15" hidden="1" x14ac:dyDescent="0.25">
      <c r="A2939" s="425" t="s">
        <v>1267</v>
      </c>
      <c r="B2939" s="425" t="s">
        <v>1268</v>
      </c>
    </row>
    <row r="2940" spans="1:2" ht="15" hidden="1" x14ac:dyDescent="0.25">
      <c r="A2940" s="425" t="s">
        <v>1267</v>
      </c>
      <c r="B2940" s="425" t="s">
        <v>1268</v>
      </c>
    </row>
    <row r="2941" spans="1:2" ht="15" hidden="1" x14ac:dyDescent="0.25">
      <c r="A2941" s="425" t="s">
        <v>1267</v>
      </c>
      <c r="B2941" s="425" t="s">
        <v>1268</v>
      </c>
    </row>
    <row r="2942" spans="1:2" ht="15" hidden="1" x14ac:dyDescent="0.25">
      <c r="A2942" s="425" t="s">
        <v>1267</v>
      </c>
      <c r="B2942" s="425" t="s">
        <v>1268</v>
      </c>
    </row>
    <row r="2943" spans="1:2" ht="15" hidden="1" x14ac:dyDescent="0.25">
      <c r="A2943" s="425" t="s">
        <v>1267</v>
      </c>
      <c r="B2943" s="425" t="s">
        <v>1268</v>
      </c>
    </row>
    <row r="2944" spans="1:2" ht="15" hidden="1" x14ac:dyDescent="0.25">
      <c r="A2944" s="425" t="s">
        <v>1267</v>
      </c>
      <c r="B2944" s="425" t="s">
        <v>1268</v>
      </c>
    </row>
    <row r="2945" spans="1:2" ht="15" hidden="1" x14ac:dyDescent="0.25">
      <c r="A2945" s="425" t="s">
        <v>1267</v>
      </c>
      <c r="B2945" s="425" t="s">
        <v>1268</v>
      </c>
    </row>
    <row r="2946" spans="1:2" ht="15" hidden="1" x14ac:dyDescent="0.25">
      <c r="A2946" s="425" t="s">
        <v>1267</v>
      </c>
      <c r="B2946" s="425" t="s">
        <v>1268</v>
      </c>
    </row>
    <row r="2947" spans="1:2" ht="15" hidden="1" x14ac:dyDescent="0.25">
      <c r="A2947" s="425" t="s">
        <v>1267</v>
      </c>
      <c r="B2947" s="425" t="s">
        <v>1268</v>
      </c>
    </row>
    <row r="2948" spans="1:2" ht="15" hidden="1" x14ac:dyDescent="0.25">
      <c r="A2948" s="425" t="s">
        <v>1267</v>
      </c>
      <c r="B2948" s="425" t="s">
        <v>1268</v>
      </c>
    </row>
    <row r="2949" spans="1:2" ht="15" hidden="1" x14ac:dyDescent="0.25">
      <c r="A2949" s="425" t="s">
        <v>187</v>
      </c>
      <c r="B2949" s="425" t="s">
        <v>322</v>
      </c>
    </row>
    <row r="2950" spans="1:2" ht="15" hidden="1" x14ac:dyDescent="0.25">
      <c r="A2950" s="425" t="s">
        <v>187</v>
      </c>
      <c r="B2950" s="425" t="s">
        <v>322</v>
      </c>
    </row>
    <row r="2951" spans="1:2" ht="15" hidden="1" x14ac:dyDescent="0.25">
      <c r="A2951" s="425" t="s">
        <v>188</v>
      </c>
      <c r="B2951" s="425" t="s">
        <v>323</v>
      </c>
    </row>
    <row r="2952" spans="1:2" ht="15" hidden="1" x14ac:dyDescent="0.25">
      <c r="A2952" s="425" t="s">
        <v>188</v>
      </c>
      <c r="B2952" s="425" t="s">
        <v>323</v>
      </c>
    </row>
    <row r="2953" spans="1:2" ht="15" hidden="1" x14ac:dyDescent="0.25">
      <c r="A2953" s="425" t="s">
        <v>188</v>
      </c>
      <c r="B2953" s="425" t="s">
        <v>323</v>
      </c>
    </row>
    <row r="2954" spans="1:2" ht="15" hidden="1" x14ac:dyDescent="0.25">
      <c r="A2954" s="425" t="s">
        <v>188</v>
      </c>
      <c r="B2954" s="425" t="s">
        <v>323</v>
      </c>
    </row>
    <row r="2955" spans="1:2" ht="15" hidden="1" x14ac:dyDescent="0.25">
      <c r="A2955" s="425" t="s">
        <v>188</v>
      </c>
      <c r="B2955" s="425" t="s">
        <v>323</v>
      </c>
    </row>
    <row r="2956" spans="1:2" ht="15" hidden="1" x14ac:dyDescent="0.25">
      <c r="A2956" s="425" t="s">
        <v>1269</v>
      </c>
      <c r="B2956" s="425" t="s">
        <v>1270</v>
      </c>
    </row>
    <row r="2957" spans="1:2" ht="15" hidden="1" x14ac:dyDescent="0.25">
      <c r="A2957" s="425" t="s">
        <v>1269</v>
      </c>
      <c r="B2957" s="425" t="s">
        <v>1270</v>
      </c>
    </row>
    <row r="2958" spans="1:2" ht="15" hidden="1" x14ac:dyDescent="0.25">
      <c r="A2958" s="425" t="s">
        <v>1269</v>
      </c>
      <c r="B2958" s="425" t="s">
        <v>1270</v>
      </c>
    </row>
    <row r="2959" spans="1:2" ht="15" hidden="1" x14ac:dyDescent="0.25">
      <c r="A2959" s="425" t="s">
        <v>2357</v>
      </c>
      <c r="B2959" s="425" t="s">
        <v>2357</v>
      </c>
    </row>
    <row r="2960" spans="1:2" ht="15" hidden="1" x14ac:dyDescent="0.25">
      <c r="A2960" s="425" t="s">
        <v>2358</v>
      </c>
      <c r="B2960" s="425" t="s">
        <v>2358</v>
      </c>
    </row>
    <row r="2961" spans="1:2" ht="15" hidden="1" x14ac:dyDescent="0.25">
      <c r="A2961" s="425" t="s">
        <v>2359</v>
      </c>
      <c r="B2961" s="425" t="s">
        <v>2359</v>
      </c>
    </row>
    <row r="2962" spans="1:2" ht="15" hidden="1" x14ac:dyDescent="0.25">
      <c r="A2962" s="425" t="s">
        <v>2360</v>
      </c>
      <c r="B2962" s="425" t="s">
        <v>2360</v>
      </c>
    </row>
    <row r="2963" spans="1:2" ht="15" hidden="1" x14ac:dyDescent="0.25">
      <c r="A2963" s="425" t="s">
        <v>2361</v>
      </c>
      <c r="B2963" s="425" t="s">
        <v>2361</v>
      </c>
    </row>
    <row r="2964" spans="1:2" ht="15" hidden="1" x14ac:dyDescent="0.25">
      <c r="A2964" s="425" t="s">
        <v>2362</v>
      </c>
      <c r="B2964" s="425" t="s">
        <v>2362</v>
      </c>
    </row>
    <row r="2965" spans="1:2" ht="15" hidden="1" x14ac:dyDescent="0.25">
      <c r="A2965" s="425" t="s">
        <v>2362</v>
      </c>
      <c r="B2965" s="425" t="s">
        <v>2362</v>
      </c>
    </row>
    <row r="2966" spans="1:2" ht="15" hidden="1" x14ac:dyDescent="0.25">
      <c r="A2966" s="425" t="s">
        <v>2363</v>
      </c>
      <c r="B2966" s="425" t="s">
        <v>2363</v>
      </c>
    </row>
    <row r="2967" spans="1:2" ht="15" hidden="1" x14ac:dyDescent="0.25">
      <c r="A2967" s="425" t="s">
        <v>2364</v>
      </c>
      <c r="B2967" s="425" t="s">
        <v>2364</v>
      </c>
    </row>
    <row r="2968" spans="1:2" ht="15" hidden="1" x14ac:dyDescent="0.25">
      <c r="A2968" s="425" t="s">
        <v>2364</v>
      </c>
      <c r="B2968" s="425" t="s">
        <v>2364</v>
      </c>
    </row>
    <row r="2969" spans="1:2" ht="15" hidden="1" x14ac:dyDescent="0.25">
      <c r="A2969" s="425" t="s">
        <v>2365</v>
      </c>
      <c r="B2969" s="425" t="s">
        <v>2365</v>
      </c>
    </row>
    <row r="2970" spans="1:2" ht="15" hidden="1" x14ac:dyDescent="0.25">
      <c r="A2970" s="425" t="s">
        <v>2366</v>
      </c>
      <c r="B2970" s="425" t="s">
        <v>2366</v>
      </c>
    </row>
    <row r="2971" spans="1:2" ht="15" hidden="1" x14ac:dyDescent="0.25">
      <c r="A2971" s="425" t="s">
        <v>2367</v>
      </c>
      <c r="B2971" s="425" t="s">
        <v>2367</v>
      </c>
    </row>
    <row r="2972" spans="1:2" ht="15" hidden="1" x14ac:dyDescent="0.25">
      <c r="A2972" s="425" t="s">
        <v>2367</v>
      </c>
      <c r="B2972" s="425" t="s">
        <v>2367</v>
      </c>
    </row>
    <row r="2973" spans="1:2" ht="15" hidden="1" x14ac:dyDescent="0.25">
      <c r="A2973" s="425" t="s">
        <v>2368</v>
      </c>
      <c r="B2973" s="425" t="s">
        <v>2368</v>
      </c>
    </row>
    <row r="2974" spans="1:2" ht="15" hidden="1" x14ac:dyDescent="0.25">
      <c r="A2974" s="425" t="s">
        <v>2369</v>
      </c>
      <c r="B2974" s="425" t="s">
        <v>2369</v>
      </c>
    </row>
    <row r="2975" spans="1:2" ht="15" hidden="1" x14ac:dyDescent="0.25">
      <c r="A2975" s="425" t="s">
        <v>2369</v>
      </c>
      <c r="B2975" s="425" t="s">
        <v>2369</v>
      </c>
    </row>
    <row r="2976" spans="1:2" ht="15" hidden="1" x14ac:dyDescent="0.25">
      <c r="A2976" s="425" t="s">
        <v>2370</v>
      </c>
      <c r="B2976" s="425" t="s">
        <v>2370</v>
      </c>
    </row>
    <row r="2977" spans="1:2" ht="15" hidden="1" x14ac:dyDescent="0.25">
      <c r="A2977" s="425" t="s">
        <v>2371</v>
      </c>
      <c r="B2977" s="425" t="s">
        <v>2371</v>
      </c>
    </row>
    <row r="2978" spans="1:2" ht="15" hidden="1" x14ac:dyDescent="0.25">
      <c r="A2978" s="425" t="s">
        <v>2372</v>
      </c>
      <c r="B2978" s="425" t="s">
        <v>2372</v>
      </c>
    </row>
    <row r="2979" spans="1:2" ht="15" hidden="1" x14ac:dyDescent="0.25">
      <c r="A2979" s="425" t="s">
        <v>2373</v>
      </c>
      <c r="B2979" s="425" t="s">
        <v>2373</v>
      </c>
    </row>
    <row r="2980" spans="1:2" ht="15" hidden="1" x14ac:dyDescent="0.25">
      <c r="A2980" s="425" t="s">
        <v>2374</v>
      </c>
      <c r="B2980" s="425" t="s">
        <v>2374</v>
      </c>
    </row>
    <row r="2981" spans="1:2" ht="15" hidden="1" x14ac:dyDescent="0.25">
      <c r="A2981" s="425" t="s">
        <v>2374</v>
      </c>
      <c r="B2981" s="425" t="s">
        <v>2374</v>
      </c>
    </row>
    <row r="2982" spans="1:2" ht="15" hidden="1" x14ac:dyDescent="0.25">
      <c r="A2982" s="425" t="s">
        <v>2375</v>
      </c>
      <c r="B2982" s="425" t="s">
        <v>2375</v>
      </c>
    </row>
    <row r="2983" spans="1:2" ht="15" hidden="1" x14ac:dyDescent="0.25">
      <c r="A2983" s="425" t="s">
        <v>2376</v>
      </c>
      <c r="B2983" s="425" t="s">
        <v>2376</v>
      </c>
    </row>
    <row r="2984" spans="1:2" ht="15" hidden="1" x14ac:dyDescent="0.25">
      <c r="A2984" s="425" t="s">
        <v>2377</v>
      </c>
      <c r="B2984" s="425" t="s">
        <v>2377</v>
      </c>
    </row>
    <row r="2985" spans="1:2" ht="15" hidden="1" x14ac:dyDescent="0.25">
      <c r="A2985" s="425" t="s">
        <v>2378</v>
      </c>
      <c r="B2985" s="425" t="s">
        <v>2378</v>
      </c>
    </row>
    <row r="2986" spans="1:2" ht="15" hidden="1" x14ac:dyDescent="0.25">
      <c r="A2986" s="425" t="s">
        <v>2379</v>
      </c>
      <c r="B2986" s="425" t="s">
        <v>2379</v>
      </c>
    </row>
    <row r="2987" spans="1:2" ht="15" hidden="1" x14ac:dyDescent="0.25">
      <c r="A2987" s="425" t="s">
        <v>2380</v>
      </c>
      <c r="B2987" s="425" t="s">
        <v>2380</v>
      </c>
    </row>
    <row r="2988" spans="1:2" ht="15" hidden="1" x14ac:dyDescent="0.25">
      <c r="A2988" s="425" t="s">
        <v>2380</v>
      </c>
      <c r="B2988" s="425" t="s">
        <v>2380</v>
      </c>
    </row>
    <row r="2989" spans="1:2" ht="15" hidden="1" x14ac:dyDescent="0.25">
      <c r="A2989" s="425" t="s">
        <v>2381</v>
      </c>
      <c r="B2989" s="425" t="s">
        <v>2381</v>
      </c>
    </row>
    <row r="2990" spans="1:2" ht="15" hidden="1" x14ac:dyDescent="0.25">
      <c r="A2990" s="425" t="s">
        <v>2382</v>
      </c>
      <c r="B2990" s="425" t="s">
        <v>2382</v>
      </c>
    </row>
    <row r="2991" spans="1:2" ht="15" hidden="1" x14ac:dyDescent="0.25">
      <c r="A2991" s="425" t="s">
        <v>2383</v>
      </c>
      <c r="B2991" s="425" t="s">
        <v>2383</v>
      </c>
    </row>
    <row r="2992" spans="1:2" ht="15" hidden="1" x14ac:dyDescent="0.25">
      <c r="A2992" s="425" t="s">
        <v>2384</v>
      </c>
      <c r="B2992" s="425" t="s">
        <v>2384</v>
      </c>
    </row>
    <row r="2993" spans="1:2" ht="15" hidden="1" x14ac:dyDescent="0.25">
      <c r="A2993" s="425" t="s">
        <v>2385</v>
      </c>
      <c r="B2993" s="425" t="s">
        <v>2385</v>
      </c>
    </row>
    <row r="2994" spans="1:2" ht="15" hidden="1" x14ac:dyDescent="0.25">
      <c r="A2994" s="425" t="s">
        <v>2386</v>
      </c>
      <c r="B2994" s="425" t="s">
        <v>2386</v>
      </c>
    </row>
    <row r="2995" spans="1:2" ht="15" hidden="1" x14ac:dyDescent="0.25">
      <c r="A2995" s="425" t="s">
        <v>2387</v>
      </c>
      <c r="B2995" s="425" t="s">
        <v>2387</v>
      </c>
    </row>
    <row r="2996" spans="1:2" ht="15" hidden="1" x14ac:dyDescent="0.25">
      <c r="A2996" s="425" t="s">
        <v>2388</v>
      </c>
      <c r="B2996" s="425" t="s">
        <v>2388</v>
      </c>
    </row>
    <row r="2997" spans="1:2" ht="15" hidden="1" x14ac:dyDescent="0.25">
      <c r="A2997" s="425" t="s">
        <v>2389</v>
      </c>
      <c r="B2997" s="425" t="s">
        <v>2389</v>
      </c>
    </row>
    <row r="2998" spans="1:2" ht="15" hidden="1" x14ac:dyDescent="0.25">
      <c r="A2998" s="425" t="s">
        <v>2390</v>
      </c>
      <c r="B2998" s="425" t="s">
        <v>2390</v>
      </c>
    </row>
    <row r="2999" spans="1:2" ht="15" hidden="1" x14ac:dyDescent="0.25">
      <c r="A2999" s="425" t="s">
        <v>2391</v>
      </c>
      <c r="B2999" s="425" t="s">
        <v>2391</v>
      </c>
    </row>
    <row r="3000" spans="1:2" ht="15" hidden="1" x14ac:dyDescent="0.25">
      <c r="A3000" s="425" t="s">
        <v>2391</v>
      </c>
      <c r="B3000" s="425" t="s">
        <v>2391</v>
      </c>
    </row>
    <row r="3001" spans="1:2" ht="15" hidden="1" x14ac:dyDescent="0.25">
      <c r="A3001" s="425" t="s">
        <v>2392</v>
      </c>
      <c r="B3001" s="425" t="s">
        <v>2392</v>
      </c>
    </row>
    <row r="3002" spans="1:2" ht="15" hidden="1" x14ac:dyDescent="0.25">
      <c r="A3002" s="425" t="s">
        <v>2393</v>
      </c>
      <c r="B3002" s="425" t="s">
        <v>2393</v>
      </c>
    </row>
    <row r="3003" spans="1:2" ht="15" hidden="1" x14ac:dyDescent="0.25">
      <c r="A3003" s="425" t="s">
        <v>2394</v>
      </c>
      <c r="B3003" s="425" t="s">
        <v>2394</v>
      </c>
    </row>
    <row r="3004" spans="1:2" ht="15" hidden="1" x14ac:dyDescent="0.25">
      <c r="A3004" s="425" t="s">
        <v>2395</v>
      </c>
      <c r="B3004" s="425" t="s">
        <v>2395</v>
      </c>
    </row>
    <row r="3005" spans="1:2" ht="15" hidden="1" x14ac:dyDescent="0.25">
      <c r="A3005" s="425" t="s">
        <v>2396</v>
      </c>
      <c r="B3005" s="425" t="s">
        <v>2396</v>
      </c>
    </row>
    <row r="3006" spans="1:2" ht="15" hidden="1" x14ac:dyDescent="0.25">
      <c r="A3006" s="425" t="s">
        <v>2396</v>
      </c>
      <c r="B3006" s="425" t="s">
        <v>2396</v>
      </c>
    </row>
    <row r="3007" spans="1:2" ht="15" hidden="1" x14ac:dyDescent="0.25">
      <c r="A3007" s="425" t="s">
        <v>2397</v>
      </c>
      <c r="B3007" s="425" t="s">
        <v>2397</v>
      </c>
    </row>
    <row r="3008" spans="1:2" ht="15" hidden="1" x14ac:dyDescent="0.25">
      <c r="A3008" s="425" t="s">
        <v>2398</v>
      </c>
      <c r="B3008" s="425" t="s">
        <v>2398</v>
      </c>
    </row>
    <row r="3009" spans="1:2" ht="15" hidden="1" x14ac:dyDescent="0.25">
      <c r="A3009" s="425" t="s">
        <v>2399</v>
      </c>
      <c r="B3009" s="425" t="s">
        <v>2399</v>
      </c>
    </row>
    <row r="3010" spans="1:2" ht="15" hidden="1" x14ac:dyDescent="0.25">
      <c r="A3010" s="425" t="s">
        <v>2399</v>
      </c>
      <c r="B3010" s="425" t="s">
        <v>2399</v>
      </c>
    </row>
    <row r="3011" spans="1:2" ht="15" hidden="1" x14ac:dyDescent="0.25">
      <c r="A3011" s="425" t="s">
        <v>2400</v>
      </c>
      <c r="B3011" s="425" t="s">
        <v>2400</v>
      </c>
    </row>
    <row r="3012" spans="1:2" ht="15" hidden="1" x14ac:dyDescent="0.25">
      <c r="A3012" s="425" t="s">
        <v>2400</v>
      </c>
      <c r="B3012" s="425" t="s">
        <v>2400</v>
      </c>
    </row>
    <row r="3013" spans="1:2" ht="15" hidden="1" x14ac:dyDescent="0.25">
      <c r="A3013" s="425" t="s">
        <v>2401</v>
      </c>
      <c r="B3013" s="425" t="s">
        <v>2401</v>
      </c>
    </row>
    <row r="3014" spans="1:2" ht="15" hidden="1" x14ac:dyDescent="0.25">
      <c r="A3014" s="425" t="s">
        <v>2402</v>
      </c>
      <c r="B3014" s="425" t="s">
        <v>2402</v>
      </c>
    </row>
    <row r="3015" spans="1:2" ht="15" hidden="1" x14ac:dyDescent="0.25">
      <c r="A3015" s="425" t="s">
        <v>2403</v>
      </c>
      <c r="B3015" s="425" t="s">
        <v>2403</v>
      </c>
    </row>
    <row r="3016" spans="1:2" ht="15" hidden="1" x14ac:dyDescent="0.25">
      <c r="A3016" s="425" t="s">
        <v>2403</v>
      </c>
      <c r="B3016" s="425" t="s">
        <v>2403</v>
      </c>
    </row>
    <row r="3017" spans="1:2" ht="15" hidden="1" x14ac:dyDescent="0.25">
      <c r="A3017" s="425" t="s">
        <v>2404</v>
      </c>
      <c r="B3017" s="425" t="s">
        <v>2404</v>
      </c>
    </row>
    <row r="3018" spans="1:2" ht="15" hidden="1" x14ac:dyDescent="0.25">
      <c r="A3018" s="425" t="s">
        <v>2404</v>
      </c>
      <c r="B3018" s="425" t="s">
        <v>2404</v>
      </c>
    </row>
    <row r="3019" spans="1:2" ht="15" hidden="1" x14ac:dyDescent="0.25">
      <c r="A3019" s="425" t="s">
        <v>2405</v>
      </c>
      <c r="B3019" s="425" t="s">
        <v>2405</v>
      </c>
    </row>
    <row r="3020" spans="1:2" ht="15" hidden="1" x14ac:dyDescent="0.25">
      <c r="A3020" s="425" t="s">
        <v>2406</v>
      </c>
      <c r="B3020" s="425" t="s">
        <v>2406</v>
      </c>
    </row>
    <row r="3021" spans="1:2" ht="15" hidden="1" x14ac:dyDescent="0.25">
      <c r="A3021" s="425" t="s">
        <v>2407</v>
      </c>
      <c r="B3021" s="425" t="s">
        <v>2407</v>
      </c>
    </row>
    <row r="3022" spans="1:2" ht="15" hidden="1" x14ac:dyDescent="0.25">
      <c r="A3022" s="425" t="s">
        <v>2408</v>
      </c>
      <c r="B3022" s="425" t="s">
        <v>2408</v>
      </c>
    </row>
    <row r="3023" spans="1:2" ht="15" hidden="1" x14ac:dyDescent="0.25">
      <c r="A3023" s="425" t="s">
        <v>2408</v>
      </c>
      <c r="B3023" s="425" t="s">
        <v>2408</v>
      </c>
    </row>
    <row r="3024" spans="1:2" ht="15" hidden="1" x14ac:dyDescent="0.25">
      <c r="A3024" s="425" t="s">
        <v>2409</v>
      </c>
      <c r="B3024" s="425" t="s">
        <v>2409</v>
      </c>
    </row>
    <row r="3025" spans="1:2" ht="15" hidden="1" x14ac:dyDescent="0.25">
      <c r="A3025" s="425" t="s">
        <v>2409</v>
      </c>
      <c r="B3025" s="425" t="s">
        <v>2409</v>
      </c>
    </row>
    <row r="3026" spans="1:2" ht="15" hidden="1" x14ac:dyDescent="0.25">
      <c r="A3026" s="425" t="s">
        <v>2410</v>
      </c>
      <c r="B3026" s="425" t="s">
        <v>2410</v>
      </c>
    </row>
    <row r="3027" spans="1:2" ht="15" hidden="1" x14ac:dyDescent="0.25">
      <c r="A3027" s="425" t="s">
        <v>2411</v>
      </c>
      <c r="B3027" s="425" t="s">
        <v>2411</v>
      </c>
    </row>
    <row r="3028" spans="1:2" ht="15" hidden="1" x14ac:dyDescent="0.25">
      <c r="A3028" s="425" t="s">
        <v>2411</v>
      </c>
      <c r="B3028" s="425" t="s">
        <v>2411</v>
      </c>
    </row>
    <row r="3029" spans="1:2" ht="15" hidden="1" x14ac:dyDescent="0.25">
      <c r="A3029" s="425" t="s">
        <v>2412</v>
      </c>
      <c r="B3029" s="425" t="s">
        <v>2412</v>
      </c>
    </row>
    <row r="3030" spans="1:2" ht="15" hidden="1" x14ac:dyDescent="0.25">
      <c r="A3030" s="425" t="s">
        <v>2412</v>
      </c>
      <c r="B3030" s="425" t="s">
        <v>2412</v>
      </c>
    </row>
    <row r="3031" spans="1:2" ht="15" hidden="1" x14ac:dyDescent="0.25">
      <c r="A3031" s="425" t="s">
        <v>2413</v>
      </c>
      <c r="B3031" s="425" t="s">
        <v>2413</v>
      </c>
    </row>
    <row r="3032" spans="1:2" ht="15" hidden="1" x14ac:dyDescent="0.25">
      <c r="A3032" s="425" t="s">
        <v>2414</v>
      </c>
      <c r="B3032" s="425" t="s">
        <v>2414</v>
      </c>
    </row>
    <row r="3033" spans="1:2" ht="15" hidden="1" x14ac:dyDescent="0.25">
      <c r="A3033" s="425" t="s">
        <v>2415</v>
      </c>
      <c r="B3033" s="425" t="s">
        <v>2415</v>
      </c>
    </row>
    <row r="3034" spans="1:2" ht="15" hidden="1" x14ac:dyDescent="0.25">
      <c r="A3034" s="425" t="s">
        <v>2416</v>
      </c>
      <c r="B3034" s="425" t="s">
        <v>2416</v>
      </c>
    </row>
    <row r="3035" spans="1:2" ht="15" hidden="1" x14ac:dyDescent="0.25">
      <c r="A3035" s="425" t="s">
        <v>2417</v>
      </c>
      <c r="B3035" s="425" t="s">
        <v>2417</v>
      </c>
    </row>
    <row r="3036" spans="1:2" ht="15" hidden="1" x14ac:dyDescent="0.25">
      <c r="A3036" s="425" t="s">
        <v>2418</v>
      </c>
      <c r="B3036" s="425" t="s">
        <v>2418</v>
      </c>
    </row>
    <row r="3037" spans="1:2" ht="15" hidden="1" x14ac:dyDescent="0.25">
      <c r="A3037" s="425" t="s">
        <v>2419</v>
      </c>
      <c r="B3037" s="425" t="s">
        <v>2419</v>
      </c>
    </row>
    <row r="3038" spans="1:2" ht="15" hidden="1" x14ac:dyDescent="0.25">
      <c r="A3038" s="425" t="s">
        <v>2420</v>
      </c>
      <c r="B3038" s="425" t="s">
        <v>2420</v>
      </c>
    </row>
    <row r="3039" spans="1:2" ht="15" hidden="1" x14ac:dyDescent="0.25">
      <c r="A3039" s="425" t="s">
        <v>2421</v>
      </c>
      <c r="B3039" s="425" t="s">
        <v>2421</v>
      </c>
    </row>
    <row r="3040" spans="1:2" ht="15" hidden="1" x14ac:dyDescent="0.25">
      <c r="A3040" s="425" t="s">
        <v>2422</v>
      </c>
      <c r="B3040" s="425" t="s">
        <v>2422</v>
      </c>
    </row>
    <row r="3041" spans="1:2" ht="15" hidden="1" x14ac:dyDescent="0.25">
      <c r="A3041" s="425" t="s">
        <v>2423</v>
      </c>
      <c r="B3041" s="425" t="s">
        <v>2423</v>
      </c>
    </row>
    <row r="3042" spans="1:2" ht="15" hidden="1" x14ac:dyDescent="0.25">
      <c r="A3042" s="425" t="s">
        <v>2424</v>
      </c>
      <c r="B3042" s="425" t="s">
        <v>2424</v>
      </c>
    </row>
    <row r="3043" spans="1:2" ht="15" hidden="1" x14ac:dyDescent="0.25">
      <c r="A3043" s="425" t="s">
        <v>2424</v>
      </c>
      <c r="B3043" s="425" t="s">
        <v>2424</v>
      </c>
    </row>
    <row r="3044" spans="1:2" ht="15" hidden="1" x14ac:dyDescent="0.25">
      <c r="A3044" s="425" t="s">
        <v>2425</v>
      </c>
      <c r="B3044" s="425" t="s">
        <v>2425</v>
      </c>
    </row>
    <row r="3045" spans="1:2" ht="15" hidden="1" x14ac:dyDescent="0.25">
      <c r="A3045" s="425" t="s">
        <v>2426</v>
      </c>
      <c r="B3045" s="425" t="s">
        <v>2426</v>
      </c>
    </row>
    <row r="3046" spans="1:2" ht="15" hidden="1" x14ac:dyDescent="0.25">
      <c r="A3046" s="425" t="s">
        <v>2427</v>
      </c>
      <c r="B3046" s="425" t="s">
        <v>2427</v>
      </c>
    </row>
    <row r="3047" spans="1:2" ht="15" hidden="1" x14ac:dyDescent="0.25">
      <c r="A3047" s="425" t="s">
        <v>2427</v>
      </c>
      <c r="B3047" s="425" t="s">
        <v>2427</v>
      </c>
    </row>
    <row r="3048" spans="1:2" ht="15" hidden="1" x14ac:dyDescent="0.25">
      <c r="A3048" s="425" t="s">
        <v>2428</v>
      </c>
      <c r="B3048" s="425" t="s">
        <v>2428</v>
      </c>
    </row>
    <row r="3049" spans="1:2" ht="15" hidden="1" x14ac:dyDescent="0.25">
      <c r="A3049" s="425" t="s">
        <v>2429</v>
      </c>
      <c r="B3049" s="425" t="s">
        <v>2429</v>
      </c>
    </row>
    <row r="3050" spans="1:2" ht="15" hidden="1" x14ac:dyDescent="0.25">
      <c r="A3050" s="425" t="s">
        <v>2430</v>
      </c>
      <c r="B3050" s="425" t="s">
        <v>2430</v>
      </c>
    </row>
    <row r="3051" spans="1:2" ht="15" hidden="1" x14ac:dyDescent="0.25">
      <c r="A3051" s="425" t="s">
        <v>2431</v>
      </c>
      <c r="B3051" s="425" t="s">
        <v>2431</v>
      </c>
    </row>
    <row r="3052" spans="1:2" ht="15" hidden="1" x14ac:dyDescent="0.25">
      <c r="A3052" s="425" t="s">
        <v>2432</v>
      </c>
      <c r="B3052" s="425" t="s">
        <v>2432</v>
      </c>
    </row>
    <row r="3053" spans="1:2" ht="15" hidden="1" x14ac:dyDescent="0.25">
      <c r="A3053" s="425" t="s">
        <v>2433</v>
      </c>
      <c r="B3053" s="425" t="s">
        <v>2433</v>
      </c>
    </row>
    <row r="3054" spans="1:2" ht="15" hidden="1" x14ac:dyDescent="0.25">
      <c r="A3054" s="425" t="s">
        <v>2434</v>
      </c>
      <c r="B3054" s="425" t="s">
        <v>2434</v>
      </c>
    </row>
    <row r="3055" spans="1:2" ht="15" hidden="1" x14ac:dyDescent="0.25">
      <c r="A3055" s="425" t="s">
        <v>2434</v>
      </c>
      <c r="B3055" s="425" t="s">
        <v>2434</v>
      </c>
    </row>
    <row r="3056" spans="1:2" ht="15" hidden="1" x14ac:dyDescent="0.25">
      <c r="A3056" s="425" t="s">
        <v>2435</v>
      </c>
      <c r="B3056" s="425" t="s">
        <v>2435</v>
      </c>
    </row>
    <row r="3057" spans="1:2" ht="15" hidden="1" x14ac:dyDescent="0.25">
      <c r="A3057" s="425" t="s">
        <v>2436</v>
      </c>
      <c r="B3057" s="425" t="s">
        <v>2436</v>
      </c>
    </row>
    <row r="3058" spans="1:2" ht="15" hidden="1" x14ac:dyDescent="0.25">
      <c r="A3058" s="425" t="s">
        <v>2437</v>
      </c>
      <c r="B3058" s="425" t="s">
        <v>2437</v>
      </c>
    </row>
    <row r="3059" spans="1:2" ht="15" hidden="1" x14ac:dyDescent="0.25">
      <c r="A3059" s="425" t="s">
        <v>2438</v>
      </c>
      <c r="B3059" s="425" t="s">
        <v>2438</v>
      </c>
    </row>
    <row r="3060" spans="1:2" ht="15" hidden="1" x14ac:dyDescent="0.25">
      <c r="A3060" s="425" t="s">
        <v>2438</v>
      </c>
      <c r="B3060" s="425" t="s">
        <v>2438</v>
      </c>
    </row>
    <row r="3061" spans="1:2" ht="15" hidden="1" x14ac:dyDescent="0.25">
      <c r="A3061" s="425" t="s">
        <v>2439</v>
      </c>
      <c r="B3061" s="425" t="s">
        <v>2439</v>
      </c>
    </row>
    <row r="3062" spans="1:2" ht="15" hidden="1" x14ac:dyDescent="0.25">
      <c r="A3062" s="425" t="s">
        <v>2440</v>
      </c>
      <c r="B3062" s="425" t="s">
        <v>2440</v>
      </c>
    </row>
    <row r="3063" spans="1:2" ht="15" hidden="1" x14ac:dyDescent="0.25">
      <c r="A3063" s="425" t="s">
        <v>2441</v>
      </c>
      <c r="B3063" s="425" t="s">
        <v>2441</v>
      </c>
    </row>
    <row r="3064" spans="1:2" ht="15" hidden="1" x14ac:dyDescent="0.25">
      <c r="A3064" s="425" t="s">
        <v>2442</v>
      </c>
      <c r="B3064" s="425" t="s">
        <v>2442</v>
      </c>
    </row>
    <row r="3065" spans="1:2" ht="15" hidden="1" x14ac:dyDescent="0.25">
      <c r="A3065" s="425" t="s">
        <v>2443</v>
      </c>
      <c r="B3065" s="425" t="s">
        <v>2443</v>
      </c>
    </row>
    <row r="3066" spans="1:2" ht="15" hidden="1" x14ac:dyDescent="0.25">
      <c r="A3066" s="425" t="s">
        <v>2444</v>
      </c>
      <c r="B3066" s="425" t="s">
        <v>2444</v>
      </c>
    </row>
    <row r="3067" spans="1:2" ht="15" hidden="1" x14ac:dyDescent="0.25">
      <c r="A3067" s="425" t="s">
        <v>2445</v>
      </c>
      <c r="B3067" s="425" t="s">
        <v>2445</v>
      </c>
    </row>
    <row r="3068" spans="1:2" ht="15" hidden="1" x14ac:dyDescent="0.25">
      <c r="A3068" s="425" t="s">
        <v>2446</v>
      </c>
      <c r="B3068" s="425" t="s">
        <v>2446</v>
      </c>
    </row>
    <row r="3069" spans="1:2" ht="15" hidden="1" x14ac:dyDescent="0.25">
      <c r="A3069" s="425" t="s">
        <v>2447</v>
      </c>
      <c r="B3069" s="425" t="s">
        <v>2447</v>
      </c>
    </row>
    <row r="3070" spans="1:2" ht="15" hidden="1" x14ac:dyDescent="0.25">
      <c r="A3070" s="425" t="s">
        <v>2448</v>
      </c>
      <c r="B3070" s="425" t="s">
        <v>2448</v>
      </c>
    </row>
    <row r="3071" spans="1:2" ht="15" hidden="1" x14ac:dyDescent="0.25">
      <c r="A3071" s="425" t="s">
        <v>2448</v>
      </c>
      <c r="B3071" s="425" t="s">
        <v>2448</v>
      </c>
    </row>
    <row r="3072" spans="1:2" ht="15" hidden="1" x14ac:dyDescent="0.25">
      <c r="A3072" s="425" t="s">
        <v>2449</v>
      </c>
      <c r="B3072" s="425" t="s">
        <v>2449</v>
      </c>
    </row>
    <row r="3073" spans="1:2" ht="15" hidden="1" x14ac:dyDescent="0.25">
      <c r="A3073" s="425" t="s">
        <v>2450</v>
      </c>
      <c r="B3073" s="425" t="s">
        <v>2450</v>
      </c>
    </row>
    <row r="3074" spans="1:2" ht="15" hidden="1" x14ac:dyDescent="0.25">
      <c r="A3074" s="425" t="s">
        <v>2451</v>
      </c>
      <c r="B3074" s="425" t="s">
        <v>2451</v>
      </c>
    </row>
    <row r="3075" spans="1:2" ht="15" hidden="1" x14ac:dyDescent="0.25">
      <c r="A3075" s="425" t="s">
        <v>2452</v>
      </c>
      <c r="B3075" s="425" t="s">
        <v>2452</v>
      </c>
    </row>
    <row r="3076" spans="1:2" ht="15" hidden="1" x14ac:dyDescent="0.25">
      <c r="A3076" s="425" t="s">
        <v>2452</v>
      </c>
      <c r="B3076" s="425" t="s">
        <v>2452</v>
      </c>
    </row>
    <row r="3077" spans="1:2" ht="15" hidden="1" x14ac:dyDescent="0.25">
      <c r="A3077" s="425" t="s">
        <v>2453</v>
      </c>
      <c r="B3077" s="425" t="s">
        <v>2453</v>
      </c>
    </row>
    <row r="3078" spans="1:2" ht="15" hidden="1" x14ac:dyDescent="0.25">
      <c r="A3078" s="425" t="s">
        <v>2454</v>
      </c>
      <c r="B3078" s="425" t="s">
        <v>2454</v>
      </c>
    </row>
    <row r="3079" spans="1:2" ht="15" hidden="1" x14ac:dyDescent="0.25">
      <c r="A3079" s="425" t="s">
        <v>2454</v>
      </c>
      <c r="B3079" s="425" t="s">
        <v>2454</v>
      </c>
    </row>
    <row r="3080" spans="1:2" ht="15" hidden="1" x14ac:dyDescent="0.25">
      <c r="A3080" s="425" t="s">
        <v>2455</v>
      </c>
      <c r="B3080" s="425" t="s">
        <v>2455</v>
      </c>
    </row>
    <row r="3081" spans="1:2" ht="15" hidden="1" x14ac:dyDescent="0.25">
      <c r="A3081" s="425" t="s">
        <v>2456</v>
      </c>
      <c r="B3081" s="425" t="s">
        <v>2456</v>
      </c>
    </row>
    <row r="3082" spans="1:2" ht="15" hidden="1" x14ac:dyDescent="0.25">
      <c r="A3082" s="425" t="s">
        <v>2456</v>
      </c>
      <c r="B3082" s="425" t="s">
        <v>2456</v>
      </c>
    </row>
    <row r="3083" spans="1:2" ht="15" hidden="1" x14ac:dyDescent="0.25">
      <c r="A3083" s="425" t="s">
        <v>2457</v>
      </c>
      <c r="B3083" s="425" t="s">
        <v>2457</v>
      </c>
    </row>
    <row r="3084" spans="1:2" ht="15" hidden="1" x14ac:dyDescent="0.25">
      <c r="A3084" s="425" t="s">
        <v>2458</v>
      </c>
      <c r="B3084" s="425" t="s">
        <v>2458</v>
      </c>
    </row>
    <row r="3085" spans="1:2" ht="15" hidden="1" x14ac:dyDescent="0.25">
      <c r="A3085" s="425" t="s">
        <v>2458</v>
      </c>
      <c r="B3085" s="425" t="s">
        <v>2458</v>
      </c>
    </row>
    <row r="3086" spans="1:2" ht="15" hidden="1" x14ac:dyDescent="0.25">
      <c r="A3086" s="425" t="s">
        <v>2459</v>
      </c>
      <c r="B3086" s="425" t="s">
        <v>2459</v>
      </c>
    </row>
    <row r="3087" spans="1:2" ht="15" hidden="1" x14ac:dyDescent="0.25">
      <c r="A3087" s="425" t="s">
        <v>2460</v>
      </c>
      <c r="B3087" s="425" t="s">
        <v>2460</v>
      </c>
    </row>
    <row r="3088" spans="1:2" ht="15" hidden="1" x14ac:dyDescent="0.25">
      <c r="A3088" s="425" t="s">
        <v>2461</v>
      </c>
      <c r="B3088" s="425" t="s">
        <v>2461</v>
      </c>
    </row>
    <row r="3089" spans="1:2" ht="15" hidden="1" x14ac:dyDescent="0.25">
      <c r="A3089" s="425" t="s">
        <v>2461</v>
      </c>
      <c r="B3089" s="425" t="s">
        <v>2461</v>
      </c>
    </row>
    <row r="3090" spans="1:2" ht="15" hidden="1" x14ac:dyDescent="0.25">
      <c r="A3090" s="425" t="s">
        <v>2462</v>
      </c>
      <c r="B3090" s="425" t="s">
        <v>2462</v>
      </c>
    </row>
    <row r="3091" spans="1:2" ht="15" hidden="1" x14ac:dyDescent="0.25">
      <c r="A3091" s="425" t="s">
        <v>2462</v>
      </c>
      <c r="B3091" s="425" t="s">
        <v>2462</v>
      </c>
    </row>
    <row r="3092" spans="1:2" ht="15" hidden="1" x14ac:dyDescent="0.25">
      <c r="A3092" s="425" t="s">
        <v>2463</v>
      </c>
      <c r="B3092" s="425" t="s">
        <v>2463</v>
      </c>
    </row>
    <row r="3093" spans="1:2" ht="15" hidden="1" x14ac:dyDescent="0.25">
      <c r="A3093" s="425" t="s">
        <v>2463</v>
      </c>
      <c r="B3093" s="425" t="s">
        <v>2463</v>
      </c>
    </row>
    <row r="3094" spans="1:2" ht="15" hidden="1" x14ac:dyDescent="0.25">
      <c r="A3094" s="425" t="s">
        <v>2464</v>
      </c>
      <c r="B3094" s="425" t="s">
        <v>2464</v>
      </c>
    </row>
    <row r="3095" spans="1:2" ht="15" hidden="1" x14ac:dyDescent="0.25">
      <c r="A3095" s="425" t="s">
        <v>2464</v>
      </c>
      <c r="B3095" s="425" t="s">
        <v>2464</v>
      </c>
    </row>
    <row r="3096" spans="1:2" ht="15" hidden="1" x14ac:dyDescent="0.25">
      <c r="A3096" s="425" t="s">
        <v>2465</v>
      </c>
      <c r="B3096" s="425" t="s">
        <v>2465</v>
      </c>
    </row>
    <row r="3097" spans="1:2" ht="15" hidden="1" x14ac:dyDescent="0.25">
      <c r="A3097" s="425" t="s">
        <v>2466</v>
      </c>
      <c r="B3097" s="425" t="s">
        <v>2466</v>
      </c>
    </row>
    <row r="3098" spans="1:2" ht="15" hidden="1" x14ac:dyDescent="0.25">
      <c r="A3098" s="425" t="s">
        <v>2467</v>
      </c>
      <c r="B3098" s="425" t="s">
        <v>2467</v>
      </c>
    </row>
    <row r="3099" spans="1:2" ht="15" hidden="1" x14ac:dyDescent="0.25">
      <c r="A3099" s="425" t="s">
        <v>2468</v>
      </c>
      <c r="B3099" s="425" t="s">
        <v>2468</v>
      </c>
    </row>
    <row r="3100" spans="1:2" ht="15" hidden="1" x14ac:dyDescent="0.25">
      <c r="A3100" s="425" t="s">
        <v>2469</v>
      </c>
      <c r="B3100" s="425" t="s">
        <v>2469</v>
      </c>
    </row>
    <row r="3101" spans="1:2" ht="15" hidden="1" x14ac:dyDescent="0.25">
      <c r="A3101" s="425" t="s">
        <v>2470</v>
      </c>
      <c r="B3101" s="425" t="s">
        <v>2470</v>
      </c>
    </row>
    <row r="3102" spans="1:2" ht="15" hidden="1" x14ac:dyDescent="0.25">
      <c r="A3102" s="425" t="s">
        <v>2471</v>
      </c>
      <c r="B3102" s="425" t="s">
        <v>2471</v>
      </c>
    </row>
    <row r="3103" spans="1:2" ht="15" hidden="1" x14ac:dyDescent="0.25">
      <c r="A3103" s="425" t="s">
        <v>2471</v>
      </c>
      <c r="B3103" s="425" t="s">
        <v>2471</v>
      </c>
    </row>
    <row r="3104" spans="1:2" ht="15" hidden="1" x14ac:dyDescent="0.25">
      <c r="A3104" s="425" t="s">
        <v>2472</v>
      </c>
      <c r="B3104" s="425" t="s">
        <v>2472</v>
      </c>
    </row>
    <row r="3105" spans="1:2" ht="15" hidden="1" x14ac:dyDescent="0.25">
      <c r="A3105" s="425" t="s">
        <v>2473</v>
      </c>
      <c r="B3105" s="425" t="s">
        <v>2473</v>
      </c>
    </row>
    <row r="3106" spans="1:2" ht="15" hidden="1" x14ac:dyDescent="0.25">
      <c r="A3106" s="425" t="s">
        <v>2473</v>
      </c>
      <c r="B3106" s="425" t="s">
        <v>2473</v>
      </c>
    </row>
    <row r="3107" spans="1:2" ht="15" hidden="1" x14ac:dyDescent="0.25">
      <c r="A3107" s="425" t="s">
        <v>2474</v>
      </c>
      <c r="B3107" s="425" t="s">
        <v>2474</v>
      </c>
    </row>
    <row r="3108" spans="1:2" ht="15" hidden="1" x14ac:dyDescent="0.25">
      <c r="A3108" s="425" t="s">
        <v>2475</v>
      </c>
      <c r="B3108" s="425" t="s">
        <v>2475</v>
      </c>
    </row>
    <row r="3109" spans="1:2" ht="15" hidden="1" x14ac:dyDescent="0.25">
      <c r="A3109" s="425" t="s">
        <v>2476</v>
      </c>
      <c r="B3109" s="425" t="s">
        <v>2476</v>
      </c>
    </row>
    <row r="3110" spans="1:2" ht="15" hidden="1" x14ac:dyDescent="0.25">
      <c r="A3110" s="425" t="s">
        <v>2477</v>
      </c>
      <c r="B3110" s="425" t="s">
        <v>2477</v>
      </c>
    </row>
    <row r="3111" spans="1:2" ht="15" hidden="1" x14ac:dyDescent="0.25">
      <c r="A3111" s="425" t="s">
        <v>2478</v>
      </c>
      <c r="B3111" s="425" t="s">
        <v>2478</v>
      </c>
    </row>
    <row r="3112" spans="1:2" ht="15" hidden="1" x14ac:dyDescent="0.25">
      <c r="A3112" s="425" t="s">
        <v>2478</v>
      </c>
      <c r="B3112" s="425" t="s">
        <v>2478</v>
      </c>
    </row>
    <row r="3113" spans="1:2" ht="15" hidden="1" x14ac:dyDescent="0.25">
      <c r="A3113" s="425" t="s">
        <v>2479</v>
      </c>
      <c r="B3113" s="425" t="s">
        <v>2479</v>
      </c>
    </row>
    <row r="3114" spans="1:2" ht="15" hidden="1" x14ac:dyDescent="0.25">
      <c r="A3114" s="425" t="s">
        <v>2480</v>
      </c>
      <c r="B3114" s="425" t="s">
        <v>2480</v>
      </c>
    </row>
    <row r="3115" spans="1:2" ht="15" hidden="1" x14ac:dyDescent="0.25">
      <c r="A3115" s="425" t="s">
        <v>2481</v>
      </c>
      <c r="B3115" s="425" t="s">
        <v>2481</v>
      </c>
    </row>
    <row r="3116" spans="1:2" ht="15" hidden="1" x14ac:dyDescent="0.25">
      <c r="A3116" s="425" t="s">
        <v>2482</v>
      </c>
      <c r="B3116" s="425" t="s">
        <v>2482</v>
      </c>
    </row>
    <row r="3117" spans="1:2" ht="15" hidden="1" x14ac:dyDescent="0.25">
      <c r="A3117" s="425" t="s">
        <v>2482</v>
      </c>
      <c r="B3117" s="425" t="s">
        <v>2482</v>
      </c>
    </row>
    <row r="3118" spans="1:2" ht="15" hidden="1" x14ac:dyDescent="0.25">
      <c r="A3118" s="425" t="s">
        <v>2483</v>
      </c>
      <c r="B3118" s="425" t="s">
        <v>2483</v>
      </c>
    </row>
    <row r="3119" spans="1:2" ht="15" hidden="1" x14ac:dyDescent="0.25">
      <c r="A3119" s="425" t="s">
        <v>2484</v>
      </c>
      <c r="B3119" s="425" t="s">
        <v>2484</v>
      </c>
    </row>
    <row r="3120" spans="1:2" ht="15" hidden="1" x14ac:dyDescent="0.25">
      <c r="A3120" s="425" t="s">
        <v>2485</v>
      </c>
      <c r="B3120" s="425" t="s">
        <v>2485</v>
      </c>
    </row>
    <row r="3121" spans="1:2" ht="15" hidden="1" x14ac:dyDescent="0.25">
      <c r="A3121" s="425" t="s">
        <v>2486</v>
      </c>
      <c r="B3121" s="425" t="s">
        <v>2486</v>
      </c>
    </row>
    <row r="3122" spans="1:2" ht="15" hidden="1" x14ac:dyDescent="0.25">
      <c r="A3122" s="425" t="s">
        <v>2486</v>
      </c>
      <c r="B3122" s="425" t="s">
        <v>2486</v>
      </c>
    </row>
    <row r="3123" spans="1:2" ht="15" hidden="1" x14ac:dyDescent="0.25">
      <c r="A3123" s="425" t="s">
        <v>2487</v>
      </c>
      <c r="B3123" s="425" t="s">
        <v>2487</v>
      </c>
    </row>
    <row r="3124" spans="1:2" ht="15" hidden="1" x14ac:dyDescent="0.25">
      <c r="A3124" s="425" t="s">
        <v>2488</v>
      </c>
      <c r="B3124" s="425" t="s">
        <v>2488</v>
      </c>
    </row>
    <row r="3125" spans="1:2" ht="15" hidden="1" x14ac:dyDescent="0.25">
      <c r="A3125" s="425" t="s">
        <v>2489</v>
      </c>
      <c r="B3125" s="425" t="s">
        <v>2489</v>
      </c>
    </row>
    <row r="3126" spans="1:2" ht="15" hidden="1" x14ac:dyDescent="0.25">
      <c r="A3126" s="425" t="s">
        <v>2490</v>
      </c>
      <c r="B3126" s="425" t="s">
        <v>2490</v>
      </c>
    </row>
    <row r="3127" spans="1:2" ht="15" hidden="1" x14ac:dyDescent="0.25">
      <c r="A3127" s="425" t="s">
        <v>2491</v>
      </c>
      <c r="B3127" s="425" t="s">
        <v>2491</v>
      </c>
    </row>
    <row r="3128" spans="1:2" ht="15" hidden="1" x14ac:dyDescent="0.25">
      <c r="A3128" s="425" t="s">
        <v>2492</v>
      </c>
      <c r="B3128" s="425" t="s">
        <v>2492</v>
      </c>
    </row>
    <row r="3129" spans="1:2" ht="15" hidden="1" x14ac:dyDescent="0.25">
      <c r="A3129" s="425" t="s">
        <v>2493</v>
      </c>
      <c r="B3129" s="425" t="s">
        <v>2493</v>
      </c>
    </row>
    <row r="3130" spans="1:2" ht="15" hidden="1" x14ac:dyDescent="0.25">
      <c r="A3130" s="425" t="s">
        <v>2494</v>
      </c>
      <c r="B3130" s="425" t="s">
        <v>2494</v>
      </c>
    </row>
    <row r="3131" spans="1:2" ht="15" hidden="1" x14ac:dyDescent="0.25">
      <c r="A3131" s="425" t="s">
        <v>2495</v>
      </c>
      <c r="B3131" s="425" t="s">
        <v>2495</v>
      </c>
    </row>
    <row r="3132" spans="1:2" ht="15" hidden="1" x14ac:dyDescent="0.25">
      <c r="A3132" s="425" t="s">
        <v>2496</v>
      </c>
      <c r="B3132" s="425" t="s">
        <v>2496</v>
      </c>
    </row>
    <row r="3133" spans="1:2" ht="15" hidden="1" x14ac:dyDescent="0.25">
      <c r="A3133" s="425" t="s">
        <v>2496</v>
      </c>
      <c r="B3133" s="425" t="s">
        <v>2496</v>
      </c>
    </row>
    <row r="3134" spans="1:2" ht="15" hidden="1" x14ac:dyDescent="0.25">
      <c r="A3134" s="425" t="s">
        <v>2497</v>
      </c>
      <c r="B3134" s="425" t="s">
        <v>2497</v>
      </c>
    </row>
    <row r="3135" spans="1:2" ht="15" hidden="1" x14ac:dyDescent="0.25">
      <c r="A3135" s="425" t="s">
        <v>2497</v>
      </c>
      <c r="B3135" s="425" t="s">
        <v>2497</v>
      </c>
    </row>
    <row r="3136" spans="1:2" ht="15" hidden="1" x14ac:dyDescent="0.25">
      <c r="A3136" s="425" t="s">
        <v>2498</v>
      </c>
      <c r="B3136" s="425" t="s">
        <v>2498</v>
      </c>
    </row>
    <row r="3137" spans="1:2" ht="15" hidden="1" x14ac:dyDescent="0.25">
      <c r="A3137" s="425" t="s">
        <v>2498</v>
      </c>
      <c r="B3137" s="425" t="s">
        <v>2498</v>
      </c>
    </row>
    <row r="3138" spans="1:2" ht="15" hidden="1" x14ac:dyDescent="0.25">
      <c r="A3138" s="425" t="s">
        <v>2499</v>
      </c>
      <c r="B3138" s="425" t="s">
        <v>2499</v>
      </c>
    </row>
    <row r="3139" spans="1:2" ht="15" hidden="1" x14ac:dyDescent="0.25">
      <c r="A3139" s="425" t="s">
        <v>2500</v>
      </c>
      <c r="B3139" s="425" t="s">
        <v>2500</v>
      </c>
    </row>
    <row r="3140" spans="1:2" ht="15" hidden="1" x14ac:dyDescent="0.25">
      <c r="A3140" s="425" t="s">
        <v>2500</v>
      </c>
      <c r="B3140" s="425" t="s">
        <v>2500</v>
      </c>
    </row>
    <row r="3141" spans="1:2" ht="15" hidden="1" x14ac:dyDescent="0.25">
      <c r="A3141" s="425" t="s">
        <v>2501</v>
      </c>
      <c r="B3141" s="425" t="s">
        <v>2501</v>
      </c>
    </row>
    <row r="3142" spans="1:2" ht="15" hidden="1" x14ac:dyDescent="0.25">
      <c r="A3142" s="425" t="s">
        <v>2502</v>
      </c>
      <c r="B3142" s="425" t="s">
        <v>2502</v>
      </c>
    </row>
    <row r="3143" spans="1:2" ht="15" hidden="1" x14ac:dyDescent="0.25">
      <c r="A3143" s="425" t="s">
        <v>2503</v>
      </c>
      <c r="B3143" s="425" t="s">
        <v>2503</v>
      </c>
    </row>
    <row r="3144" spans="1:2" ht="15" hidden="1" x14ac:dyDescent="0.25">
      <c r="A3144" s="425" t="s">
        <v>2503</v>
      </c>
      <c r="B3144" s="425" t="s">
        <v>2503</v>
      </c>
    </row>
    <row r="3145" spans="1:2" ht="15" hidden="1" x14ac:dyDescent="0.25">
      <c r="A3145" s="425" t="s">
        <v>2504</v>
      </c>
      <c r="B3145" s="425" t="s">
        <v>2504</v>
      </c>
    </row>
    <row r="3146" spans="1:2" ht="15" hidden="1" x14ac:dyDescent="0.25">
      <c r="A3146" s="425" t="s">
        <v>2504</v>
      </c>
      <c r="B3146" s="425" t="s">
        <v>2504</v>
      </c>
    </row>
    <row r="3147" spans="1:2" ht="15" hidden="1" x14ac:dyDescent="0.25">
      <c r="A3147" s="425" t="s">
        <v>2505</v>
      </c>
      <c r="B3147" s="425" t="s">
        <v>2505</v>
      </c>
    </row>
    <row r="3148" spans="1:2" ht="15" hidden="1" x14ac:dyDescent="0.25">
      <c r="A3148" s="425" t="s">
        <v>2506</v>
      </c>
      <c r="B3148" s="425" t="s">
        <v>2506</v>
      </c>
    </row>
    <row r="3149" spans="1:2" ht="15" hidden="1" x14ac:dyDescent="0.25">
      <c r="A3149" s="425" t="s">
        <v>2506</v>
      </c>
      <c r="B3149" s="425" t="s">
        <v>2506</v>
      </c>
    </row>
    <row r="3150" spans="1:2" ht="15" hidden="1" x14ac:dyDescent="0.25">
      <c r="A3150" s="425" t="s">
        <v>2507</v>
      </c>
      <c r="B3150" s="425" t="s">
        <v>2507</v>
      </c>
    </row>
    <row r="3151" spans="1:2" ht="15" hidden="1" x14ac:dyDescent="0.25">
      <c r="A3151" s="425" t="s">
        <v>2508</v>
      </c>
      <c r="B3151" s="425" t="s">
        <v>2508</v>
      </c>
    </row>
    <row r="3152" spans="1:2" ht="15" hidden="1" x14ac:dyDescent="0.25">
      <c r="A3152" s="425" t="s">
        <v>2508</v>
      </c>
      <c r="B3152" s="425" t="s">
        <v>2508</v>
      </c>
    </row>
    <row r="3153" spans="1:2" ht="15" hidden="1" x14ac:dyDescent="0.25">
      <c r="A3153" s="425" t="s">
        <v>2509</v>
      </c>
      <c r="B3153" s="425" t="s">
        <v>2509</v>
      </c>
    </row>
    <row r="3154" spans="1:2" ht="15" hidden="1" x14ac:dyDescent="0.25">
      <c r="A3154" s="425" t="s">
        <v>2510</v>
      </c>
      <c r="B3154" s="425" t="s">
        <v>2510</v>
      </c>
    </row>
    <row r="3155" spans="1:2" ht="15" hidden="1" x14ac:dyDescent="0.25">
      <c r="A3155" s="425" t="s">
        <v>2511</v>
      </c>
      <c r="B3155" s="425" t="s">
        <v>2511</v>
      </c>
    </row>
    <row r="3156" spans="1:2" ht="15" hidden="1" x14ac:dyDescent="0.25">
      <c r="A3156" s="425" t="s">
        <v>2512</v>
      </c>
      <c r="B3156" s="425" t="s">
        <v>2512</v>
      </c>
    </row>
    <row r="3157" spans="1:2" ht="15" hidden="1" x14ac:dyDescent="0.25">
      <c r="A3157" s="425" t="s">
        <v>2513</v>
      </c>
      <c r="B3157" s="425" t="s">
        <v>2513</v>
      </c>
    </row>
    <row r="3158" spans="1:2" ht="15" hidden="1" x14ac:dyDescent="0.25">
      <c r="A3158" s="425" t="s">
        <v>2514</v>
      </c>
      <c r="B3158" s="425" t="s">
        <v>2514</v>
      </c>
    </row>
    <row r="3159" spans="1:2" ht="15" hidden="1" x14ac:dyDescent="0.25">
      <c r="A3159" s="425" t="s">
        <v>2514</v>
      </c>
      <c r="B3159" s="425" t="s">
        <v>2514</v>
      </c>
    </row>
    <row r="3160" spans="1:2" ht="15" hidden="1" x14ac:dyDescent="0.25">
      <c r="A3160" s="425" t="s">
        <v>2515</v>
      </c>
      <c r="B3160" s="425" t="s">
        <v>2515</v>
      </c>
    </row>
    <row r="3161" spans="1:2" ht="15" hidden="1" x14ac:dyDescent="0.25">
      <c r="A3161" s="425" t="s">
        <v>2515</v>
      </c>
      <c r="B3161" s="425" t="s">
        <v>2515</v>
      </c>
    </row>
    <row r="3162" spans="1:2" ht="15" hidden="1" x14ac:dyDescent="0.25">
      <c r="A3162" s="425" t="s">
        <v>2516</v>
      </c>
      <c r="B3162" s="425" t="s">
        <v>2516</v>
      </c>
    </row>
    <row r="3163" spans="1:2" ht="15" hidden="1" x14ac:dyDescent="0.25">
      <c r="A3163" s="425" t="s">
        <v>2517</v>
      </c>
      <c r="B3163" s="425" t="s">
        <v>2517</v>
      </c>
    </row>
    <row r="3164" spans="1:2" ht="15" hidden="1" x14ac:dyDescent="0.25">
      <c r="A3164" s="425" t="s">
        <v>2518</v>
      </c>
      <c r="B3164" s="425" t="s">
        <v>2518</v>
      </c>
    </row>
    <row r="3165" spans="1:2" ht="15" hidden="1" x14ac:dyDescent="0.25">
      <c r="A3165" s="425" t="s">
        <v>2519</v>
      </c>
      <c r="B3165" s="425" t="s">
        <v>2519</v>
      </c>
    </row>
    <row r="3166" spans="1:2" ht="15" hidden="1" x14ac:dyDescent="0.25">
      <c r="A3166" s="425" t="s">
        <v>2520</v>
      </c>
      <c r="B3166" s="425" t="s">
        <v>2520</v>
      </c>
    </row>
    <row r="3167" spans="1:2" ht="15" hidden="1" x14ac:dyDescent="0.25">
      <c r="A3167" s="425" t="s">
        <v>2521</v>
      </c>
      <c r="B3167" s="425" t="s">
        <v>2521</v>
      </c>
    </row>
    <row r="3168" spans="1:2" ht="15" hidden="1" x14ac:dyDescent="0.25">
      <c r="A3168" s="425" t="s">
        <v>2522</v>
      </c>
      <c r="B3168" s="425" t="s">
        <v>2522</v>
      </c>
    </row>
    <row r="3169" spans="1:2" ht="15" hidden="1" x14ac:dyDescent="0.25">
      <c r="A3169" s="425" t="s">
        <v>2523</v>
      </c>
      <c r="B3169" s="425" t="s">
        <v>2523</v>
      </c>
    </row>
    <row r="3170" spans="1:2" ht="15" hidden="1" x14ac:dyDescent="0.25">
      <c r="A3170" s="425" t="s">
        <v>2524</v>
      </c>
      <c r="B3170" s="425" t="s">
        <v>2524</v>
      </c>
    </row>
    <row r="3171" spans="1:2" ht="15" hidden="1" x14ac:dyDescent="0.25">
      <c r="A3171" s="425" t="s">
        <v>2524</v>
      </c>
      <c r="B3171" s="425" t="s">
        <v>2524</v>
      </c>
    </row>
    <row r="3172" spans="1:2" ht="15" hidden="1" x14ac:dyDescent="0.25">
      <c r="A3172" s="425" t="s">
        <v>2525</v>
      </c>
      <c r="B3172" s="425" t="s">
        <v>2525</v>
      </c>
    </row>
    <row r="3173" spans="1:2" ht="15" hidden="1" x14ac:dyDescent="0.25">
      <c r="A3173" s="425" t="s">
        <v>2525</v>
      </c>
      <c r="B3173" s="425" t="s">
        <v>2525</v>
      </c>
    </row>
    <row r="3174" spans="1:2" ht="15" hidden="1" x14ac:dyDescent="0.25">
      <c r="A3174" s="425" t="s">
        <v>2526</v>
      </c>
      <c r="B3174" s="425" t="s">
        <v>2526</v>
      </c>
    </row>
    <row r="3175" spans="1:2" ht="15" hidden="1" x14ac:dyDescent="0.25">
      <c r="A3175" s="425" t="s">
        <v>2527</v>
      </c>
      <c r="B3175" s="425" t="s">
        <v>2527</v>
      </c>
    </row>
    <row r="3176" spans="1:2" ht="15" hidden="1" x14ac:dyDescent="0.25">
      <c r="A3176" s="425" t="s">
        <v>2528</v>
      </c>
      <c r="B3176" s="425" t="s">
        <v>2528</v>
      </c>
    </row>
    <row r="3177" spans="1:2" ht="15" hidden="1" x14ac:dyDescent="0.25">
      <c r="A3177" s="425" t="s">
        <v>2528</v>
      </c>
      <c r="B3177" s="425" t="s">
        <v>2528</v>
      </c>
    </row>
    <row r="3178" spans="1:2" ht="15" hidden="1" x14ac:dyDescent="0.25">
      <c r="A3178" s="425" t="s">
        <v>2529</v>
      </c>
      <c r="B3178" s="425" t="s">
        <v>2529</v>
      </c>
    </row>
    <row r="3179" spans="1:2" ht="15" hidden="1" x14ac:dyDescent="0.25">
      <c r="A3179" s="425" t="s">
        <v>2530</v>
      </c>
      <c r="B3179" s="425" t="s">
        <v>2530</v>
      </c>
    </row>
    <row r="3180" spans="1:2" ht="15" hidden="1" x14ac:dyDescent="0.25">
      <c r="A3180" s="425" t="s">
        <v>2531</v>
      </c>
      <c r="B3180" s="425" t="s">
        <v>2531</v>
      </c>
    </row>
    <row r="3181" spans="1:2" ht="15" hidden="1" x14ac:dyDescent="0.25">
      <c r="A3181" s="425" t="s">
        <v>2532</v>
      </c>
      <c r="B3181" s="425" t="s">
        <v>2532</v>
      </c>
    </row>
    <row r="3182" spans="1:2" ht="15" hidden="1" x14ac:dyDescent="0.25">
      <c r="A3182" s="425" t="s">
        <v>2533</v>
      </c>
      <c r="B3182" s="425" t="s">
        <v>2533</v>
      </c>
    </row>
    <row r="3183" spans="1:2" ht="15" hidden="1" x14ac:dyDescent="0.25">
      <c r="A3183" s="425" t="s">
        <v>2534</v>
      </c>
      <c r="B3183" s="425" t="s">
        <v>2534</v>
      </c>
    </row>
    <row r="3184" spans="1:2" ht="15" hidden="1" x14ac:dyDescent="0.25">
      <c r="A3184" s="425" t="s">
        <v>2535</v>
      </c>
      <c r="B3184" s="425" t="s">
        <v>2535</v>
      </c>
    </row>
    <row r="3185" spans="1:2" ht="15" hidden="1" x14ac:dyDescent="0.25">
      <c r="A3185" s="425" t="s">
        <v>2535</v>
      </c>
      <c r="B3185" s="425" t="s">
        <v>2535</v>
      </c>
    </row>
    <row r="3186" spans="1:2" ht="15" hidden="1" x14ac:dyDescent="0.25">
      <c r="A3186" s="425" t="s">
        <v>2536</v>
      </c>
      <c r="B3186" s="425" t="s">
        <v>2536</v>
      </c>
    </row>
    <row r="3187" spans="1:2" ht="15" hidden="1" x14ac:dyDescent="0.25">
      <c r="A3187" s="425" t="s">
        <v>2536</v>
      </c>
      <c r="B3187" s="425" t="s">
        <v>2536</v>
      </c>
    </row>
    <row r="3188" spans="1:2" ht="15" hidden="1" x14ac:dyDescent="0.25">
      <c r="A3188" s="425" t="s">
        <v>2537</v>
      </c>
      <c r="B3188" s="425" t="s">
        <v>2537</v>
      </c>
    </row>
    <row r="3189" spans="1:2" ht="15" hidden="1" x14ac:dyDescent="0.25">
      <c r="A3189" s="425" t="s">
        <v>2538</v>
      </c>
      <c r="B3189" s="425" t="s">
        <v>2538</v>
      </c>
    </row>
    <row r="3190" spans="1:2" ht="15" hidden="1" x14ac:dyDescent="0.25">
      <c r="A3190" s="425" t="s">
        <v>2539</v>
      </c>
      <c r="B3190" s="425" t="s">
        <v>2539</v>
      </c>
    </row>
    <row r="3191" spans="1:2" ht="15" hidden="1" x14ac:dyDescent="0.25">
      <c r="A3191" s="425" t="s">
        <v>2540</v>
      </c>
      <c r="B3191" s="425" t="s">
        <v>2540</v>
      </c>
    </row>
    <row r="3192" spans="1:2" ht="15" hidden="1" x14ac:dyDescent="0.25">
      <c r="A3192" s="425" t="s">
        <v>2540</v>
      </c>
      <c r="B3192" s="425" t="s">
        <v>2540</v>
      </c>
    </row>
    <row r="3193" spans="1:2" ht="15" hidden="1" x14ac:dyDescent="0.25">
      <c r="A3193" s="425" t="s">
        <v>2541</v>
      </c>
      <c r="B3193" s="425" t="s">
        <v>2541</v>
      </c>
    </row>
    <row r="3194" spans="1:2" ht="15" hidden="1" x14ac:dyDescent="0.25">
      <c r="A3194" s="425" t="s">
        <v>2542</v>
      </c>
      <c r="B3194" s="425" t="s">
        <v>2542</v>
      </c>
    </row>
    <row r="3195" spans="1:2" ht="15" hidden="1" x14ac:dyDescent="0.25">
      <c r="A3195" s="425" t="s">
        <v>2543</v>
      </c>
      <c r="B3195" s="425" t="s">
        <v>2543</v>
      </c>
    </row>
    <row r="3196" spans="1:2" ht="15" hidden="1" x14ac:dyDescent="0.25">
      <c r="A3196" s="425" t="s">
        <v>2544</v>
      </c>
      <c r="B3196" s="425" t="s">
        <v>2544</v>
      </c>
    </row>
    <row r="3197" spans="1:2" ht="15" hidden="1" x14ac:dyDescent="0.25">
      <c r="A3197" s="425" t="s">
        <v>2545</v>
      </c>
      <c r="B3197" s="425" t="s">
        <v>2545</v>
      </c>
    </row>
    <row r="3198" spans="1:2" ht="15" hidden="1" x14ac:dyDescent="0.25">
      <c r="A3198" s="425" t="s">
        <v>2546</v>
      </c>
      <c r="B3198" s="425" t="s">
        <v>2546</v>
      </c>
    </row>
    <row r="3199" spans="1:2" ht="15" hidden="1" x14ac:dyDescent="0.25">
      <c r="A3199" s="425" t="s">
        <v>2547</v>
      </c>
      <c r="B3199" s="425" t="s">
        <v>2547</v>
      </c>
    </row>
    <row r="3200" spans="1:2" ht="15" hidden="1" x14ac:dyDescent="0.25">
      <c r="A3200" s="425" t="s">
        <v>2548</v>
      </c>
      <c r="B3200" s="425" t="s">
        <v>2548</v>
      </c>
    </row>
    <row r="3201" spans="1:2" ht="15" hidden="1" x14ac:dyDescent="0.25">
      <c r="A3201" s="425" t="s">
        <v>2549</v>
      </c>
      <c r="B3201" s="425" t="s">
        <v>2549</v>
      </c>
    </row>
    <row r="3202" spans="1:2" ht="15" hidden="1" x14ac:dyDescent="0.25">
      <c r="A3202" s="425" t="s">
        <v>2550</v>
      </c>
      <c r="B3202" s="425" t="s">
        <v>2550</v>
      </c>
    </row>
    <row r="3203" spans="1:2" ht="15" hidden="1" x14ac:dyDescent="0.25">
      <c r="A3203" s="425" t="s">
        <v>2551</v>
      </c>
      <c r="B3203" s="425" t="s">
        <v>2551</v>
      </c>
    </row>
    <row r="3204" spans="1:2" ht="15" hidden="1" x14ac:dyDescent="0.25">
      <c r="A3204" s="425" t="s">
        <v>2551</v>
      </c>
      <c r="B3204" s="425" t="s">
        <v>2551</v>
      </c>
    </row>
    <row r="3205" spans="1:2" ht="15" hidden="1" x14ac:dyDescent="0.25">
      <c r="A3205" s="425" t="s">
        <v>2552</v>
      </c>
      <c r="B3205" s="425" t="s">
        <v>2552</v>
      </c>
    </row>
    <row r="3206" spans="1:2" ht="15" hidden="1" x14ac:dyDescent="0.25">
      <c r="A3206" s="425" t="s">
        <v>2553</v>
      </c>
      <c r="B3206" s="425" t="s">
        <v>2553</v>
      </c>
    </row>
    <row r="3207" spans="1:2" ht="15" hidden="1" x14ac:dyDescent="0.25">
      <c r="A3207" s="425" t="s">
        <v>2554</v>
      </c>
      <c r="B3207" s="425" t="s">
        <v>2554</v>
      </c>
    </row>
    <row r="3208" spans="1:2" ht="15" hidden="1" x14ac:dyDescent="0.25">
      <c r="A3208" s="425" t="s">
        <v>2555</v>
      </c>
      <c r="B3208" s="425" t="s">
        <v>2555</v>
      </c>
    </row>
    <row r="3209" spans="1:2" ht="15" hidden="1" x14ac:dyDescent="0.25">
      <c r="A3209" s="425" t="s">
        <v>2556</v>
      </c>
      <c r="B3209" s="425" t="s">
        <v>2556</v>
      </c>
    </row>
    <row r="3210" spans="1:2" ht="15" hidden="1" x14ac:dyDescent="0.25">
      <c r="A3210" s="425" t="s">
        <v>2557</v>
      </c>
      <c r="B3210" s="425" t="s">
        <v>2557</v>
      </c>
    </row>
    <row r="3211" spans="1:2" ht="15" hidden="1" x14ac:dyDescent="0.25">
      <c r="A3211" s="425" t="s">
        <v>2557</v>
      </c>
      <c r="B3211" s="425" t="s">
        <v>2557</v>
      </c>
    </row>
    <row r="3212" spans="1:2" ht="15" hidden="1" x14ac:dyDescent="0.25">
      <c r="A3212" s="425" t="s">
        <v>2558</v>
      </c>
      <c r="B3212" s="425" t="s">
        <v>2558</v>
      </c>
    </row>
    <row r="3213" spans="1:2" ht="15" hidden="1" x14ac:dyDescent="0.25">
      <c r="A3213" s="425" t="s">
        <v>2559</v>
      </c>
      <c r="B3213" s="425" t="s">
        <v>2559</v>
      </c>
    </row>
    <row r="3214" spans="1:2" ht="15" hidden="1" x14ac:dyDescent="0.25">
      <c r="A3214" s="425" t="s">
        <v>2560</v>
      </c>
      <c r="B3214" s="425" t="s">
        <v>2560</v>
      </c>
    </row>
    <row r="3215" spans="1:2" ht="15" hidden="1" x14ac:dyDescent="0.25">
      <c r="A3215" s="425" t="s">
        <v>2561</v>
      </c>
      <c r="B3215" s="425" t="s">
        <v>2561</v>
      </c>
    </row>
    <row r="3216" spans="1:2" ht="15" hidden="1" x14ac:dyDescent="0.25">
      <c r="A3216" s="425" t="s">
        <v>2562</v>
      </c>
      <c r="B3216" s="425" t="s">
        <v>2562</v>
      </c>
    </row>
    <row r="3217" spans="1:2" ht="15" hidden="1" x14ac:dyDescent="0.25">
      <c r="A3217" s="425" t="s">
        <v>2563</v>
      </c>
      <c r="B3217" s="425" t="s">
        <v>2563</v>
      </c>
    </row>
    <row r="3218" spans="1:2" ht="15" hidden="1" x14ac:dyDescent="0.25">
      <c r="A3218" s="425" t="s">
        <v>2564</v>
      </c>
      <c r="B3218" s="425" t="s">
        <v>2564</v>
      </c>
    </row>
    <row r="3219" spans="1:2" ht="15" hidden="1" x14ac:dyDescent="0.25">
      <c r="A3219" s="425" t="s">
        <v>2565</v>
      </c>
      <c r="B3219" s="425" t="s">
        <v>2565</v>
      </c>
    </row>
    <row r="3220" spans="1:2" ht="15" hidden="1" x14ac:dyDescent="0.25">
      <c r="A3220" s="425" t="s">
        <v>2566</v>
      </c>
      <c r="B3220" s="425" t="s">
        <v>2566</v>
      </c>
    </row>
    <row r="3221" spans="1:2" ht="15" hidden="1" x14ac:dyDescent="0.25">
      <c r="A3221" s="425" t="s">
        <v>2566</v>
      </c>
      <c r="B3221" s="425" t="s">
        <v>2566</v>
      </c>
    </row>
    <row r="3222" spans="1:2" ht="15" hidden="1" x14ac:dyDescent="0.25">
      <c r="A3222" s="425" t="s">
        <v>2567</v>
      </c>
      <c r="B3222" s="425" t="s">
        <v>2567</v>
      </c>
    </row>
    <row r="3223" spans="1:2" ht="15" hidden="1" x14ac:dyDescent="0.25">
      <c r="A3223" s="425" t="s">
        <v>2568</v>
      </c>
      <c r="B3223" s="425" t="s">
        <v>2568</v>
      </c>
    </row>
    <row r="3224" spans="1:2" ht="15" hidden="1" x14ac:dyDescent="0.25">
      <c r="A3224" s="425" t="s">
        <v>2569</v>
      </c>
      <c r="B3224" s="425" t="s">
        <v>2569</v>
      </c>
    </row>
    <row r="3225" spans="1:2" ht="15" hidden="1" x14ac:dyDescent="0.25">
      <c r="A3225" s="425" t="s">
        <v>2570</v>
      </c>
      <c r="B3225" s="425" t="s">
        <v>2570</v>
      </c>
    </row>
    <row r="3226" spans="1:2" ht="15" hidden="1" x14ac:dyDescent="0.25">
      <c r="A3226" s="425" t="s">
        <v>2571</v>
      </c>
      <c r="B3226" s="425" t="s">
        <v>2571</v>
      </c>
    </row>
    <row r="3227" spans="1:2" ht="15" hidden="1" x14ac:dyDescent="0.25">
      <c r="A3227" s="425" t="s">
        <v>2572</v>
      </c>
      <c r="B3227" s="425" t="s">
        <v>2435</v>
      </c>
    </row>
    <row r="3228" spans="1:2" ht="15" hidden="1" x14ac:dyDescent="0.25">
      <c r="A3228" s="425" t="s">
        <v>2573</v>
      </c>
      <c r="B3228" s="425" t="s">
        <v>2574</v>
      </c>
    </row>
    <row r="3229" spans="1:2" ht="15" hidden="1" x14ac:dyDescent="0.25">
      <c r="A3229" s="425" t="s">
        <v>2575</v>
      </c>
      <c r="B3229" s="425" t="s">
        <v>2576</v>
      </c>
    </row>
    <row r="3230" spans="1:2" ht="15" hidden="1" x14ac:dyDescent="0.25">
      <c r="A3230" s="425" t="s">
        <v>2577</v>
      </c>
      <c r="B3230" s="425" t="s">
        <v>2578</v>
      </c>
    </row>
    <row r="3231" spans="1:2" ht="15" hidden="1" x14ac:dyDescent="0.25">
      <c r="A3231" s="425" t="s">
        <v>2579</v>
      </c>
      <c r="B3231" s="425" t="s">
        <v>2580</v>
      </c>
    </row>
    <row r="3232" spans="1:2" ht="15" hidden="1" x14ac:dyDescent="0.25">
      <c r="A3232" s="425" t="s">
        <v>2581</v>
      </c>
      <c r="B3232" s="425" t="s">
        <v>2582</v>
      </c>
    </row>
    <row r="3233" spans="1:2" ht="15" hidden="1" x14ac:dyDescent="0.25">
      <c r="A3233" s="425" t="s">
        <v>2583</v>
      </c>
      <c r="B3233" s="425" t="s">
        <v>2584</v>
      </c>
    </row>
    <row r="3234" spans="1:2" ht="15" hidden="1" x14ac:dyDescent="0.25">
      <c r="A3234" s="425" t="s">
        <v>1766</v>
      </c>
      <c r="B3234" s="425" t="s">
        <v>1767</v>
      </c>
    </row>
    <row r="3235" spans="1:2" ht="15" hidden="1" x14ac:dyDescent="0.25">
      <c r="A3235" s="425" t="s">
        <v>2585</v>
      </c>
      <c r="B3235" s="425" t="s">
        <v>2586</v>
      </c>
    </row>
    <row r="3236" spans="1:2" ht="15" hidden="1" x14ac:dyDescent="0.25">
      <c r="A3236" s="425" t="s">
        <v>204</v>
      </c>
      <c r="B3236" s="425" t="s">
        <v>352</v>
      </c>
    </row>
    <row r="3237" spans="1:2" ht="15" hidden="1" x14ac:dyDescent="0.25">
      <c r="A3237" s="425" t="s">
        <v>204</v>
      </c>
      <c r="B3237" s="425" t="s">
        <v>352</v>
      </c>
    </row>
    <row r="3238" spans="1:2" ht="15" hidden="1" x14ac:dyDescent="0.25">
      <c r="A3238" s="425" t="s">
        <v>204</v>
      </c>
      <c r="B3238" s="425" t="s">
        <v>352</v>
      </c>
    </row>
    <row r="3239" spans="1:2" ht="15" hidden="1" x14ac:dyDescent="0.25">
      <c r="A3239" s="425" t="s">
        <v>204</v>
      </c>
      <c r="B3239" s="425" t="s">
        <v>352</v>
      </c>
    </row>
    <row r="3240" spans="1:2" ht="15" hidden="1" x14ac:dyDescent="0.25">
      <c r="A3240" s="425" t="s">
        <v>2587</v>
      </c>
      <c r="B3240" s="425" t="s">
        <v>2588</v>
      </c>
    </row>
    <row r="3241" spans="1:2" ht="15" hidden="1" x14ac:dyDescent="0.25">
      <c r="A3241" s="425" t="s">
        <v>2589</v>
      </c>
      <c r="B3241" s="425" t="s">
        <v>2590</v>
      </c>
    </row>
    <row r="3242" spans="1:2" ht="15" hidden="1" x14ac:dyDescent="0.25">
      <c r="A3242" s="425" t="s">
        <v>2589</v>
      </c>
      <c r="B3242" s="425" t="s">
        <v>2590</v>
      </c>
    </row>
    <row r="3243" spans="1:2" ht="15" hidden="1" x14ac:dyDescent="0.25">
      <c r="A3243" s="425" t="s">
        <v>2591</v>
      </c>
      <c r="B3243" s="425" t="s">
        <v>2592</v>
      </c>
    </row>
    <row r="3244" spans="1:2" ht="15" hidden="1" x14ac:dyDescent="0.25">
      <c r="A3244" s="425" t="s">
        <v>2591</v>
      </c>
      <c r="B3244" s="425" t="s">
        <v>2592</v>
      </c>
    </row>
    <row r="3245" spans="1:2" ht="15" hidden="1" x14ac:dyDescent="0.25">
      <c r="A3245" s="425" t="s">
        <v>2593</v>
      </c>
      <c r="B3245" s="425" t="s">
        <v>2594</v>
      </c>
    </row>
    <row r="3246" spans="1:2" ht="15" hidden="1" x14ac:dyDescent="0.25">
      <c r="A3246" s="425" t="s">
        <v>2595</v>
      </c>
      <c r="B3246" s="425" t="s">
        <v>2596</v>
      </c>
    </row>
    <row r="3247" spans="1:2" ht="15" hidden="1" x14ac:dyDescent="0.25">
      <c r="A3247" s="425" t="s">
        <v>2595</v>
      </c>
      <c r="B3247" s="425" t="s">
        <v>2596</v>
      </c>
    </row>
    <row r="3248" spans="1:2" ht="15" hidden="1" x14ac:dyDescent="0.25">
      <c r="A3248" s="426" t="s">
        <v>2597</v>
      </c>
      <c r="B3248" s="426" t="s">
        <v>2598</v>
      </c>
    </row>
    <row r="3249" spans="1:2" ht="15" hidden="1" x14ac:dyDescent="0.25">
      <c r="A3249" s="425" t="s">
        <v>2599</v>
      </c>
      <c r="B3249" s="425" t="s">
        <v>2600</v>
      </c>
    </row>
    <row r="3250" spans="1:2" ht="15" hidden="1" x14ac:dyDescent="0.25">
      <c r="A3250" s="425" t="s">
        <v>2601</v>
      </c>
      <c r="B3250" s="425" t="s">
        <v>2602</v>
      </c>
    </row>
    <row r="3251" spans="1:2" ht="15" hidden="1" x14ac:dyDescent="0.25">
      <c r="A3251" s="425" t="s">
        <v>2601</v>
      </c>
      <c r="B3251" s="425" t="s">
        <v>2602</v>
      </c>
    </row>
    <row r="3252" spans="1:2" ht="15" hidden="1" x14ac:dyDescent="0.25">
      <c r="A3252" s="425" t="s">
        <v>214</v>
      </c>
      <c r="B3252" s="425" t="s">
        <v>359</v>
      </c>
    </row>
    <row r="3253" spans="1:2" ht="15" hidden="1" x14ac:dyDescent="0.25">
      <c r="A3253" s="425" t="s">
        <v>2603</v>
      </c>
      <c r="B3253" s="425" t="s">
        <v>2604</v>
      </c>
    </row>
    <row r="3254" spans="1:2" ht="15" hidden="1" x14ac:dyDescent="0.25">
      <c r="A3254" s="425" t="s">
        <v>2605</v>
      </c>
      <c r="B3254" s="425" t="s">
        <v>2606</v>
      </c>
    </row>
    <row r="3255" spans="1:2" ht="15" hidden="1" x14ac:dyDescent="0.25">
      <c r="A3255" s="425" t="s">
        <v>2605</v>
      </c>
      <c r="B3255" s="425" t="s">
        <v>2606</v>
      </c>
    </row>
    <row r="3256" spans="1:2" ht="15" hidden="1" x14ac:dyDescent="0.25">
      <c r="A3256" s="425" t="s">
        <v>2607</v>
      </c>
      <c r="B3256" s="425" t="s">
        <v>2608</v>
      </c>
    </row>
    <row r="3257" spans="1:2" ht="15" hidden="1" x14ac:dyDescent="0.25">
      <c r="A3257" s="425" t="s">
        <v>2607</v>
      </c>
      <c r="B3257" s="425" t="s">
        <v>2608</v>
      </c>
    </row>
    <row r="3258" spans="1:2" ht="15" hidden="1" x14ac:dyDescent="0.25">
      <c r="A3258" s="425" t="s">
        <v>2607</v>
      </c>
      <c r="B3258" s="425" t="s">
        <v>2608</v>
      </c>
    </row>
    <row r="3259" spans="1:2" ht="15" hidden="1" x14ac:dyDescent="0.25">
      <c r="A3259" s="425" t="s">
        <v>2609</v>
      </c>
      <c r="B3259" s="425" t="s">
        <v>2610</v>
      </c>
    </row>
    <row r="3260" spans="1:2" ht="15" hidden="1" x14ac:dyDescent="0.25">
      <c r="A3260" s="425" t="s">
        <v>2611</v>
      </c>
      <c r="B3260" s="425" t="s">
        <v>2612</v>
      </c>
    </row>
    <row r="3261" spans="1:2" ht="15" hidden="1" x14ac:dyDescent="0.25">
      <c r="A3261" s="425" t="s">
        <v>2613</v>
      </c>
      <c r="B3261" s="425" t="s">
        <v>2614</v>
      </c>
    </row>
    <row r="3262" spans="1:2" ht="15" hidden="1" x14ac:dyDescent="0.25">
      <c r="A3262" s="425" t="s">
        <v>2615</v>
      </c>
      <c r="B3262" s="425" t="s">
        <v>2616</v>
      </c>
    </row>
    <row r="3263" spans="1:2" ht="15" hidden="1" x14ac:dyDescent="0.25">
      <c r="A3263" s="425" t="s">
        <v>2617</v>
      </c>
      <c r="B3263" s="425" t="s">
        <v>2618</v>
      </c>
    </row>
    <row r="3264" spans="1:2" ht="15" hidden="1" x14ac:dyDescent="0.25">
      <c r="A3264" s="425" t="s">
        <v>2619</v>
      </c>
      <c r="B3264" s="425" t="s">
        <v>2620</v>
      </c>
    </row>
    <row r="3265" spans="1:2" ht="15" hidden="1" x14ac:dyDescent="0.25">
      <c r="A3265" s="425" t="s">
        <v>2621</v>
      </c>
      <c r="B3265" s="425" t="s">
        <v>2622</v>
      </c>
    </row>
    <row r="3266" spans="1:2" ht="15" hidden="1" x14ac:dyDescent="0.25">
      <c r="A3266" s="425" t="s">
        <v>2621</v>
      </c>
      <c r="B3266" s="425" t="s">
        <v>2622</v>
      </c>
    </row>
    <row r="3267" spans="1:2" ht="15" hidden="1" x14ac:dyDescent="0.25">
      <c r="A3267" s="425" t="s">
        <v>2623</v>
      </c>
      <c r="B3267" s="425" t="s">
        <v>2624</v>
      </c>
    </row>
    <row r="3268" spans="1:2" ht="15" hidden="1" x14ac:dyDescent="0.25">
      <c r="A3268" s="425" t="s">
        <v>2625</v>
      </c>
      <c r="B3268" s="425" t="s">
        <v>2422</v>
      </c>
    </row>
    <row r="3269" spans="1:2" ht="15" hidden="1" x14ac:dyDescent="0.25">
      <c r="A3269" s="425" t="s">
        <v>2626</v>
      </c>
      <c r="B3269" s="425" t="s">
        <v>2627</v>
      </c>
    </row>
    <row r="3270" spans="1:2" ht="15" hidden="1" x14ac:dyDescent="0.25">
      <c r="A3270" s="425" t="s">
        <v>1114</v>
      </c>
      <c r="B3270" s="425" t="s">
        <v>1115</v>
      </c>
    </row>
    <row r="3271" spans="1:2" ht="15" hidden="1" x14ac:dyDescent="0.25">
      <c r="A3271" s="425" t="s">
        <v>1114</v>
      </c>
      <c r="B3271" s="425" t="s">
        <v>1115</v>
      </c>
    </row>
    <row r="3272" spans="1:2" ht="15" hidden="1" x14ac:dyDescent="0.25">
      <c r="A3272" s="425" t="s">
        <v>223</v>
      </c>
      <c r="B3272" s="425" t="s">
        <v>367</v>
      </c>
    </row>
    <row r="3273" spans="1:2" ht="15" hidden="1" x14ac:dyDescent="0.25">
      <c r="A3273" s="425" t="s">
        <v>2628</v>
      </c>
      <c r="B3273" s="425" t="s">
        <v>2629</v>
      </c>
    </row>
    <row r="3274" spans="1:2" ht="15" hidden="1" x14ac:dyDescent="0.25">
      <c r="A3274" s="425" t="s">
        <v>2630</v>
      </c>
      <c r="B3274" s="425" t="s">
        <v>2631</v>
      </c>
    </row>
    <row r="3275" spans="1:2" ht="15" hidden="1" x14ac:dyDescent="0.25">
      <c r="A3275" s="425" t="s">
        <v>2630</v>
      </c>
      <c r="B3275" s="425" t="s">
        <v>2631</v>
      </c>
    </row>
    <row r="3276" spans="1:2" ht="15" hidden="1" x14ac:dyDescent="0.25">
      <c r="A3276" s="427" t="s">
        <v>2632</v>
      </c>
      <c r="B3276" s="427" t="s">
        <v>2633</v>
      </c>
    </row>
    <row r="3277" spans="1:2" ht="15" hidden="1" x14ac:dyDescent="0.25">
      <c r="A3277" s="425" t="s">
        <v>2634</v>
      </c>
      <c r="B3277" s="425" t="s">
        <v>2635</v>
      </c>
    </row>
    <row r="3278" spans="1:2" ht="15" hidden="1" x14ac:dyDescent="0.25">
      <c r="A3278" s="425" t="s">
        <v>2636</v>
      </c>
      <c r="B3278" s="425" t="s">
        <v>2439</v>
      </c>
    </row>
    <row r="3279" spans="1:2" ht="15" hidden="1" x14ac:dyDescent="0.25">
      <c r="A3279" s="425" t="s">
        <v>2637</v>
      </c>
      <c r="B3279" s="425" t="s">
        <v>2638</v>
      </c>
    </row>
    <row r="3280" spans="1:2" ht="15" hidden="1" x14ac:dyDescent="0.25">
      <c r="A3280" s="425" t="s">
        <v>2637</v>
      </c>
      <c r="B3280" s="425" t="s">
        <v>2638</v>
      </c>
    </row>
    <row r="3281" spans="1:2" ht="15" hidden="1" x14ac:dyDescent="0.25">
      <c r="A3281" s="425" t="s">
        <v>2637</v>
      </c>
      <c r="B3281" s="425" t="s">
        <v>2638</v>
      </c>
    </row>
    <row r="3282" spans="1:2" ht="15" hidden="1" x14ac:dyDescent="0.25">
      <c r="A3282" s="425" t="s">
        <v>2639</v>
      </c>
      <c r="B3282" s="425" t="s">
        <v>2640</v>
      </c>
    </row>
    <row r="3283" spans="1:2" ht="15" hidden="1" x14ac:dyDescent="0.25">
      <c r="A3283" s="425" t="s">
        <v>2641</v>
      </c>
      <c r="B3283" s="425" t="s">
        <v>2642</v>
      </c>
    </row>
    <row r="3284" spans="1:2" ht="15" hidden="1" x14ac:dyDescent="0.25">
      <c r="A3284" s="425" t="s">
        <v>2641</v>
      </c>
      <c r="B3284" s="425" t="s">
        <v>2642</v>
      </c>
    </row>
    <row r="3285" spans="1:2" ht="15" hidden="1" x14ac:dyDescent="0.25">
      <c r="A3285" s="425" t="s">
        <v>2643</v>
      </c>
      <c r="B3285" s="425" t="s">
        <v>2644</v>
      </c>
    </row>
    <row r="3286" spans="1:2" ht="15" hidden="1" x14ac:dyDescent="0.25">
      <c r="A3286" s="425" t="s">
        <v>2643</v>
      </c>
      <c r="B3286" s="425" t="s">
        <v>2644</v>
      </c>
    </row>
    <row r="3287" spans="1:2" ht="15" hidden="1" x14ac:dyDescent="0.25">
      <c r="A3287" s="425" t="s">
        <v>2645</v>
      </c>
      <c r="B3287" s="425" t="s">
        <v>2646</v>
      </c>
    </row>
    <row r="3288" spans="1:2" ht="15" hidden="1" x14ac:dyDescent="0.25">
      <c r="A3288" s="425" t="s">
        <v>2645</v>
      </c>
      <c r="B3288" s="425" t="s">
        <v>2646</v>
      </c>
    </row>
    <row r="3289" spans="1:2" ht="15" hidden="1" x14ac:dyDescent="0.25">
      <c r="A3289" s="425" t="s">
        <v>2645</v>
      </c>
      <c r="B3289" s="425" t="s">
        <v>2646</v>
      </c>
    </row>
    <row r="3290" spans="1:2" ht="15" hidden="1" x14ac:dyDescent="0.25">
      <c r="A3290" s="425" t="s">
        <v>2647</v>
      </c>
      <c r="B3290" s="425" t="s">
        <v>2648</v>
      </c>
    </row>
    <row r="3291" spans="1:2" ht="15" hidden="1" x14ac:dyDescent="0.25">
      <c r="A3291" s="425" t="s">
        <v>2649</v>
      </c>
      <c r="B3291" s="425" t="s">
        <v>2650</v>
      </c>
    </row>
    <row r="3292" spans="1:2" ht="15" hidden="1" x14ac:dyDescent="0.25">
      <c r="A3292" s="425" t="s">
        <v>2649</v>
      </c>
      <c r="B3292" s="425" t="s">
        <v>2650</v>
      </c>
    </row>
    <row r="3293" spans="1:2" ht="15" hidden="1" x14ac:dyDescent="0.25">
      <c r="A3293" s="425" t="s">
        <v>2649</v>
      </c>
      <c r="B3293" s="425" t="s">
        <v>2650</v>
      </c>
    </row>
    <row r="3294" spans="1:2" ht="15" hidden="1" x14ac:dyDescent="0.25">
      <c r="A3294" s="425" t="s">
        <v>2649</v>
      </c>
      <c r="B3294" s="425" t="s">
        <v>2650</v>
      </c>
    </row>
    <row r="3295" spans="1:2" ht="15" hidden="1" x14ac:dyDescent="0.25">
      <c r="A3295" s="425" t="s">
        <v>2651</v>
      </c>
      <c r="B3295" s="425" t="s">
        <v>2652</v>
      </c>
    </row>
    <row r="3296" spans="1:2" ht="15" hidden="1" x14ac:dyDescent="0.25">
      <c r="A3296" s="425" t="s">
        <v>2651</v>
      </c>
      <c r="B3296" s="425" t="s">
        <v>2652</v>
      </c>
    </row>
    <row r="3297" spans="1:2" ht="15" hidden="1" x14ac:dyDescent="0.25">
      <c r="A3297" s="425" t="s">
        <v>2653</v>
      </c>
      <c r="B3297" s="425" t="s">
        <v>2654</v>
      </c>
    </row>
    <row r="3298" spans="1:2" ht="15" hidden="1" x14ac:dyDescent="0.25">
      <c r="A3298" s="425" t="s">
        <v>2653</v>
      </c>
      <c r="B3298" s="425" t="s">
        <v>2654</v>
      </c>
    </row>
    <row r="3299" spans="1:2" ht="15" hidden="1" x14ac:dyDescent="0.25">
      <c r="A3299" s="425" t="s">
        <v>226</v>
      </c>
      <c r="B3299" s="425" t="s">
        <v>373</v>
      </c>
    </row>
    <row r="3300" spans="1:2" ht="15" hidden="1" x14ac:dyDescent="0.25">
      <c r="A3300" s="425" t="s">
        <v>226</v>
      </c>
      <c r="B3300" s="425" t="s">
        <v>373</v>
      </c>
    </row>
    <row r="3301" spans="1:2" ht="15" hidden="1" x14ac:dyDescent="0.25">
      <c r="A3301" s="425" t="s">
        <v>226</v>
      </c>
      <c r="B3301" s="425" t="s">
        <v>373</v>
      </c>
    </row>
    <row r="3302" spans="1:2" ht="15" hidden="1" x14ac:dyDescent="0.25">
      <c r="A3302" s="425" t="s">
        <v>226</v>
      </c>
      <c r="B3302" s="425" t="s">
        <v>373</v>
      </c>
    </row>
    <row r="3303" spans="1:2" ht="15" hidden="1" x14ac:dyDescent="0.25">
      <c r="A3303" s="425" t="s">
        <v>226</v>
      </c>
      <c r="B3303" s="425" t="s">
        <v>373</v>
      </c>
    </row>
    <row r="3304" spans="1:2" ht="15" hidden="1" x14ac:dyDescent="0.25">
      <c r="A3304" s="425" t="s">
        <v>2655</v>
      </c>
      <c r="B3304" s="425" t="s">
        <v>2656</v>
      </c>
    </row>
    <row r="3305" spans="1:2" ht="15" hidden="1" x14ac:dyDescent="0.25">
      <c r="A3305" s="425" t="s">
        <v>2655</v>
      </c>
      <c r="B3305" s="425" t="s">
        <v>2656</v>
      </c>
    </row>
    <row r="3306" spans="1:2" ht="15" hidden="1" x14ac:dyDescent="0.25">
      <c r="A3306" s="425" t="s">
        <v>227</v>
      </c>
      <c r="B3306" s="425" t="s">
        <v>374</v>
      </c>
    </row>
    <row r="3307" spans="1:2" ht="15" hidden="1" x14ac:dyDescent="0.25">
      <c r="A3307" s="425" t="s">
        <v>227</v>
      </c>
      <c r="B3307" s="425" t="s">
        <v>374</v>
      </c>
    </row>
    <row r="3308" spans="1:2" ht="15" hidden="1" x14ac:dyDescent="0.25">
      <c r="A3308" s="425" t="s">
        <v>227</v>
      </c>
      <c r="B3308" s="425" t="s">
        <v>374</v>
      </c>
    </row>
    <row r="3309" spans="1:2" ht="15" hidden="1" x14ac:dyDescent="0.25">
      <c r="A3309" s="425" t="s">
        <v>2657</v>
      </c>
      <c r="B3309" s="425" t="s">
        <v>2658</v>
      </c>
    </row>
    <row r="3310" spans="1:2" ht="15" hidden="1" x14ac:dyDescent="0.25">
      <c r="A3310" s="425" t="s">
        <v>2659</v>
      </c>
      <c r="B3310" s="425" t="s">
        <v>2660</v>
      </c>
    </row>
    <row r="3311" spans="1:2" ht="15" hidden="1" x14ac:dyDescent="0.25">
      <c r="A3311" s="425" t="s">
        <v>727</v>
      </c>
      <c r="B3311" s="425" t="s">
        <v>728</v>
      </c>
    </row>
    <row r="3312" spans="1:2" ht="15" hidden="1" x14ac:dyDescent="0.25">
      <c r="A3312" s="425" t="s">
        <v>2661</v>
      </c>
      <c r="B3312" s="425" t="s">
        <v>2662</v>
      </c>
    </row>
    <row r="3313" spans="1:2" ht="15" hidden="1" x14ac:dyDescent="0.25">
      <c r="A3313" s="425" t="s">
        <v>2663</v>
      </c>
      <c r="B3313" s="425" t="s">
        <v>2664</v>
      </c>
    </row>
    <row r="3314" spans="1:2" ht="15" hidden="1" x14ac:dyDescent="0.25">
      <c r="A3314" s="425" t="s">
        <v>2665</v>
      </c>
      <c r="B3314" s="425" t="s">
        <v>2666</v>
      </c>
    </row>
    <row r="3315" spans="1:2" ht="15" hidden="1" x14ac:dyDescent="0.25">
      <c r="A3315" s="425" t="s">
        <v>2667</v>
      </c>
      <c r="B3315" s="425" t="s">
        <v>2668</v>
      </c>
    </row>
    <row r="3316" spans="1:2" ht="15" hidden="1" x14ac:dyDescent="0.25">
      <c r="A3316" s="425" t="s">
        <v>2669</v>
      </c>
      <c r="B3316" s="425" t="s">
        <v>2670</v>
      </c>
    </row>
    <row r="3317" spans="1:2" ht="15" hidden="1" x14ac:dyDescent="0.25">
      <c r="A3317" s="425" t="s">
        <v>2669</v>
      </c>
      <c r="B3317" s="425" t="s">
        <v>2670</v>
      </c>
    </row>
    <row r="3318" spans="1:2" ht="15" hidden="1" x14ac:dyDescent="0.25">
      <c r="A3318" s="425" t="s">
        <v>2671</v>
      </c>
      <c r="B3318" s="425" t="s">
        <v>2672</v>
      </c>
    </row>
    <row r="3319" spans="1:2" ht="15" hidden="1" x14ac:dyDescent="0.25">
      <c r="A3319" s="425" t="s">
        <v>2673</v>
      </c>
      <c r="B3319" s="425" t="s">
        <v>2674</v>
      </c>
    </row>
    <row r="3320" spans="1:2" ht="15" hidden="1" x14ac:dyDescent="0.25">
      <c r="A3320" s="425" t="s">
        <v>2673</v>
      </c>
      <c r="B3320" s="425" t="s">
        <v>2674</v>
      </c>
    </row>
    <row r="3321" spans="1:2" ht="15" hidden="1" x14ac:dyDescent="0.25">
      <c r="A3321" s="425" t="s">
        <v>2675</v>
      </c>
      <c r="B3321" s="425" t="s">
        <v>2676</v>
      </c>
    </row>
    <row r="3322" spans="1:2" ht="15" hidden="1" x14ac:dyDescent="0.25">
      <c r="A3322" s="425" t="s">
        <v>2677</v>
      </c>
      <c r="B3322" s="425" t="s">
        <v>2678</v>
      </c>
    </row>
    <row r="3323" spans="1:2" ht="15" hidden="1" x14ac:dyDescent="0.25">
      <c r="A3323" s="425" t="s">
        <v>2679</v>
      </c>
      <c r="B3323" s="425" t="s">
        <v>2680</v>
      </c>
    </row>
    <row r="3324" spans="1:2" ht="15" hidden="1" x14ac:dyDescent="0.25">
      <c r="A3324" s="425" t="s">
        <v>2681</v>
      </c>
      <c r="B3324" s="425" t="s">
        <v>2682</v>
      </c>
    </row>
    <row r="3325" spans="1:2" ht="15" hidden="1" x14ac:dyDescent="0.25">
      <c r="A3325" s="425" t="s">
        <v>1422</v>
      </c>
      <c r="B3325" s="425" t="s">
        <v>1423</v>
      </c>
    </row>
    <row r="3326" spans="1:2" ht="15" hidden="1" x14ac:dyDescent="0.25">
      <c r="A3326" s="425" t="s">
        <v>1422</v>
      </c>
      <c r="B3326" s="425" t="s">
        <v>1423</v>
      </c>
    </row>
    <row r="3327" spans="1:2" ht="15" hidden="1" x14ac:dyDescent="0.25">
      <c r="A3327" s="425" t="s">
        <v>2683</v>
      </c>
      <c r="B3327" s="425" t="s">
        <v>2684</v>
      </c>
    </row>
    <row r="3328" spans="1:2" ht="15" hidden="1" x14ac:dyDescent="0.25">
      <c r="A3328" s="425" t="s">
        <v>2683</v>
      </c>
      <c r="B3328" s="425" t="s">
        <v>2684</v>
      </c>
    </row>
    <row r="3329" spans="1:2" ht="15" hidden="1" x14ac:dyDescent="0.25">
      <c r="A3329" s="425" t="s">
        <v>2683</v>
      </c>
      <c r="B3329" s="425" t="s">
        <v>2684</v>
      </c>
    </row>
    <row r="3330" spans="1:2" ht="15" hidden="1" x14ac:dyDescent="0.25">
      <c r="A3330" s="426" t="s">
        <v>2685</v>
      </c>
      <c r="B3330" s="426" t="s">
        <v>2686</v>
      </c>
    </row>
    <row r="3331" spans="1:2" ht="15" hidden="1" x14ac:dyDescent="0.25">
      <c r="A3331" s="425" t="s">
        <v>2003</v>
      </c>
      <c r="B3331" s="425" t="s">
        <v>2004</v>
      </c>
    </row>
    <row r="3332" spans="1:2" ht="15" hidden="1" x14ac:dyDescent="0.25">
      <c r="A3332" s="425" t="s">
        <v>1695</v>
      </c>
      <c r="B3332" s="425" t="s">
        <v>1696</v>
      </c>
    </row>
    <row r="3333" spans="1:2" ht="15" hidden="1" x14ac:dyDescent="0.25">
      <c r="A3333" s="425" t="s">
        <v>2687</v>
      </c>
      <c r="B3333" s="425" t="s">
        <v>2688</v>
      </c>
    </row>
    <row r="3334" spans="1:2" ht="15" hidden="1" x14ac:dyDescent="0.25">
      <c r="A3334" s="425" t="s">
        <v>2687</v>
      </c>
      <c r="B3334" s="425" t="s">
        <v>2688</v>
      </c>
    </row>
    <row r="3335" spans="1:2" ht="15" hidden="1" x14ac:dyDescent="0.25">
      <c r="A3335" s="425" t="s">
        <v>2687</v>
      </c>
      <c r="B3335" s="425" t="s">
        <v>2688</v>
      </c>
    </row>
    <row r="3336" spans="1:2" ht="15" hidden="1" x14ac:dyDescent="0.25">
      <c r="A3336" s="425" t="s">
        <v>2687</v>
      </c>
      <c r="B3336" s="425" t="s">
        <v>2688</v>
      </c>
    </row>
    <row r="3337" spans="1:2" ht="15" hidden="1" x14ac:dyDescent="0.25">
      <c r="A3337" s="425" t="s">
        <v>234</v>
      </c>
      <c r="B3337" s="425" t="s">
        <v>384</v>
      </c>
    </row>
    <row r="3338" spans="1:2" ht="15" hidden="1" x14ac:dyDescent="0.25">
      <c r="A3338" s="425" t="s">
        <v>2689</v>
      </c>
      <c r="B3338" s="425" t="s">
        <v>2514</v>
      </c>
    </row>
    <row r="3339" spans="1:2" ht="15" hidden="1" x14ac:dyDescent="0.25">
      <c r="A3339" s="425" t="s">
        <v>2690</v>
      </c>
      <c r="B3339" s="425" t="s">
        <v>2517</v>
      </c>
    </row>
    <row r="3340" spans="1:2" ht="15" hidden="1" x14ac:dyDescent="0.25">
      <c r="A3340" s="425" t="s">
        <v>2691</v>
      </c>
      <c r="B3340" s="425" t="s">
        <v>2692</v>
      </c>
    </row>
    <row r="3341" spans="1:2" ht="15" hidden="1" x14ac:dyDescent="0.25">
      <c r="A3341" s="425" t="s">
        <v>2693</v>
      </c>
      <c r="B3341" s="425" t="s">
        <v>2694</v>
      </c>
    </row>
    <row r="3342" spans="1:2" ht="15" hidden="1" x14ac:dyDescent="0.25">
      <c r="A3342" s="425" t="s">
        <v>2695</v>
      </c>
      <c r="B3342" s="425" t="s">
        <v>2696</v>
      </c>
    </row>
    <row r="3343" spans="1:2" ht="15" hidden="1" x14ac:dyDescent="0.25">
      <c r="A3343" s="425" t="s">
        <v>2697</v>
      </c>
      <c r="B3343" s="425" t="s">
        <v>2698</v>
      </c>
    </row>
    <row r="3344" spans="1:2" ht="15" hidden="1" x14ac:dyDescent="0.25">
      <c r="A3344" s="425" t="s">
        <v>2699</v>
      </c>
      <c r="B3344" s="425" t="s">
        <v>2700</v>
      </c>
    </row>
    <row r="3345" spans="1:2" ht="15" hidden="1" x14ac:dyDescent="0.25">
      <c r="A3345" s="425" t="s">
        <v>2699</v>
      </c>
      <c r="B3345" s="425" t="s">
        <v>2700</v>
      </c>
    </row>
    <row r="3346" spans="1:2" ht="15" hidden="1" x14ac:dyDescent="0.25">
      <c r="A3346" s="425" t="s">
        <v>2701</v>
      </c>
      <c r="B3346" s="425" t="s">
        <v>2702</v>
      </c>
    </row>
    <row r="3347" spans="1:2" ht="15" hidden="1" x14ac:dyDescent="0.25">
      <c r="A3347" s="425" t="s">
        <v>2701</v>
      </c>
      <c r="B3347" s="425" t="s">
        <v>2702</v>
      </c>
    </row>
    <row r="3348" spans="1:2" ht="15" hidden="1" x14ac:dyDescent="0.25">
      <c r="A3348" s="425" t="s">
        <v>2703</v>
      </c>
      <c r="B3348" s="425" t="s">
        <v>2704</v>
      </c>
    </row>
    <row r="3349" spans="1:2" ht="15" hidden="1" x14ac:dyDescent="0.25">
      <c r="A3349" s="425" t="s">
        <v>2705</v>
      </c>
      <c r="B3349" s="425" t="s">
        <v>2706</v>
      </c>
    </row>
    <row r="3350" spans="1:2" ht="15" hidden="1" x14ac:dyDescent="0.25">
      <c r="A3350" s="425" t="s">
        <v>2707</v>
      </c>
      <c r="B3350" s="425" t="s">
        <v>2708</v>
      </c>
    </row>
    <row r="3351" spans="1:2" ht="15" hidden="1" x14ac:dyDescent="0.25">
      <c r="A3351" s="425" t="s">
        <v>2709</v>
      </c>
      <c r="B3351" s="425" t="s">
        <v>2526</v>
      </c>
    </row>
    <row r="3352" spans="1:2" ht="15" hidden="1" x14ac:dyDescent="0.25">
      <c r="A3352" s="425" t="s">
        <v>2710</v>
      </c>
      <c r="B3352" s="425" t="s">
        <v>2530</v>
      </c>
    </row>
    <row r="3353" spans="1:2" ht="15" hidden="1" x14ac:dyDescent="0.25">
      <c r="A3353" s="425" t="s">
        <v>2711</v>
      </c>
      <c r="B3353" s="425" t="s">
        <v>2712</v>
      </c>
    </row>
    <row r="3354" spans="1:2" ht="15" hidden="1" x14ac:dyDescent="0.25">
      <c r="A3354" s="425" t="s">
        <v>2713</v>
      </c>
      <c r="B3354" s="425" t="s">
        <v>2714</v>
      </c>
    </row>
    <row r="3355" spans="1:2" ht="15" hidden="1" x14ac:dyDescent="0.25">
      <c r="A3355" s="425" t="s">
        <v>2715</v>
      </c>
      <c r="B3355" s="425" t="s">
        <v>2716</v>
      </c>
    </row>
    <row r="3356" spans="1:2" ht="15" hidden="1" x14ac:dyDescent="0.25">
      <c r="A3356" s="425" t="s">
        <v>2717</v>
      </c>
      <c r="B3356" s="425" t="s">
        <v>2718</v>
      </c>
    </row>
    <row r="3357" spans="1:2" ht="15" hidden="1" x14ac:dyDescent="0.25">
      <c r="A3357" s="425" t="s">
        <v>2719</v>
      </c>
      <c r="B3357" s="425" t="s">
        <v>2720</v>
      </c>
    </row>
    <row r="3358" spans="1:2" ht="15" hidden="1" x14ac:dyDescent="0.25">
      <c r="A3358" s="425" t="s">
        <v>2721</v>
      </c>
      <c r="B3358" s="425" t="s">
        <v>2722</v>
      </c>
    </row>
    <row r="3359" spans="1:2" ht="15" hidden="1" x14ac:dyDescent="0.25">
      <c r="A3359" s="425" t="s">
        <v>2723</v>
      </c>
      <c r="B3359" s="425" t="s">
        <v>2724</v>
      </c>
    </row>
    <row r="3360" spans="1:2" ht="15" hidden="1" x14ac:dyDescent="0.25">
      <c r="A3360" s="425" t="s">
        <v>2725</v>
      </c>
      <c r="B3360" s="425" t="s">
        <v>2726</v>
      </c>
    </row>
    <row r="3361" spans="1:2" ht="15" hidden="1" x14ac:dyDescent="0.25">
      <c r="A3361" s="425" t="s">
        <v>1437</v>
      </c>
      <c r="B3361" s="425" t="s">
        <v>1438</v>
      </c>
    </row>
    <row r="3362" spans="1:2" ht="15" hidden="1" x14ac:dyDescent="0.25">
      <c r="A3362" s="425" t="s">
        <v>1437</v>
      </c>
      <c r="B3362" s="425" t="s">
        <v>1438</v>
      </c>
    </row>
    <row r="3363" spans="1:2" ht="15" hidden="1" x14ac:dyDescent="0.25">
      <c r="A3363" s="425" t="s">
        <v>2727</v>
      </c>
      <c r="B3363" s="425" t="s">
        <v>2728</v>
      </c>
    </row>
    <row r="3364" spans="1:2" ht="15" hidden="1" x14ac:dyDescent="0.25">
      <c r="A3364" s="427" t="s">
        <v>2729</v>
      </c>
      <c r="B3364" s="427" t="s">
        <v>2730</v>
      </c>
    </row>
    <row r="3365" spans="1:2" ht="15" hidden="1" x14ac:dyDescent="0.25">
      <c r="A3365" s="425" t="s">
        <v>2731</v>
      </c>
      <c r="B3365" s="425" t="s">
        <v>2732</v>
      </c>
    </row>
    <row r="3366" spans="1:2" ht="15" hidden="1" x14ac:dyDescent="0.25">
      <c r="A3366" s="425" t="s">
        <v>2731</v>
      </c>
      <c r="B3366" s="425" t="s">
        <v>2732</v>
      </c>
    </row>
    <row r="3367" spans="1:2" ht="15" hidden="1" x14ac:dyDescent="0.25">
      <c r="A3367" s="425" t="s">
        <v>2733</v>
      </c>
      <c r="B3367" s="425" t="s">
        <v>2734</v>
      </c>
    </row>
    <row r="3368" spans="1:2" ht="15" hidden="1" x14ac:dyDescent="0.25">
      <c r="A3368" s="425" t="s">
        <v>2733</v>
      </c>
      <c r="B3368" s="425" t="s">
        <v>2734</v>
      </c>
    </row>
    <row r="3369" spans="1:2" ht="15" hidden="1" x14ac:dyDescent="0.25">
      <c r="A3369" s="425" t="s">
        <v>2735</v>
      </c>
      <c r="B3369" s="425" t="s">
        <v>2736</v>
      </c>
    </row>
    <row r="3370" spans="1:2" ht="15" hidden="1" x14ac:dyDescent="0.25">
      <c r="A3370" s="425" t="s">
        <v>2737</v>
      </c>
      <c r="B3370" s="425" t="s">
        <v>2738</v>
      </c>
    </row>
    <row r="3371" spans="1:2" ht="15" hidden="1" x14ac:dyDescent="0.25">
      <c r="A3371" s="425" t="s">
        <v>2739</v>
      </c>
      <c r="B3371" s="425" t="s">
        <v>2740</v>
      </c>
    </row>
    <row r="3372" spans="1:2" ht="15" hidden="1" x14ac:dyDescent="0.25">
      <c r="A3372" s="425" t="s">
        <v>2741</v>
      </c>
      <c r="B3372" s="425" t="s">
        <v>2742</v>
      </c>
    </row>
    <row r="3373" spans="1:2" ht="15" hidden="1" x14ac:dyDescent="0.25">
      <c r="A3373" s="425" t="s">
        <v>2743</v>
      </c>
      <c r="B3373" s="425" t="s">
        <v>2744</v>
      </c>
    </row>
    <row r="3374" spans="1:2" ht="15" hidden="1" x14ac:dyDescent="0.25">
      <c r="A3374" s="425" t="s">
        <v>2745</v>
      </c>
      <c r="B3374" s="425" t="s">
        <v>2746</v>
      </c>
    </row>
    <row r="3375" spans="1:2" ht="15" hidden="1" x14ac:dyDescent="0.25">
      <c r="A3375" s="425" t="s">
        <v>2747</v>
      </c>
      <c r="B3375" s="425" t="s">
        <v>2748</v>
      </c>
    </row>
    <row r="3376" spans="1:2" ht="15" hidden="1" x14ac:dyDescent="0.25">
      <c r="A3376" s="425" t="s">
        <v>2749</v>
      </c>
      <c r="B3376" s="425" t="s">
        <v>2750</v>
      </c>
    </row>
    <row r="3377" spans="1:2" ht="15" hidden="1" x14ac:dyDescent="0.25">
      <c r="A3377" s="425" t="s">
        <v>2751</v>
      </c>
      <c r="B3377" s="425" t="s">
        <v>2752</v>
      </c>
    </row>
    <row r="3378" spans="1:2" ht="15" hidden="1" x14ac:dyDescent="0.25">
      <c r="A3378" s="425" t="s">
        <v>2753</v>
      </c>
      <c r="B3378" s="425" t="s">
        <v>2754</v>
      </c>
    </row>
    <row r="3379" spans="1:2" ht="15" hidden="1" x14ac:dyDescent="0.25">
      <c r="A3379" s="425" t="s">
        <v>2755</v>
      </c>
      <c r="B3379" s="425" t="s">
        <v>2756</v>
      </c>
    </row>
    <row r="3380" spans="1:2" ht="15" hidden="1" x14ac:dyDescent="0.25">
      <c r="A3380" s="425" t="s">
        <v>2757</v>
      </c>
      <c r="B3380" s="425" t="s">
        <v>2758</v>
      </c>
    </row>
    <row r="3381" spans="1:2" ht="15" hidden="1" x14ac:dyDescent="0.25">
      <c r="A3381" s="425" t="s">
        <v>2759</v>
      </c>
      <c r="B3381" s="425" t="s">
        <v>2760</v>
      </c>
    </row>
    <row r="3382" spans="1:2" ht="15" hidden="1" x14ac:dyDescent="0.25">
      <c r="A3382" s="425" t="s">
        <v>2761</v>
      </c>
      <c r="B3382" s="425" t="s">
        <v>2762</v>
      </c>
    </row>
    <row r="3383" spans="1:2" ht="15" hidden="1" x14ac:dyDescent="0.25">
      <c r="A3383" s="425" t="s">
        <v>2353</v>
      </c>
      <c r="B3383" s="425" t="s">
        <v>2354</v>
      </c>
    </row>
    <row r="3384" spans="1:2" ht="15" hidden="1" x14ac:dyDescent="0.25">
      <c r="A3384" s="425" t="s">
        <v>2353</v>
      </c>
      <c r="B3384" s="425" t="s">
        <v>2354</v>
      </c>
    </row>
    <row r="3385" spans="1:2" ht="15" hidden="1" x14ac:dyDescent="0.25">
      <c r="A3385" s="425" t="s">
        <v>2763</v>
      </c>
      <c r="B3385" s="425" t="s">
        <v>2764</v>
      </c>
    </row>
    <row r="3386" spans="1:2" ht="15" hidden="1" x14ac:dyDescent="0.25">
      <c r="A3386" s="425" t="s">
        <v>1449</v>
      </c>
      <c r="B3386" s="425" t="s">
        <v>1450</v>
      </c>
    </row>
    <row r="3387" spans="1:2" ht="15" hidden="1" x14ac:dyDescent="0.25">
      <c r="A3387" s="425" t="s">
        <v>1835</v>
      </c>
      <c r="B3387" s="425" t="s">
        <v>1836</v>
      </c>
    </row>
    <row r="3388" spans="1:2" ht="15" hidden="1" x14ac:dyDescent="0.25">
      <c r="A3388" s="425" t="s">
        <v>1835</v>
      </c>
      <c r="B3388" s="425" t="s">
        <v>1836</v>
      </c>
    </row>
    <row r="3389" spans="1:2" ht="15" hidden="1" x14ac:dyDescent="0.25">
      <c r="A3389" s="425" t="s">
        <v>2765</v>
      </c>
      <c r="B3389" s="425" t="s">
        <v>2766</v>
      </c>
    </row>
    <row r="3390" spans="1:2" ht="15" hidden="1" x14ac:dyDescent="0.25">
      <c r="A3390" s="425" t="s">
        <v>2767</v>
      </c>
      <c r="B3390" s="425" t="s">
        <v>2768</v>
      </c>
    </row>
    <row r="3391" spans="1:2" ht="15" hidden="1" x14ac:dyDescent="0.25">
      <c r="A3391" s="425" t="s">
        <v>208</v>
      </c>
      <c r="B3391" s="425" t="s">
        <v>309</v>
      </c>
    </row>
    <row r="3392" spans="1:2" ht="15" hidden="1" x14ac:dyDescent="0.25">
      <c r="A3392" s="425" t="s">
        <v>208</v>
      </c>
      <c r="B3392" s="425" t="s">
        <v>309</v>
      </c>
    </row>
    <row r="3393" spans="1:2" ht="15" hidden="1" x14ac:dyDescent="0.25">
      <c r="A3393" s="425" t="s">
        <v>208</v>
      </c>
      <c r="B3393" s="425" t="s">
        <v>309</v>
      </c>
    </row>
    <row r="3394" spans="1:2" ht="15" hidden="1" x14ac:dyDescent="0.25">
      <c r="A3394" s="425" t="s">
        <v>208</v>
      </c>
      <c r="B3394" s="425" t="s">
        <v>309</v>
      </c>
    </row>
    <row r="3395" spans="1:2" ht="15" hidden="1" x14ac:dyDescent="0.25">
      <c r="A3395" s="425" t="s">
        <v>178</v>
      </c>
      <c r="B3395" s="425" t="s">
        <v>310</v>
      </c>
    </row>
    <row r="3396" spans="1:2" ht="15" hidden="1" x14ac:dyDescent="0.25">
      <c r="A3396" s="425" t="s">
        <v>178</v>
      </c>
      <c r="B3396" s="425" t="s">
        <v>310</v>
      </c>
    </row>
    <row r="3397" spans="1:2" ht="15" hidden="1" x14ac:dyDescent="0.25">
      <c r="A3397" s="425" t="s">
        <v>178</v>
      </c>
      <c r="B3397" s="425" t="s">
        <v>310</v>
      </c>
    </row>
    <row r="3398" spans="1:2" ht="15" hidden="1" x14ac:dyDescent="0.25">
      <c r="A3398" s="425" t="s">
        <v>178</v>
      </c>
      <c r="B3398" s="425" t="s">
        <v>310</v>
      </c>
    </row>
    <row r="3399" spans="1:2" ht="15" hidden="1" x14ac:dyDescent="0.25">
      <c r="A3399" s="425" t="s">
        <v>178</v>
      </c>
      <c r="B3399" s="425" t="s">
        <v>310</v>
      </c>
    </row>
    <row r="3400" spans="1:2" ht="15" hidden="1" x14ac:dyDescent="0.25">
      <c r="A3400" s="425" t="s">
        <v>178</v>
      </c>
      <c r="B3400" s="425" t="s">
        <v>310</v>
      </c>
    </row>
    <row r="3401" spans="1:2" ht="15" hidden="1" x14ac:dyDescent="0.25">
      <c r="A3401" s="425" t="s">
        <v>1617</v>
      </c>
      <c r="B3401" s="425" t="s">
        <v>1618</v>
      </c>
    </row>
    <row r="3402" spans="1:2" ht="15" hidden="1" x14ac:dyDescent="0.25">
      <c r="A3402" s="425" t="s">
        <v>180</v>
      </c>
      <c r="B3402" s="425" t="s">
        <v>312</v>
      </c>
    </row>
    <row r="3403" spans="1:2" ht="15" hidden="1" x14ac:dyDescent="0.25">
      <c r="A3403" s="425" t="s">
        <v>180</v>
      </c>
      <c r="B3403" s="425" t="s">
        <v>312</v>
      </c>
    </row>
    <row r="3404" spans="1:2" ht="15" hidden="1" x14ac:dyDescent="0.25">
      <c r="A3404" s="425" t="s">
        <v>180</v>
      </c>
      <c r="B3404" s="425" t="s">
        <v>312</v>
      </c>
    </row>
    <row r="3405" spans="1:2" ht="15" hidden="1" x14ac:dyDescent="0.25">
      <c r="A3405" s="425" t="s">
        <v>395</v>
      </c>
      <c r="B3405" s="425" t="s">
        <v>396</v>
      </c>
    </row>
    <row r="3406" spans="1:2" ht="15" hidden="1" x14ac:dyDescent="0.25">
      <c r="A3406" s="425" t="s">
        <v>395</v>
      </c>
      <c r="B3406" s="425" t="s">
        <v>396</v>
      </c>
    </row>
    <row r="3407" spans="1:2" ht="15" hidden="1" x14ac:dyDescent="0.25">
      <c r="A3407" s="425" t="s">
        <v>395</v>
      </c>
      <c r="B3407" s="425" t="s">
        <v>396</v>
      </c>
    </row>
    <row r="3408" spans="1:2" ht="15" hidden="1" x14ac:dyDescent="0.25">
      <c r="A3408" s="425" t="s">
        <v>181</v>
      </c>
      <c r="B3408" s="425" t="s">
        <v>313</v>
      </c>
    </row>
    <row r="3409" spans="1:2" ht="15" hidden="1" x14ac:dyDescent="0.25">
      <c r="A3409" s="425" t="s">
        <v>181</v>
      </c>
      <c r="B3409" s="425" t="s">
        <v>313</v>
      </c>
    </row>
    <row r="3410" spans="1:2" ht="15" hidden="1" x14ac:dyDescent="0.25">
      <c r="A3410" s="425" t="s">
        <v>181</v>
      </c>
      <c r="B3410" s="425" t="s">
        <v>313</v>
      </c>
    </row>
    <row r="3411" spans="1:2" ht="15" hidden="1" x14ac:dyDescent="0.25">
      <c r="A3411" s="425" t="s">
        <v>181</v>
      </c>
      <c r="B3411" s="425" t="s">
        <v>313</v>
      </c>
    </row>
    <row r="3412" spans="1:2" ht="15" hidden="1" x14ac:dyDescent="0.25">
      <c r="A3412" s="425" t="s">
        <v>181</v>
      </c>
      <c r="B3412" s="425" t="s">
        <v>313</v>
      </c>
    </row>
    <row r="3413" spans="1:2" ht="15" hidden="1" x14ac:dyDescent="0.25">
      <c r="A3413" s="425" t="s">
        <v>181</v>
      </c>
      <c r="B3413" s="425" t="s">
        <v>313</v>
      </c>
    </row>
    <row r="3414" spans="1:2" ht="15" hidden="1" x14ac:dyDescent="0.25">
      <c r="A3414" s="425" t="s">
        <v>181</v>
      </c>
      <c r="B3414" s="425" t="s">
        <v>313</v>
      </c>
    </row>
    <row r="3415" spans="1:2" ht="15" hidden="1" x14ac:dyDescent="0.25">
      <c r="A3415" s="425" t="s">
        <v>181</v>
      </c>
      <c r="B3415" s="425" t="s">
        <v>313</v>
      </c>
    </row>
    <row r="3416" spans="1:2" ht="15" hidden="1" x14ac:dyDescent="0.25">
      <c r="A3416" s="425" t="s">
        <v>181</v>
      </c>
      <c r="B3416" s="425" t="s">
        <v>313</v>
      </c>
    </row>
    <row r="3417" spans="1:2" ht="15" hidden="1" x14ac:dyDescent="0.25">
      <c r="A3417" s="425" t="s">
        <v>181</v>
      </c>
      <c r="B3417" s="425" t="s">
        <v>313</v>
      </c>
    </row>
    <row r="3418" spans="1:2" ht="15" hidden="1" x14ac:dyDescent="0.25">
      <c r="A3418" s="425" t="s">
        <v>181</v>
      </c>
      <c r="B3418" s="425" t="s">
        <v>313</v>
      </c>
    </row>
    <row r="3419" spans="1:2" ht="15" hidden="1" x14ac:dyDescent="0.25">
      <c r="A3419" s="425" t="s">
        <v>181</v>
      </c>
      <c r="B3419" s="425" t="s">
        <v>313</v>
      </c>
    </row>
    <row r="3420" spans="1:2" ht="15" hidden="1" x14ac:dyDescent="0.25">
      <c r="A3420" s="425" t="s">
        <v>181</v>
      </c>
      <c r="B3420" s="425" t="s">
        <v>313</v>
      </c>
    </row>
    <row r="3421" spans="1:2" ht="15" hidden="1" x14ac:dyDescent="0.25">
      <c r="A3421" s="425" t="s">
        <v>181</v>
      </c>
      <c r="B3421" s="425" t="s">
        <v>313</v>
      </c>
    </row>
    <row r="3422" spans="1:2" ht="15" hidden="1" x14ac:dyDescent="0.25">
      <c r="A3422" s="425" t="s">
        <v>181</v>
      </c>
      <c r="B3422" s="425" t="s">
        <v>313</v>
      </c>
    </row>
    <row r="3423" spans="1:2" ht="15" hidden="1" x14ac:dyDescent="0.25">
      <c r="A3423" s="425" t="s">
        <v>181</v>
      </c>
      <c r="B3423" s="425" t="s">
        <v>313</v>
      </c>
    </row>
    <row r="3424" spans="1:2" ht="15" hidden="1" x14ac:dyDescent="0.25">
      <c r="A3424" s="425" t="s">
        <v>181</v>
      </c>
      <c r="B3424" s="425" t="s">
        <v>313</v>
      </c>
    </row>
    <row r="3425" spans="1:2" ht="15" hidden="1" x14ac:dyDescent="0.25">
      <c r="A3425" s="425" t="s">
        <v>181</v>
      </c>
      <c r="B3425" s="425" t="s">
        <v>313</v>
      </c>
    </row>
    <row r="3426" spans="1:2" ht="15" hidden="1" x14ac:dyDescent="0.25">
      <c r="A3426" s="425" t="s">
        <v>181</v>
      </c>
      <c r="B3426" s="425" t="s">
        <v>313</v>
      </c>
    </row>
    <row r="3427" spans="1:2" ht="15" hidden="1" x14ac:dyDescent="0.25">
      <c r="A3427" s="425" t="s">
        <v>182</v>
      </c>
      <c r="B3427" s="425" t="s">
        <v>315</v>
      </c>
    </row>
    <row r="3428" spans="1:2" ht="15" hidden="1" x14ac:dyDescent="0.25">
      <c r="A3428" s="425" t="s">
        <v>182</v>
      </c>
      <c r="B3428" s="425" t="s">
        <v>315</v>
      </c>
    </row>
    <row r="3429" spans="1:2" ht="15" hidden="1" x14ac:dyDescent="0.25">
      <c r="A3429" s="425" t="s">
        <v>182</v>
      </c>
      <c r="B3429" s="425" t="s">
        <v>315</v>
      </c>
    </row>
    <row r="3430" spans="1:2" ht="15" hidden="1" x14ac:dyDescent="0.25">
      <c r="A3430" s="425" t="s">
        <v>182</v>
      </c>
      <c r="B3430" s="425" t="s">
        <v>315</v>
      </c>
    </row>
    <row r="3431" spans="1:2" ht="15" hidden="1" x14ac:dyDescent="0.25">
      <c r="A3431" s="425" t="s">
        <v>182</v>
      </c>
      <c r="B3431" s="425" t="s">
        <v>315</v>
      </c>
    </row>
    <row r="3432" spans="1:2" ht="15" hidden="1" x14ac:dyDescent="0.25">
      <c r="A3432" s="425" t="s">
        <v>182</v>
      </c>
      <c r="B3432" s="425" t="s">
        <v>315</v>
      </c>
    </row>
    <row r="3433" spans="1:2" ht="15" hidden="1" x14ac:dyDescent="0.25">
      <c r="A3433" s="425" t="s">
        <v>182</v>
      </c>
      <c r="B3433" s="425" t="s">
        <v>315</v>
      </c>
    </row>
    <row r="3434" spans="1:2" ht="15" hidden="1" x14ac:dyDescent="0.25">
      <c r="A3434" s="425" t="s">
        <v>182</v>
      </c>
      <c r="B3434" s="425" t="s">
        <v>315</v>
      </c>
    </row>
    <row r="3435" spans="1:2" ht="15" hidden="1" x14ac:dyDescent="0.25">
      <c r="A3435" s="425" t="s">
        <v>182</v>
      </c>
      <c r="B3435" s="425" t="s">
        <v>315</v>
      </c>
    </row>
    <row r="3436" spans="1:2" ht="15" hidden="1" x14ac:dyDescent="0.25">
      <c r="A3436" s="425" t="s">
        <v>182</v>
      </c>
      <c r="B3436" s="425" t="s">
        <v>315</v>
      </c>
    </row>
    <row r="3437" spans="1:2" ht="15" hidden="1" x14ac:dyDescent="0.25">
      <c r="A3437" s="425" t="s">
        <v>182</v>
      </c>
      <c r="B3437" s="425" t="s">
        <v>315</v>
      </c>
    </row>
    <row r="3438" spans="1:2" ht="15" hidden="1" x14ac:dyDescent="0.25">
      <c r="A3438" s="425" t="s">
        <v>182</v>
      </c>
      <c r="B3438" s="425" t="s">
        <v>315</v>
      </c>
    </row>
    <row r="3439" spans="1:2" ht="15" hidden="1" x14ac:dyDescent="0.25">
      <c r="A3439" s="425" t="s">
        <v>182</v>
      </c>
      <c r="B3439" s="425" t="s">
        <v>315</v>
      </c>
    </row>
    <row r="3440" spans="1:2" ht="15" hidden="1" x14ac:dyDescent="0.25">
      <c r="A3440" s="425" t="s">
        <v>182</v>
      </c>
      <c r="B3440" s="425" t="s">
        <v>315</v>
      </c>
    </row>
    <row r="3441" spans="1:2" ht="15" hidden="1" x14ac:dyDescent="0.25">
      <c r="A3441" s="425" t="s">
        <v>182</v>
      </c>
      <c r="B3441" s="425" t="s">
        <v>315</v>
      </c>
    </row>
    <row r="3442" spans="1:2" ht="15" hidden="1" x14ac:dyDescent="0.25">
      <c r="A3442" s="425" t="s">
        <v>182</v>
      </c>
      <c r="B3442" s="425" t="s">
        <v>315</v>
      </c>
    </row>
    <row r="3443" spans="1:2" ht="15" hidden="1" x14ac:dyDescent="0.25">
      <c r="A3443" s="425" t="s">
        <v>182</v>
      </c>
      <c r="B3443" s="425" t="s">
        <v>315</v>
      </c>
    </row>
    <row r="3444" spans="1:2" ht="15" hidden="1" x14ac:dyDescent="0.25">
      <c r="A3444" s="425" t="s">
        <v>182</v>
      </c>
      <c r="B3444" s="425" t="s">
        <v>315</v>
      </c>
    </row>
    <row r="3445" spans="1:2" ht="15" hidden="1" x14ac:dyDescent="0.25">
      <c r="A3445" s="425" t="s">
        <v>182</v>
      </c>
      <c r="B3445" s="425" t="s">
        <v>315</v>
      </c>
    </row>
    <row r="3446" spans="1:2" ht="15" hidden="1" x14ac:dyDescent="0.25">
      <c r="A3446" s="425" t="s">
        <v>182</v>
      </c>
      <c r="B3446" s="425" t="s">
        <v>315</v>
      </c>
    </row>
    <row r="3447" spans="1:2" ht="15" hidden="1" x14ac:dyDescent="0.25">
      <c r="A3447" s="425" t="s">
        <v>182</v>
      </c>
      <c r="B3447" s="425" t="s">
        <v>315</v>
      </c>
    </row>
    <row r="3448" spans="1:2" ht="15" hidden="1" x14ac:dyDescent="0.25">
      <c r="A3448" s="425" t="s">
        <v>182</v>
      </c>
      <c r="B3448" s="425" t="s">
        <v>315</v>
      </c>
    </row>
    <row r="3449" spans="1:2" ht="15" hidden="1" x14ac:dyDescent="0.25">
      <c r="A3449" s="425" t="s">
        <v>182</v>
      </c>
      <c r="B3449" s="425" t="s">
        <v>315</v>
      </c>
    </row>
    <row r="3450" spans="1:2" ht="15" hidden="1" x14ac:dyDescent="0.25">
      <c r="A3450" s="425" t="s">
        <v>182</v>
      </c>
      <c r="B3450" s="425" t="s">
        <v>315</v>
      </c>
    </row>
    <row r="3451" spans="1:2" ht="15" hidden="1" x14ac:dyDescent="0.25">
      <c r="A3451" s="425" t="s">
        <v>183</v>
      </c>
      <c r="B3451" s="425" t="s">
        <v>317</v>
      </c>
    </row>
    <row r="3452" spans="1:2" ht="15" hidden="1" x14ac:dyDescent="0.25">
      <c r="A3452" s="425" t="s">
        <v>183</v>
      </c>
      <c r="B3452" s="425" t="s">
        <v>317</v>
      </c>
    </row>
    <row r="3453" spans="1:2" ht="15" hidden="1" x14ac:dyDescent="0.25">
      <c r="A3453" s="425" t="s">
        <v>183</v>
      </c>
      <c r="B3453" s="425" t="s">
        <v>317</v>
      </c>
    </row>
    <row r="3454" spans="1:2" ht="15" hidden="1" x14ac:dyDescent="0.25">
      <c r="A3454" s="425" t="s">
        <v>183</v>
      </c>
      <c r="B3454" s="425" t="s">
        <v>317</v>
      </c>
    </row>
    <row r="3455" spans="1:2" ht="15" hidden="1" x14ac:dyDescent="0.25">
      <c r="A3455" s="425" t="s">
        <v>183</v>
      </c>
      <c r="B3455" s="425" t="s">
        <v>317</v>
      </c>
    </row>
    <row r="3456" spans="1:2" ht="15" hidden="1" x14ac:dyDescent="0.25">
      <c r="A3456" s="425" t="s">
        <v>183</v>
      </c>
      <c r="B3456" s="425" t="s">
        <v>317</v>
      </c>
    </row>
    <row r="3457" spans="1:2" ht="15" hidden="1" x14ac:dyDescent="0.25">
      <c r="A3457" s="425" t="s">
        <v>183</v>
      </c>
      <c r="B3457" s="425" t="s">
        <v>317</v>
      </c>
    </row>
    <row r="3458" spans="1:2" ht="15" hidden="1" x14ac:dyDescent="0.25">
      <c r="A3458" s="425" t="s">
        <v>183</v>
      </c>
      <c r="B3458" s="425" t="s">
        <v>317</v>
      </c>
    </row>
    <row r="3459" spans="1:2" ht="15" hidden="1" x14ac:dyDescent="0.25">
      <c r="A3459" s="425" t="s">
        <v>183</v>
      </c>
      <c r="B3459" s="425" t="s">
        <v>317</v>
      </c>
    </row>
    <row r="3460" spans="1:2" ht="15" hidden="1" x14ac:dyDescent="0.25">
      <c r="A3460" s="425" t="s">
        <v>183</v>
      </c>
      <c r="B3460" s="425" t="s">
        <v>317</v>
      </c>
    </row>
    <row r="3461" spans="1:2" ht="15" hidden="1" x14ac:dyDescent="0.25">
      <c r="A3461" s="425" t="s">
        <v>401</v>
      </c>
      <c r="B3461" s="425" t="s">
        <v>402</v>
      </c>
    </row>
    <row r="3462" spans="1:2" ht="15" hidden="1" x14ac:dyDescent="0.25">
      <c r="A3462" s="425" t="s">
        <v>401</v>
      </c>
      <c r="B3462" s="425" t="s">
        <v>402</v>
      </c>
    </row>
    <row r="3463" spans="1:2" ht="15" hidden="1" x14ac:dyDescent="0.25">
      <c r="A3463" s="425" t="s">
        <v>401</v>
      </c>
      <c r="B3463" s="425" t="s">
        <v>402</v>
      </c>
    </row>
    <row r="3464" spans="1:2" ht="15" hidden="1" x14ac:dyDescent="0.25">
      <c r="A3464" s="425" t="s">
        <v>856</v>
      </c>
      <c r="B3464" s="425" t="s">
        <v>857</v>
      </c>
    </row>
    <row r="3465" spans="1:2" ht="15" hidden="1" x14ac:dyDescent="0.25">
      <c r="A3465" s="425" t="s">
        <v>2769</v>
      </c>
      <c r="B3465" s="425" t="s">
        <v>2769</v>
      </c>
    </row>
    <row r="3466" spans="1:2" ht="15" hidden="1" x14ac:dyDescent="0.25">
      <c r="A3466" s="425" t="s">
        <v>2770</v>
      </c>
      <c r="B3466" s="425" t="s">
        <v>2770</v>
      </c>
    </row>
    <row r="3467" spans="1:2" ht="15" hidden="1" x14ac:dyDescent="0.25">
      <c r="A3467" s="425" t="s">
        <v>2771</v>
      </c>
      <c r="B3467" s="425" t="s">
        <v>2771</v>
      </c>
    </row>
    <row r="3468" spans="1:2" ht="15" hidden="1" x14ac:dyDescent="0.25">
      <c r="A3468" s="425" t="s">
        <v>2772</v>
      </c>
      <c r="B3468" s="425" t="s">
        <v>2772</v>
      </c>
    </row>
    <row r="3469" spans="1:2" ht="15" hidden="1" x14ac:dyDescent="0.25">
      <c r="A3469" s="425" t="s">
        <v>2773</v>
      </c>
      <c r="B3469" s="425" t="s">
        <v>2773</v>
      </c>
    </row>
    <row r="3470" spans="1:2" ht="15" hidden="1" x14ac:dyDescent="0.25">
      <c r="A3470" s="425" t="s">
        <v>2774</v>
      </c>
      <c r="B3470" s="425" t="s">
        <v>2774</v>
      </c>
    </row>
    <row r="3471" spans="1:2" ht="15" hidden="1" x14ac:dyDescent="0.25">
      <c r="A3471" s="425" t="s">
        <v>2775</v>
      </c>
      <c r="B3471" s="425" t="s">
        <v>2775</v>
      </c>
    </row>
    <row r="3472" spans="1:2" ht="15" hidden="1" x14ac:dyDescent="0.25">
      <c r="A3472" s="425" t="s">
        <v>2776</v>
      </c>
      <c r="B3472" s="425" t="s">
        <v>2776</v>
      </c>
    </row>
    <row r="3473" spans="1:2" ht="15" hidden="1" x14ac:dyDescent="0.25">
      <c r="A3473" s="425" t="s">
        <v>2777</v>
      </c>
      <c r="B3473" s="425" t="s">
        <v>2777</v>
      </c>
    </row>
    <row r="3474" spans="1:2" ht="15" hidden="1" x14ac:dyDescent="0.25">
      <c r="A3474" s="425" t="s">
        <v>2778</v>
      </c>
      <c r="B3474" s="425" t="s">
        <v>2778</v>
      </c>
    </row>
    <row r="3475" spans="1:2" ht="15" hidden="1" x14ac:dyDescent="0.25">
      <c r="A3475" s="425" t="s">
        <v>2779</v>
      </c>
      <c r="B3475" s="425" t="s">
        <v>2779</v>
      </c>
    </row>
    <row r="3476" spans="1:2" ht="15" hidden="1" x14ac:dyDescent="0.25">
      <c r="A3476" s="425" t="s">
        <v>2780</v>
      </c>
      <c r="B3476" s="425" t="s">
        <v>2780</v>
      </c>
    </row>
    <row r="3477" spans="1:2" ht="15" hidden="1" x14ac:dyDescent="0.25">
      <c r="A3477" s="425" t="s">
        <v>2781</v>
      </c>
      <c r="B3477" s="425" t="s">
        <v>2781</v>
      </c>
    </row>
    <row r="3478" spans="1:2" ht="15" hidden="1" x14ac:dyDescent="0.25">
      <c r="A3478" s="425" t="s">
        <v>2782</v>
      </c>
      <c r="B3478" s="425" t="s">
        <v>2782</v>
      </c>
    </row>
    <row r="3479" spans="1:2" ht="15" hidden="1" x14ac:dyDescent="0.25">
      <c r="A3479" s="425" t="s">
        <v>2783</v>
      </c>
      <c r="B3479" s="425" t="s">
        <v>2783</v>
      </c>
    </row>
    <row r="3480" spans="1:2" ht="15" hidden="1" x14ac:dyDescent="0.25">
      <c r="A3480" s="425" t="s">
        <v>2784</v>
      </c>
      <c r="B3480" s="425" t="s">
        <v>2784</v>
      </c>
    </row>
    <row r="3481" spans="1:2" ht="15" hidden="1" x14ac:dyDescent="0.25">
      <c r="A3481" s="425" t="s">
        <v>2785</v>
      </c>
      <c r="B3481" s="425" t="s">
        <v>2785</v>
      </c>
    </row>
    <row r="3482" spans="1:2" ht="15" hidden="1" x14ac:dyDescent="0.25">
      <c r="A3482" s="425" t="s">
        <v>2786</v>
      </c>
      <c r="B3482" s="425" t="s">
        <v>2786</v>
      </c>
    </row>
    <row r="3483" spans="1:2" ht="15" hidden="1" x14ac:dyDescent="0.25">
      <c r="A3483" s="425" t="s">
        <v>2787</v>
      </c>
      <c r="B3483" s="425" t="s">
        <v>2787</v>
      </c>
    </row>
    <row r="3484" spans="1:2" ht="15" hidden="1" x14ac:dyDescent="0.25">
      <c r="A3484" s="425" t="s">
        <v>2788</v>
      </c>
      <c r="B3484" s="425" t="s">
        <v>2788</v>
      </c>
    </row>
    <row r="3485" spans="1:2" ht="15" hidden="1" x14ac:dyDescent="0.25">
      <c r="A3485" s="425" t="s">
        <v>2789</v>
      </c>
      <c r="B3485" s="425" t="s">
        <v>2789</v>
      </c>
    </row>
    <row r="3486" spans="1:2" ht="15" hidden="1" x14ac:dyDescent="0.25">
      <c r="A3486" s="425" t="s">
        <v>2790</v>
      </c>
      <c r="B3486" s="425" t="s">
        <v>2790</v>
      </c>
    </row>
    <row r="3487" spans="1:2" ht="15" hidden="1" x14ac:dyDescent="0.25">
      <c r="A3487" s="425" t="s">
        <v>2791</v>
      </c>
      <c r="B3487" s="425" t="s">
        <v>2791</v>
      </c>
    </row>
    <row r="3488" spans="1:2" ht="15" hidden="1" x14ac:dyDescent="0.25">
      <c r="A3488" s="425" t="s">
        <v>2792</v>
      </c>
      <c r="B3488" s="425" t="s">
        <v>2792</v>
      </c>
    </row>
    <row r="3489" spans="1:2" ht="15" hidden="1" x14ac:dyDescent="0.25">
      <c r="A3489" s="425" t="s">
        <v>2793</v>
      </c>
      <c r="B3489" s="425" t="s">
        <v>2793</v>
      </c>
    </row>
    <row r="3490" spans="1:2" ht="15" hidden="1" x14ac:dyDescent="0.25">
      <c r="A3490" s="425" t="s">
        <v>2794</v>
      </c>
      <c r="B3490" s="425" t="s">
        <v>2794</v>
      </c>
    </row>
    <row r="3491" spans="1:2" ht="15" hidden="1" x14ac:dyDescent="0.25">
      <c r="A3491" s="425" t="s">
        <v>2795</v>
      </c>
      <c r="B3491" s="425" t="s">
        <v>2795</v>
      </c>
    </row>
    <row r="3492" spans="1:2" ht="15" hidden="1" x14ac:dyDescent="0.25">
      <c r="A3492" s="425" t="s">
        <v>2796</v>
      </c>
      <c r="B3492" s="425" t="s">
        <v>2796</v>
      </c>
    </row>
    <row r="3493" spans="1:2" ht="15" hidden="1" x14ac:dyDescent="0.25">
      <c r="A3493" s="425" t="s">
        <v>2797</v>
      </c>
      <c r="B3493" s="425" t="s">
        <v>2797</v>
      </c>
    </row>
    <row r="3494" spans="1:2" ht="15" hidden="1" x14ac:dyDescent="0.25">
      <c r="A3494" s="425" t="s">
        <v>2798</v>
      </c>
      <c r="B3494" s="425" t="s">
        <v>2798</v>
      </c>
    </row>
    <row r="3495" spans="1:2" ht="15" hidden="1" x14ac:dyDescent="0.25">
      <c r="A3495" s="425" t="s">
        <v>2799</v>
      </c>
      <c r="B3495" s="425" t="s">
        <v>2799</v>
      </c>
    </row>
    <row r="3496" spans="1:2" ht="15" hidden="1" x14ac:dyDescent="0.25">
      <c r="A3496" s="425" t="s">
        <v>2799</v>
      </c>
      <c r="B3496" s="425" t="s">
        <v>2799</v>
      </c>
    </row>
    <row r="3497" spans="1:2" ht="15" hidden="1" x14ac:dyDescent="0.25">
      <c r="A3497" s="425" t="s">
        <v>2800</v>
      </c>
      <c r="B3497" s="425" t="s">
        <v>2800</v>
      </c>
    </row>
    <row r="3498" spans="1:2" ht="15" hidden="1" x14ac:dyDescent="0.25">
      <c r="A3498" s="425" t="s">
        <v>2801</v>
      </c>
      <c r="B3498" s="425" t="s">
        <v>2801</v>
      </c>
    </row>
    <row r="3499" spans="1:2" ht="15" hidden="1" x14ac:dyDescent="0.25">
      <c r="A3499" s="425" t="s">
        <v>2802</v>
      </c>
      <c r="B3499" s="425" t="s">
        <v>2802</v>
      </c>
    </row>
    <row r="3500" spans="1:2" ht="15" hidden="1" x14ac:dyDescent="0.25">
      <c r="A3500" s="425" t="s">
        <v>2803</v>
      </c>
      <c r="B3500" s="425" t="s">
        <v>2803</v>
      </c>
    </row>
    <row r="3501" spans="1:2" ht="15" hidden="1" x14ac:dyDescent="0.25">
      <c r="A3501" s="425" t="s">
        <v>2804</v>
      </c>
      <c r="B3501" s="425" t="s">
        <v>2804</v>
      </c>
    </row>
    <row r="3502" spans="1:2" ht="15" hidden="1" x14ac:dyDescent="0.25">
      <c r="A3502" s="425" t="s">
        <v>2805</v>
      </c>
      <c r="B3502" s="425" t="s">
        <v>2805</v>
      </c>
    </row>
    <row r="3503" spans="1:2" ht="15" hidden="1" x14ac:dyDescent="0.25">
      <c r="A3503" s="425" t="s">
        <v>2806</v>
      </c>
      <c r="B3503" s="425" t="s">
        <v>2806</v>
      </c>
    </row>
    <row r="3504" spans="1:2" ht="15" hidden="1" x14ac:dyDescent="0.25">
      <c r="A3504" s="425" t="s">
        <v>2807</v>
      </c>
      <c r="B3504" s="425" t="s">
        <v>2807</v>
      </c>
    </row>
    <row r="3505" spans="1:2" ht="15" hidden="1" x14ac:dyDescent="0.25">
      <c r="A3505" s="425" t="s">
        <v>2808</v>
      </c>
      <c r="B3505" s="425" t="s">
        <v>2808</v>
      </c>
    </row>
    <row r="3506" spans="1:2" ht="15" hidden="1" x14ac:dyDescent="0.25">
      <c r="A3506" s="425" t="s">
        <v>2809</v>
      </c>
      <c r="B3506" s="425" t="s">
        <v>2809</v>
      </c>
    </row>
    <row r="3507" spans="1:2" ht="15" hidden="1" x14ac:dyDescent="0.25">
      <c r="A3507" s="425" t="s">
        <v>2810</v>
      </c>
      <c r="B3507" s="425" t="s">
        <v>2810</v>
      </c>
    </row>
    <row r="3508" spans="1:2" ht="15" hidden="1" x14ac:dyDescent="0.25">
      <c r="A3508" s="425" t="s">
        <v>2811</v>
      </c>
      <c r="B3508" s="425" t="s">
        <v>2811</v>
      </c>
    </row>
    <row r="3509" spans="1:2" ht="15" hidden="1" x14ac:dyDescent="0.25">
      <c r="A3509" s="425" t="s">
        <v>2812</v>
      </c>
      <c r="B3509" s="425" t="s">
        <v>2812</v>
      </c>
    </row>
    <row r="3510" spans="1:2" ht="15" hidden="1" x14ac:dyDescent="0.25">
      <c r="A3510" s="425" t="s">
        <v>2813</v>
      </c>
      <c r="B3510" s="425" t="s">
        <v>2813</v>
      </c>
    </row>
    <row r="3511" spans="1:2" ht="15" hidden="1" x14ac:dyDescent="0.25">
      <c r="A3511" s="425" t="s">
        <v>2814</v>
      </c>
      <c r="B3511" s="425" t="s">
        <v>2814</v>
      </c>
    </row>
    <row r="3512" spans="1:2" ht="15" hidden="1" x14ac:dyDescent="0.25">
      <c r="A3512" s="425" t="s">
        <v>2815</v>
      </c>
      <c r="B3512" s="425" t="s">
        <v>2815</v>
      </c>
    </row>
    <row r="3513" spans="1:2" ht="15" hidden="1" x14ac:dyDescent="0.25">
      <c r="A3513" s="425" t="s">
        <v>2816</v>
      </c>
      <c r="B3513" s="425" t="s">
        <v>2816</v>
      </c>
    </row>
    <row r="3514" spans="1:2" ht="15" hidden="1" x14ac:dyDescent="0.25">
      <c r="A3514" s="425" t="s">
        <v>2817</v>
      </c>
      <c r="B3514" s="425" t="s">
        <v>2817</v>
      </c>
    </row>
    <row r="3515" spans="1:2" ht="15" hidden="1" x14ac:dyDescent="0.25">
      <c r="A3515" s="425" t="s">
        <v>2818</v>
      </c>
      <c r="B3515" s="425" t="s">
        <v>2818</v>
      </c>
    </row>
    <row r="3516" spans="1:2" ht="15" hidden="1" x14ac:dyDescent="0.25">
      <c r="A3516" s="425" t="s">
        <v>2818</v>
      </c>
      <c r="B3516" s="425" t="s">
        <v>2818</v>
      </c>
    </row>
    <row r="3517" spans="1:2" ht="15" hidden="1" x14ac:dyDescent="0.25">
      <c r="A3517" s="425" t="s">
        <v>2819</v>
      </c>
      <c r="B3517" s="425" t="s">
        <v>2819</v>
      </c>
    </row>
    <row r="3518" spans="1:2" ht="15" hidden="1" x14ac:dyDescent="0.25">
      <c r="A3518" s="425" t="s">
        <v>2820</v>
      </c>
      <c r="B3518" s="425" t="s">
        <v>2820</v>
      </c>
    </row>
    <row r="3519" spans="1:2" ht="15" hidden="1" x14ac:dyDescent="0.25">
      <c r="A3519" s="425" t="s">
        <v>2821</v>
      </c>
      <c r="B3519" s="425" t="s">
        <v>2821</v>
      </c>
    </row>
    <row r="3520" spans="1:2" ht="15" hidden="1" x14ac:dyDescent="0.25">
      <c r="A3520" s="425" t="s">
        <v>2822</v>
      </c>
      <c r="B3520" s="425" t="s">
        <v>2822</v>
      </c>
    </row>
    <row r="3521" spans="1:2" ht="15" hidden="1" x14ac:dyDescent="0.25">
      <c r="A3521" s="425" t="s">
        <v>2823</v>
      </c>
      <c r="B3521" s="425" t="s">
        <v>2823</v>
      </c>
    </row>
    <row r="3522" spans="1:2" ht="15" hidden="1" x14ac:dyDescent="0.25">
      <c r="A3522" s="425" t="s">
        <v>2824</v>
      </c>
      <c r="B3522" s="425" t="s">
        <v>2824</v>
      </c>
    </row>
    <row r="3523" spans="1:2" ht="15" hidden="1" x14ac:dyDescent="0.25">
      <c r="A3523" s="425" t="s">
        <v>2825</v>
      </c>
      <c r="B3523" s="425" t="s">
        <v>2825</v>
      </c>
    </row>
    <row r="3524" spans="1:2" ht="15" hidden="1" x14ac:dyDescent="0.25">
      <c r="A3524" s="425" t="s">
        <v>2826</v>
      </c>
      <c r="B3524" s="425" t="s">
        <v>2826</v>
      </c>
    </row>
    <row r="3525" spans="1:2" ht="15" hidden="1" x14ac:dyDescent="0.25">
      <c r="A3525" s="425" t="s">
        <v>2827</v>
      </c>
      <c r="B3525" s="425" t="s">
        <v>2827</v>
      </c>
    </row>
    <row r="3526" spans="1:2" ht="15" hidden="1" x14ac:dyDescent="0.25">
      <c r="A3526" s="425" t="s">
        <v>2828</v>
      </c>
      <c r="B3526" s="425" t="s">
        <v>2828</v>
      </c>
    </row>
    <row r="3527" spans="1:2" ht="15" hidden="1" x14ac:dyDescent="0.25">
      <c r="A3527" s="425" t="s">
        <v>2829</v>
      </c>
      <c r="B3527" s="425" t="s">
        <v>2829</v>
      </c>
    </row>
    <row r="3528" spans="1:2" ht="15" hidden="1" x14ac:dyDescent="0.25">
      <c r="A3528" s="425" t="s">
        <v>2830</v>
      </c>
      <c r="B3528" s="425" t="s">
        <v>2830</v>
      </c>
    </row>
    <row r="3529" spans="1:2" ht="15" hidden="1" x14ac:dyDescent="0.25">
      <c r="A3529" s="425" t="s">
        <v>2831</v>
      </c>
      <c r="B3529" s="425" t="s">
        <v>2831</v>
      </c>
    </row>
    <row r="3530" spans="1:2" ht="15" hidden="1" x14ac:dyDescent="0.25">
      <c r="A3530" s="425" t="s">
        <v>2832</v>
      </c>
      <c r="B3530" s="425" t="s">
        <v>2832</v>
      </c>
    </row>
    <row r="3531" spans="1:2" ht="15" hidden="1" x14ac:dyDescent="0.25">
      <c r="A3531" s="425" t="s">
        <v>2833</v>
      </c>
      <c r="B3531" s="425" t="s">
        <v>2833</v>
      </c>
    </row>
    <row r="3532" spans="1:2" ht="15" hidden="1" x14ac:dyDescent="0.25">
      <c r="A3532" s="425" t="s">
        <v>2834</v>
      </c>
      <c r="B3532" s="425" t="s">
        <v>2834</v>
      </c>
    </row>
    <row r="3533" spans="1:2" ht="15" hidden="1" x14ac:dyDescent="0.25">
      <c r="A3533" s="425" t="s">
        <v>2835</v>
      </c>
      <c r="B3533" s="425" t="s">
        <v>2835</v>
      </c>
    </row>
    <row r="3534" spans="1:2" ht="15" hidden="1" x14ac:dyDescent="0.25">
      <c r="A3534" s="425" t="s">
        <v>2836</v>
      </c>
      <c r="B3534" s="425" t="s">
        <v>2836</v>
      </c>
    </row>
    <row r="3535" spans="1:2" ht="15" hidden="1" x14ac:dyDescent="0.25">
      <c r="A3535" s="425" t="s">
        <v>2837</v>
      </c>
      <c r="B3535" s="425" t="s">
        <v>2837</v>
      </c>
    </row>
    <row r="3536" spans="1:2" ht="15" hidden="1" x14ac:dyDescent="0.25">
      <c r="A3536" s="425" t="s">
        <v>2838</v>
      </c>
      <c r="B3536" s="425" t="s">
        <v>2838</v>
      </c>
    </row>
    <row r="3537" spans="1:2" ht="15" hidden="1" x14ac:dyDescent="0.25">
      <c r="A3537" s="425" t="s">
        <v>2839</v>
      </c>
      <c r="B3537" s="425" t="s">
        <v>2839</v>
      </c>
    </row>
    <row r="3538" spans="1:2" ht="15" hidden="1" x14ac:dyDescent="0.25">
      <c r="A3538" s="425" t="s">
        <v>2840</v>
      </c>
      <c r="B3538" s="425" t="s">
        <v>2840</v>
      </c>
    </row>
    <row r="3539" spans="1:2" ht="15" hidden="1" x14ac:dyDescent="0.25">
      <c r="A3539" s="425" t="s">
        <v>2841</v>
      </c>
      <c r="B3539" s="425" t="s">
        <v>2841</v>
      </c>
    </row>
    <row r="3540" spans="1:2" ht="15" hidden="1" x14ac:dyDescent="0.25">
      <c r="A3540" s="425" t="s">
        <v>2842</v>
      </c>
      <c r="B3540" s="425" t="s">
        <v>2842</v>
      </c>
    </row>
    <row r="3541" spans="1:2" ht="15" hidden="1" x14ac:dyDescent="0.25">
      <c r="A3541" s="425" t="s">
        <v>2843</v>
      </c>
      <c r="B3541" s="425" t="s">
        <v>2843</v>
      </c>
    </row>
    <row r="3542" spans="1:2" ht="15" hidden="1" x14ac:dyDescent="0.25">
      <c r="A3542" s="425" t="s">
        <v>2844</v>
      </c>
      <c r="B3542" s="425" t="s">
        <v>2844</v>
      </c>
    </row>
    <row r="3543" spans="1:2" ht="15" hidden="1" x14ac:dyDescent="0.25">
      <c r="A3543" s="425" t="s">
        <v>2845</v>
      </c>
      <c r="B3543" s="425" t="s">
        <v>2845</v>
      </c>
    </row>
    <row r="3544" spans="1:2" ht="15" hidden="1" x14ac:dyDescent="0.25">
      <c r="A3544" s="425" t="s">
        <v>2846</v>
      </c>
      <c r="B3544" s="425" t="s">
        <v>2846</v>
      </c>
    </row>
    <row r="3545" spans="1:2" ht="15" hidden="1" x14ac:dyDescent="0.25">
      <c r="A3545" s="425" t="s">
        <v>2847</v>
      </c>
      <c r="B3545" s="425" t="s">
        <v>2847</v>
      </c>
    </row>
    <row r="3546" spans="1:2" ht="15" hidden="1" x14ac:dyDescent="0.25">
      <c r="A3546" s="425" t="s">
        <v>2848</v>
      </c>
      <c r="B3546" s="425" t="s">
        <v>2848</v>
      </c>
    </row>
    <row r="3547" spans="1:2" ht="15" hidden="1" x14ac:dyDescent="0.25">
      <c r="A3547" s="425" t="s">
        <v>2849</v>
      </c>
      <c r="B3547" s="425" t="s">
        <v>2849</v>
      </c>
    </row>
    <row r="3548" spans="1:2" ht="15" hidden="1" x14ac:dyDescent="0.25">
      <c r="A3548" s="425" t="s">
        <v>2850</v>
      </c>
      <c r="B3548" s="425" t="s">
        <v>2850</v>
      </c>
    </row>
    <row r="3549" spans="1:2" ht="15" hidden="1" x14ac:dyDescent="0.25">
      <c r="A3549" s="425" t="s">
        <v>2851</v>
      </c>
      <c r="B3549" s="425" t="s">
        <v>2852</v>
      </c>
    </row>
    <row r="3550" spans="1:2" ht="15" hidden="1" x14ac:dyDescent="0.25">
      <c r="A3550" s="425" t="s">
        <v>2853</v>
      </c>
      <c r="B3550" s="425" t="s">
        <v>2854</v>
      </c>
    </row>
    <row r="3551" spans="1:2" ht="15" hidden="1" x14ac:dyDescent="0.25">
      <c r="A3551" s="425" t="s">
        <v>2853</v>
      </c>
      <c r="B3551" s="425" t="s">
        <v>2854</v>
      </c>
    </row>
    <row r="3552" spans="1:2" ht="15" hidden="1" x14ac:dyDescent="0.25">
      <c r="A3552" s="425" t="s">
        <v>2855</v>
      </c>
      <c r="B3552" s="425" t="s">
        <v>2856</v>
      </c>
    </row>
    <row r="3553" spans="1:2" ht="15" hidden="1" x14ac:dyDescent="0.25">
      <c r="A3553" s="425" t="s">
        <v>2855</v>
      </c>
      <c r="B3553" s="425" t="s">
        <v>2856</v>
      </c>
    </row>
    <row r="3554" spans="1:2" ht="15" hidden="1" x14ac:dyDescent="0.25">
      <c r="A3554" s="425" t="s">
        <v>2857</v>
      </c>
      <c r="B3554" s="425" t="s">
        <v>2858</v>
      </c>
    </row>
    <row r="3555" spans="1:2" ht="15" hidden="1" x14ac:dyDescent="0.25">
      <c r="A3555" s="425" t="s">
        <v>2857</v>
      </c>
      <c r="B3555" s="425" t="s">
        <v>2858</v>
      </c>
    </row>
    <row r="3556" spans="1:2" ht="15" hidden="1" x14ac:dyDescent="0.25">
      <c r="A3556" s="425" t="s">
        <v>2859</v>
      </c>
      <c r="B3556" s="425" t="s">
        <v>2860</v>
      </c>
    </row>
    <row r="3557" spans="1:2" ht="15" hidden="1" x14ac:dyDescent="0.25">
      <c r="A3557" s="425" t="s">
        <v>2861</v>
      </c>
      <c r="B3557" s="425" t="s">
        <v>2862</v>
      </c>
    </row>
    <row r="3558" spans="1:2" ht="15" hidden="1" x14ac:dyDescent="0.25">
      <c r="A3558" s="425" t="s">
        <v>2863</v>
      </c>
      <c r="B3558" s="425" t="s">
        <v>2864</v>
      </c>
    </row>
    <row r="3559" spans="1:2" ht="15" hidden="1" x14ac:dyDescent="0.25">
      <c r="A3559" s="425" t="s">
        <v>623</v>
      </c>
      <c r="B3559" s="425" t="s">
        <v>624</v>
      </c>
    </row>
    <row r="3560" spans="1:2" ht="15" hidden="1" x14ac:dyDescent="0.25">
      <c r="A3560" s="425" t="s">
        <v>2865</v>
      </c>
      <c r="B3560" s="425" t="s">
        <v>2866</v>
      </c>
    </row>
    <row r="3561" spans="1:2" ht="15" hidden="1" x14ac:dyDescent="0.25">
      <c r="A3561" s="425" t="s">
        <v>2865</v>
      </c>
      <c r="B3561" s="425" t="s">
        <v>2866</v>
      </c>
    </row>
    <row r="3562" spans="1:2" ht="15" hidden="1" x14ac:dyDescent="0.25">
      <c r="A3562" s="425" t="s">
        <v>2867</v>
      </c>
      <c r="B3562" s="425" t="s">
        <v>2868</v>
      </c>
    </row>
    <row r="3563" spans="1:2" ht="15" hidden="1" x14ac:dyDescent="0.25">
      <c r="A3563" s="425" t="s">
        <v>2867</v>
      </c>
      <c r="B3563" s="425" t="s">
        <v>2868</v>
      </c>
    </row>
    <row r="3564" spans="1:2" ht="15" hidden="1" x14ac:dyDescent="0.25">
      <c r="A3564" s="425" t="s">
        <v>2867</v>
      </c>
      <c r="B3564" s="425" t="s">
        <v>2868</v>
      </c>
    </row>
    <row r="3565" spans="1:2" ht="15" hidden="1" x14ac:dyDescent="0.25">
      <c r="A3565" s="425" t="s">
        <v>207</v>
      </c>
      <c r="B3565" s="425" t="s">
        <v>355</v>
      </c>
    </row>
    <row r="3566" spans="1:2" ht="15" hidden="1" x14ac:dyDescent="0.25">
      <c r="A3566" s="425" t="s">
        <v>1659</v>
      </c>
      <c r="B3566" s="425" t="s">
        <v>1660</v>
      </c>
    </row>
    <row r="3567" spans="1:2" ht="15" hidden="1" x14ac:dyDescent="0.25">
      <c r="A3567" s="425" t="s">
        <v>2869</v>
      </c>
      <c r="B3567" s="425" t="s">
        <v>2870</v>
      </c>
    </row>
    <row r="3568" spans="1:2" ht="15" hidden="1" x14ac:dyDescent="0.25">
      <c r="A3568" s="425" t="s">
        <v>2871</v>
      </c>
      <c r="B3568" s="425" t="s">
        <v>2872</v>
      </c>
    </row>
    <row r="3569" spans="1:2" ht="15" hidden="1" x14ac:dyDescent="0.25">
      <c r="A3569" s="425" t="s">
        <v>2873</v>
      </c>
      <c r="B3569" s="425" t="s">
        <v>2874</v>
      </c>
    </row>
    <row r="3570" spans="1:2" ht="15" hidden="1" x14ac:dyDescent="0.25">
      <c r="A3570" s="425" t="s">
        <v>2875</v>
      </c>
      <c r="B3570" s="425" t="s">
        <v>2876</v>
      </c>
    </row>
    <row r="3571" spans="1:2" ht="15" hidden="1" x14ac:dyDescent="0.25">
      <c r="A3571" s="425" t="s">
        <v>2877</v>
      </c>
      <c r="B3571" s="425" t="s">
        <v>2878</v>
      </c>
    </row>
    <row r="3572" spans="1:2" ht="15" hidden="1" x14ac:dyDescent="0.25">
      <c r="A3572" s="425" t="s">
        <v>2877</v>
      </c>
      <c r="B3572" s="425" t="s">
        <v>2878</v>
      </c>
    </row>
    <row r="3573" spans="1:2" ht="15" hidden="1" x14ac:dyDescent="0.25">
      <c r="A3573" s="425" t="s">
        <v>2877</v>
      </c>
      <c r="B3573" s="425" t="s">
        <v>2878</v>
      </c>
    </row>
    <row r="3574" spans="1:2" ht="15" hidden="1" x14ac:dyDescent="0.25">
      <c r="A3574" s="425" t="s">
        <v>2879</v>
      </c>
      <c r="B3574" s="425" t="s">
        <v>2880</v>
      </c>
    </row>
    <row r="3575" spans="1:2" ht="15" hidden="1" x14ac:dyDescent="0.25">
      <c r="A3575" s="425" t="s">
        <v>2881</v>
      </c>
      <c r="B3575" s="425" t="s">
        <v>2882</v>
      </c>
    </row>
    <row r="3576" spans="1:2" ht="15" hidden="1" x14ac:dyDescent="0.25">
      <c r="A3576" s="425" t="s">
        <v>2881</v>
      </c>
      <c r="B3576" s="425" t="s">
        <v>2882</v>
      </c>
    </row>
    <row r="3577" spans="1:2" ht="15" hidden="1" x14ac:dyDescent="0.25">
      <c r="A3577" s="425" t="s">
        <v>2881</v>
      </c>
      <c r="B3577" s="425" t="s">
        <v>2882</v>
      </c>
    </row>
    <row r="3578" spans="1:2" ht="15" hidden="1" x14ac:dyDescent="0.25">
      <c r="A3578" s="425" t="s">
        <v>2883</v>
      </c>
      <c r="B3578" s="425" t="s">
        <v>2884</v>
      </c>
    </row>
    <row r="3579" spans="1:2" ht="15" hidden="1" x14ac:dyDescent="0.25">
      <c r="A3579" s="425" t="s">
        <v>2883</v>
      </c>
      <c r="B3579" s="425" t="s">
        <v>2884</v>
      </c>
    </row>
    <row r="3580" spans="1:2" ht="15" hidden="1" x14ac:dyDescent="0.25">
      <c r="A3580" s="425" t="s">
        <v>2883</v>
      </c>
      <c r="B3580" s="425" t="s">
        <v>2884</v>
      </c>
    </row>
    <row r="3581" spans="1:2" ht="15" hidden="1" x14ac:dyDescent="0.25">
      <c r="A3581" s="425" t="s">
        <v>2885</v>
      </c>
      <c r="B3581" s="425" t="s">
        <v>2886</v>
      </c>
    </row>
    <row r="3582" spans="1:2" ht="15" hidden="1" x14ac:dyDescent="0.25">
      <c r="A3582" s="425" t="s">
        <v>222</v>
      </c>
      <c r="B3582" s="425" t="s">
        <v>366</v>
      </c>
    </row>
    <row r="3583" spans="1:2" ht="15" hidden="1" x14ac:dyDescent="0.25">
      <c r="A3583" s="425" t="s">
        <v>2887</v>
      </c>
      <c r="B3583" s="425" t="s">
        <v>2888</v>
      </c>
    </row>
    <row r="3584" spans="1:2" ht="15" hidden="1" x14ac:dyDescent="0.25">
      <c r="A3584" s="425" t="s">
        <v>2887</v>
      </c>
      <c r="B3584" s="425" t="s">
        <v>2888</v>
      </c>
    </row>
    <row r="3585" spans="1:2" ht="15" hidden="1" x14ac:dyDescent="0.25">
      <c r="A3585" s="425" t="s">
        <v>2889</v>
      </c>
      <c r="B3585" s="425" t="s">
        <v>2890</v>
      </c>
    </row>
    <row r="3586" spans="1:2" ht="15" hidden="1" x14ac:dyDescent="0.25">
      <c r="A3586" s="425" t="s">
        <v>2891</v>
      </c>
      <c r="B3586" s="425" t="s">
        <v>2892</v>
      </c>
    </row>
    <row r="3587" spans="1:2" ht="15" hidden="1" x14ac:dyDescent="0.25">
      <c r="A3587" s="425" t="s">
        <v>2891</v>
      </c>
      <c r="B3587" s="425" t="s">
        <v>2892</v>
      </c>
    </row>
    <row r="3588" spans="1:2" ht="15" hidden="1" x14ac:dyDescent="0.25">
      <c r="A3588" s="425" t="s">
        <v>2891</v>
      </c>
      <c r="B3588" s="425" t="s">
        <v>2892</v>
      </c>
    </row>
    <row r="3589" spans="1:2" ht="15" hidden="1" x14ac:dyDescent="0.25">
      <c r="A3589" s="425" t="s">
        <v>2893</v>
      </c>
      <c r="B3589" s="425" t="s">
        <v>2894</v>
      </c>
    </row>
    <row r="3590" spans="1:2" ht="15" hidden="1" x14ac:dyDescent="0.25">
      <c r="A3590" s="425" t="s">
        <v>2895</v>
      </c>
      <c r="B3590" s="425" t="s">
        <v>2896</v>
      </c>
    </row>
    <row r="3591" spans="1:2" ht="15" hidden="1" x14ac:dyDescent="0.25">
      <c r="A3591" s="425" t="s">
        <v>2895</v>
      </c>
      <c r="B3591" s="425" t="s">
        <v>2896</v>
      </c>
    </row>
    <row r="3592" spans="1:2" ht="15" hidden="1" x14ac:dyDescent="0.25">
      <c r="A3592" s="425" t="s">
        <v>2895</v>
      </c>
      <c r="B3592" s="425" t="s">
        <v>2896</v>
      </c>
    </row>
    <row r="3593" spans="1:2" ht="15" hidden="1" x14ac:dyDescent="0.25">
      <c r="A3593" s="425" t="s">
        <v>2897</v>
      </c>
      <c r="B3593" s="425" t="s">
        <v>2898</v>
      </c>
    </row>
    <row r="3594" spans="1:2" ht="15" hidden="1" x14ac:dyDescent="0.25">
      <c r="A3594" s="425" t="s">
        <v>2899</v>
      </c>
      <c r="B3594" s="425" t="s">
        <v>2900</v>
      </c>
    </row>
    <row r="3595" spans="1:2" ht="15" hidden="1" x14ac:dyDescent="0.25">
      <c r="A3595" s="425" t="s">
        <v>1681</v>
      </c>
      <c r="B3595" s="425" t="s">
        <v>2901</v>
      </c>
    </row>
    <row r="3596" spans="1:2" ht="15" hidden="1" x14ac:dyDescent="0.25">
      <c r="A3596" s="425" t="s">
        <v>2902</v>
      </c>
      <c r="B3596" s="425" t="s">
        <v>2903</v>
      </c>
    </row>
    <row r="3597" spans="1:2" ht="15" hidden="1" x14ac:dyDescent="0.25">
      <c r="A3597" s="425" t="s">
        <v>2904</v>
      </c>
      <c r="B3597" s="425" t="s">
        <v>2905</v>
      </c>
    </row>
    <row r="3598" spans="1:2" ht="15" hidden="1" x14ac:dyDescent="0.25">
      <c r="A3598" s="425" t="s">
        <v>1685</v>
      </c>
      <c r="B3598" s="425" t="s">
        <v>1686</v>
      </c>
    </row>
    <row r="3599" spans="1:2" ht="15" hidden="1" x14ac:dyDescent="0.25">
      <c r="A3599" s="425" t="s">
        <v>2906</v>
      </c>
      <c r="B3599" s="425" t="s">
        <v>2907</v>
      </c>
    </row>
    <row r="3600" spans="1:2" ht="15" hidden="1" x14ac:dyDescent="0.25">
      <c r="A3600" s="425" t="s">
        <v>2908</v>
      </c>
      <c r="B3600" s="425" t="s">
        <v>2909</v>
      </c>
    </row>
    <row r="3601" spans="1:2" ht="15" hidden="1" x14ac:dyDescent="0.25">
      <c r="A3601" s="425" t="s">
        <v>2910</v>
      </c>
      <c r="B3601" s="425" t="s">
        <v>2911</v>
      </c>
    </row>
    <row r="3602" spans="1:2" ht="15" hidden="1" x14ac:dyDescent="0.25">
      <c r="A3602" s="425" t="s">
        <v>1695</v>
      </c>
      <c r="B3602" s="425" t="s">
        <v>1696</v>
      </c>
    </row>
    <row r="3603" spans="1:2" ht="15" hidden="1" x14ac:dyDescent="0.25">
      <c r="A3603" s="425" t="s">
        <v>2912</v>
      </c>
      <c r="B3603" s="425" t="s">
        <v>2913</v>
      </c>
    </row>
    <row r="3604" spans="1:2" ht="15" hidden="1" x14ac:dyDescent="0.25">
      <c r="A3604" s="425" t="s">
        <v>2912</v>
      </c>
      <c r="B3604" s="425" t="s">
        <v>2913</v>
      </c>
    </row>
    <row r="3605" spans="1:2" ht="15" hidden="1" x14ac:dyDescent="0.25">
      <c r="A3605" s="425" t="s">
        <v>2914</v>
      </c>
      <c r="B3605" s="425" t="s">
        <v>2915</v>
      </c>
    </row>
    <row r="3606" spans="1:2" ht="15" hidden="1" x14ac:dyDescent="0.25">
      <c r="A3606" s="425" t="s">
        <v>2916</v>
      </c>
      <c r="B3606" s="425" t="s">
        <v>2917</v>
      </c>
    </row>
    <row r="3607" spans="1:2" ht="15" hidden="1" x14ac:dyDescent="0.25">
      <c r="A3607" s="425" t="s">
        <v>2916</v>
      </c>
      <c r="B3607" s="425" t="s">
        <v>2917</v>
      </c>
    </row>
    <row r="3608" spans="1:2" ht="15" hidden="1" x14ac:dyDescent="0.25">
      <c r="A3608" s="425" t="s">
        <v>2916</v>
      </c>
      <c r="B3608" s="425" t="s">
        <v>2917</v>
      </c>
    </row>
    <row r="3609" spans="1:2" ht="15" hidden="1" x14ac:dyDescent="0.25">
      <c r="A3609" s="425" t="s">
        <v>2916</v>
      </c>
      <c r="B3609" s="425" t="s">
        <v>2917</v>
      </c>
    </row>
    <row r="3610" spans="1:2" ht="15" hidden="1" x14ac:dyDescent="0.25">
      <c r="A3610" s="425" t="s">
        <v>2916</v>
      </c>
      <c r="B3610" s="425" t="s">
        <v>2917</v>
      </c>
    </row>
    <row r="3611" spans="1:2" ht="15" hidden="1" x14ac:dyDescent="0.25">
      <c r="A3611" s="425" t="s">
        <v>2916</v>
      </c>
      <c r="B3611" s="425" t="s">
        <v>2917</v>
      </c>
    </row>
    <row r="3612" spans="1:2" ht="15" hidden="1" x14ac:dyDescent="0.25">
      <c r="A3612" s="425" t="s">
        <v>2916</v>
      </c>
      <c r="B3612" s="425" t="s">
        <v>2917</v>
      </c>
    </row>
    <row r="3613" spans="1:2" ht="15" hidden="1" x14ac:dyDescent="0.25">
      <c r="A3613" s="425" t="s">
        <v>2918</v>
      </c>
      <c r="B3613" s="425" t="s">
        <v>2919</v>
      </c>
    </row>
    <row r="3614" spans="1:2" ht="15" hidden="1" x14ac:dyDescent="0.25">
      <c r="A3614" s="425" t="s">
        <v>2920</v>
      </c>
      <c r="B3614" s="425" t="s">
        <v>2921</v>
      </c>
    </row>
    <row r="3615" spans="1:2" ht="15" hidden="1" x14ac:dyDescent="0.25">
      <c r="A3615" s="425" t="s">
        <v>2922</v>
      </c>
      <c r="B3615" s="425" t="s">
        <v>2923</v>
      </c>
    </row>
    <row r="3616" spans="1:2" ht="15" hidden="1" x14ac:dyDescent="0.25">
      <c r="A3616" s="425" t="s">
        <v>2922</v>
      </c>
      <c r="B3616" s="425" t="s">
        <v>2923</v>
      </c>
    </row>
    <row r="3617" spans="1:2" ht="15" hidden="1" x14ac:dyDescent="0.25">
      <c r="A3617" s="425" t="s">
        <v>2924</v>
      </c>
      <c r="B3617" s="425" t="s">
        <v>2925</v>
      </c>
    </row>
    <row r="3618" spans="1:2" ht="15" hidden="1" x14ac:dyDescent="0.25">
      <c r="A3618" s="425" t="s">
        <v>2924</v>
      </c>
      <c r="B3618" s="425" t="s">
        <v>2925</v>
      </c>
    </row>
    <row r="3619" spans="1:2" ht="15" hidden="1" x14ac:dyDescent="0.25">
      <c r="A3619" s="425" t="s">
        <v>192</v>
      </c>
      <c r="B3619" s="425" t="s">
        <v>388</v>
      </c>
    </row>
    <row r="3620" spans="1:2" ht="15" hidden="1" x14ac:dyDescent="0.25">
      <c r="A3620" s="425" t="s">
        <v>2926</v>
      </c>
      <c r="B3620" s="425" t="s">
        <v>2927</v>
      </c>
    </row>
    <row r="3621" spans="1:2" ht="15" hidden="1" x14ac:dyDescent="0.25">
      <c r="A3621" s="425" t="s">
        <v>2928</v>
      </c>
      <c r="B3621" s="425" t="s">
        <v>2929</v>
      </c>
    </row>
    <row r="3622" spans="1:2" ht="15" hidden="1" x14ac:dyDescent="0.25">
      <c r="A3622" s="425" t="s">
        <v>2930</v>
      </c>
      <c r="B3622" s="425" t="s">
        <v>2931</v>
      </c>
    </row>
    <row r="3623" spans="1:2" ht="15" hidden="1" x14ac:dyDescent="0.25">
      <c r="A3623" s="425" t="s">
        <v>2932</v>
      </c>
      <c r="B3623" s="425" t="s">
        <v>2933</v>
      </c>
    </row>
    <row r="3624" spans="1:2" ht="15" hidden="1" x14ac:dyDescent="0.25">
      <c r="A3624" s="425" t="s">
        <v>2934</v>
      </c>
      <c r="B3624" s="425" t="s">
        <v>2935</v>
      </c>
    </row>
    <row r="3625" spans="1:2" ht="15" hidden="1" x14ac:dyDescent="0.25">
      <c r="A3625" s="425" t="s">
        <v>2934</v>
      </c>
      <c r="B3625" s="425" t="s">
        <v>2935</v>
      </c>
    </row>
    <row r="3626" spans="1:2" ht="15" hidden="1" x14ac:dyDescent="0.25">
      <c r="A3626" s="425" t="s">
        <v>2936</v>
      </c>
      <c r="B3626" s="425" t="s">
        <v>2937</v>
      </c>
    </row>
    <row r="3627" spans="1:2" ht="15" hidden="1" x14ac:dyDescent="0.25">
      <c r="A3627" s="425" t="s">
        <v>2938</v>
      </c>
      <c r="B3627" s="425" t="s">
        <v>2939</v>
      </c>
    </row>
    <row r="3628" spans="1:2" ht="15" hidden="1" x14ac:dyDescent="0.25">
      <c r="A3628" s="425" t="s">
        <v>2940</v>
      </c>
      <c r="B3628" s="425" t="s">
        <v>2941</v>
      </c>
    </row>
    <row r="3629" spans="1:2" ht="15" hidden="1" x14ac:dyDescent="0.25">
      <c r="A3629" s="425" t="s">
        <v>1219</v>
      </c>
      <c r="B3629" s="425" t="s">
        <v>1220</v>
      </c>
    </row>
    <row r="3630" spans="1:2" ht="15" hidden="1" x14ac:dyDescent="0.25">
      <c r="A3630" s="425" t="s">
        <v>2942</v>
      </c>
      <c r="B3630" s="425" t="s">
        <v>2943</v>
      </c>
    </row>
    <row r="3631" spans="1:2" ht="15" hidden="1" x14ac:dyDescent="0.25">
      <c r="A3631" s="425" t="s">
        <v>2944</v>
      </c>
      <c r="B3631" s="425" t="s">
        <v>2945</v>
      </c>
    </row>
    <row r="3632" spans="1:2" ht="15" hidden="1" x14ac:dyDescent="0.25">
      <c r="A3632" s="425" t="s">
        <v>2944</v>
      </c>
      <c r="B3632" s="425" t="s">
        <v>2945</v>
      </c>
    </row>
    <row r="3633" spans="1:2" ht="15" hidden="1" x14ac:dyDescent="0.25">
      <c r="A3633" s="425" t="s">
        <v>2944</v>
      </c>
      <c r="B3633" s="425" t="s">
        <v>2945</v>
      </c>
    </row>
    <row r="3634" spans="1:2" ht="15" hidden="1" x14ac:dyDescent="0.25">
      <c r="A3634" s="425" t="s">
        <v>2946</v>
      </c>
      <c r="B3634" s="425" t="s">
        <v>2947</v>
      </c>
    </row>
    <row r="3635" spans="1:2" ht="15" hidden="1" x14ac:dyDescent="0.25">
      <c r="A3635" s="425" t="s">
        <v>2948</v>
      </c>
      <c r="B3635" s="425" t="s">
        <v>2949</v>
      </c>
    </row>
    <row r="3636" spans="1:2" ht="15" hidden="1" x14ac:dyDescent="0.25">
      <c r="A3636" s="425" t="s">
        <v>2948</v>
      </c>
      <c r="B3636" s="425" t="s">
        <v>2949</v>
      </c>
    </row>
    <row r="3637" spans="1:2" ht="15" hidden="1" x14ac:dyDescent="0.25">
      <c r="A3637" s="425" t="s">
        <v>2950</v>
      </c>
      <c r="B3637" s="425" t="s">
        <v>2951</v>
      </c>
    </row>
    <row r="3638" spans="1:2" ht="15" hidden="1" x14ac:dyDescent="0.25">
      <c r="A3638" s="425" t="s">
        <v>2950</v>
      </c>
      <c r="B3638" s="425" t="s">
        <v>2951</v>
      </c>
    </row>
    <row r="3639" spans="1:2" ht="15" hidden="1" x14ac:dyDescent="0.25">
      <c r="A3639" s="425" t="s">
        <v>2952</v>
      </c>
      <c r="B3639" s="425" t="s">
        <v>2953</v>
      </c>
    </row>
    <row r="3640" spans="1:2" ht="15" hidden="1" x14ac:dyDescent="0.25">
      <c r="A3640" s="425" t="s">
        <v>2954</v>
      </c>
      <c r="B3640" s="425" t="s">
        <v>2955</v>
      </c>
    </row>
    <row r="3641" spans="1:2" ht="15" hidden="1" x14ac:dyDescent="0.25">
      <c r="A3641" s="425" t="s">
        <v>2956</v>
      </c>
      <c r="B3641" s="425" t="s">
        <v>2957</v>
      </c>
    </row>
    <row r="3642" spans="1:2" ht="15" hidden="1" x14ac:dyDescent="0.25">
      <c r="A3642" s="425" t="s">
        <v>2958</v>
      </c>
      <c r="B3642" s="425" t="s">
        <v>2959</v>
      </c>
    </row>
    <row r="3643" spans="1:2" ht="15" hidden="1" x14ac:dyDescent="0.25">
      <c r="A3643" s="425" t="s">
        <v>2958</v>
      </c>
      <c r="B3643" s="425" t="s">
        <v>2959</v>
      </c>
    </row>
    <row r="3644" spans="1:2" ht="15" hidden="1" x14ac:dyDescent="0.25">
      <c r="A3644" s="425" t="s">
        <v>2960</v>
      </c>
      <c r="B3644" s="425" t="s">
        <v>2961</v>
      </c>
    </row>
    <row r="3645" spans="1:2" ht="15" hidden="1" x14ac:dyDescent="0.25">
      <c r="A3645" s="425" t="s">
        <v>2962</v>
      </c>
      <c r="B3645" s="425" t="s">
        <v>2963</v>
      </c>
    </row>
    <row r="3646" spans="1:2" ht="15" hidden="1" x14ac:dyDescent="0.25">
      <c r="A3646" s="425" t="s">
        <v>208</v>
      </c>
      <c r="B3646" s="425" t="s">
        <v>309</v>
      </c>
    </row>
    <row r="3647" spans="1:2" ht="15" hidden="1" x14ac:dyDescent="0.25">
      <c r="A3647" s="425" t="s">
        <v>208</v>
      </c>
      <c r="B3647" s="425" t="s">
        <v>309</v>
      </c>
    </row>
    <row r="3648" spans="1:2" ht="15" hidden="1" x14ac:dyDescent="0.25">
      <c r="A3648" s="425" t="s">
        <v>208</v>
      </c>
      <c r="B3648" s="425" t="s">
        <v>309</v>
      </c>
    </row>
    <row r="3649" spans="1:2" ht="15" hidden="1" x14ac:dyDescent="0.25">
      <c r="A3649" s="425" t="s">
        <v>208</v>
      </c>
      <c r="B3649" s="425" t="s">
        <v>309</v>
      </c>
    </row>
    <row r="3650" spans="1:2" ht="15" hidden="1" x14ac:dyDescent="0.25">
      <c r="A3650" s="425" t="s">
        <v>208</v>
      </c>
      <c r="B3650" s="425" t="s">
        <v>309</v>
      </c>
    </row>
    <row r="3651" spans="1:2" ht="15" hidden="1" x14ac:dyDescent="0.25">
      <c r="A3651" s="425" t="s">
        <v>208</v>
      </c>
      <c r="B3651" s="425" t="s">
        <v>309</v>
      </c>
    </row>
    <row r="3652" spans="1:2" ht="15" hidden="1" x14ac:dyDescent="0.25">
      <c r="A3652" s="425" t="s">
        <v>2035</v>
      </c>
      <c r="B3652" s="425" t="s">
        <v>2036</v>
      </c>
    </row>
    <row r="3653" spans="1:2" ht="15" hidden="1" x14ac:dyDescent="0.25">
      <c r="A3653" s="425" t="s">
        <v>395</v>
      </c>
      <c r="B3653" s="425" t="s">
        <v>396</v>
      </c>
    </row>
    <row r="3654" spans="1:2" ht="15" hidden="1" x14ac:dyDescent="0.25">
      <c r="A3654" s="425" t="s">
        <v>395</v>
      </c>
      <c r="B3654" s="425" t="s">
        <v>396</v>
      </c>
    </row>
    <row r="3655" spans="1:2" ht="15" hidden="1" x14ac:dyDescent="0.25">
      <c r="A3655" s="425" t="s">
        <v>395</v>
      </c>
      <c r="B3655" s="425" t="s">
        <v>396</v>
      </c>
    </row>
    <row r="3656" spans="1:2" ht="15" hidden="1" x14ac:dyDescent="0.25">
      <c r="A3656" s="425" t="s">
        <v>182</v>
      </c>
      <c r="B3656" s="425" t="s">
        <v>315</v>
      </c>
    </row>
    <row r="3657" spans="1:2" ht="15" hidden="1" x14ac:dyDescent="0.25">
      <c r="A3657" s="425" t="s">
        <v>182</v>
      </c>
      <c r="B3657" s="425" t="s">
        <v>315</v>
      </c>
    </row>
    <row r="3658" spans="1:2" ht="15" hidden="1" x14ac:dyDescent="0.25">
      <c r="A3658" s="425" t="s">
        <v>182</v>
      </c>
      <c r="B3658" s="425" t="s">
        <v>315</v>
      </c>
    </row>
    <row r="3659" spans="1:2" ht="15" hidden="1" x14ac:dyDescent="0.25">
      <c r="A3659" s="425" t="s">
        <v>182</v>
      </c>
      <c r="B3659" s="425" t="s">
        <v>315</v>
      </c>
    </row>
    <row r="3660" spans="1:2" ht="15" hidden="1" x14ac:dyDescent="0.25">
      <c r="A3660" s="425" t="s">
        <v>182</v>
      </c>
      <c r="B3660" s="425" t="s">
        <v>315</v>
      </c>
    </row>
    <row r="3661" spans="1:2" ht="15" hidden="1" x14ac:dyDescent="0.25">
      <c r="A3661" s="425" t="s">
        <v>182</v>
      </c>
      <c r="B3661" s="425" t="s">
        <v>315</v>
      </c>
    </row>
    <row r="3662" spans="1:2" ht="15" hidden="1" x14ac:dyDescent="0.25">
      <c r="A3662" s="425" t="s">
        <v>182</v>
      </c>
      <c r="B3662" s="425" t="s">
        <v>315</v>
      </c>
    </row>
    <row r="3663" spans="1:2" ht="15" hidden="1" x14ac:dyDescent="0.25">
      <c r="A3663" s="425" t="s">
        <v>182</v>
      </c>
      <c r="B3663" s="425" t="s">
        <v>315</v>
      </c>
    </row>
    <row r="3664" spans="1:2" ht="15" hidden="1" x14ac:dyDescent="0.25">
      <c r="A3664" s="425" t="s">
        <v>182</v>
      </c>
      <c r="B3664" s="425" t="s">
        <v>315</v>
      </c>
    </row>
    <row r="3665" spans="1:2" ht="15" hidden="1" x14ac:dyDescent="0.25">
      <c r="A3665" s="425" t="s">
        <v>182</v>
      </c>
      <c r="B3665" s="425" t="s">
        <v>315</v>
      </c>
    </row>
    <row r="3666" spans="1:2" ht="15" hidden="1" x14ac:dyDescent="0.25">
      <c r="A3666" s="425" t="s">
        <v>182</v>
      </c>
      <c r="B3666" s="425" t="s">
        <v>315</v>
      </c>
    </row>
    <row r="3667" spans="1:2" ht="15" hidden="1" x14ac:dyDescent="0.25">
      <c r="A3667" s="425" t="s">
        <v>182</v>
      </c>
      <c r="B3667" s="425" t="s">
        <v>315</v>
      </c>
    </row>
    <row r="3668" spans="1:2" ht="15" hidden="1" x14ac:dyDescent="0.25">
      <c r="A3668" s="425" t="s">
        <v>182</v>
      </c>
      <c r="B3668" s="425" t="s">
        <v>315</v>
      </c>
    </row>
    <row r="3669" spans="1:2" ht="15" hidden="1" x14ac:dyDescent="0.25">
      <c r="A3669" s="425" t="s">
        <v>182</v>
      </c>
      <c r="B3669" s="425" t="s">
        <v>315</v>
      </c>
    </row>
    <row r="3670" spans="1:2" ht="15" hidden="1" x14ac:dyDescent="0.25">
      <c r="A3670" s="425" t="s">
        <v>182</v>
      </c>
      <c r="B3670" s="425" t="s">
        <v>315</v>
      </c>
    </row>
    <row r="3671" spans="1:2" ht="15" hidden="1" x14ac:dyDescent="0.25">
      <c r="A3671" s="425" t="s">
        <v>182</v>
      </c>
      <c r="B3671" s="425" t="s">
        <v>315</v>
      </c>
    </row>
    <row r="3672" spans="1:2" ht="15" hidden="1" x14ac:dyDescent="0.25">
      <c r="A3672" s="425" t="s">
        <v>182</v>
      </c>
      <c r="B3672" s="425" t="s">
        <v>315</v>
      </c>
    </row>
    <row r="3673" spans="1:2" ht="15" hidden="1" x14ac:dyDescent="0.25">
      <c r="A3673" s="425" t="s">
        <v>182</v>
      </c>
      <c r="B3673" s="425" t="s">
        <v>315</v>
      </c>
    </row>
    <row r="3674" spans="1:2" ht="15" hidden="1" x14ac:dyDescent="0.25">
      <c r="A3674" s="425" t="s">
        <v>182</v>
      </c>
      <c r="B3674" s="425" t="s">
        <v>315</v>
      </c>
    </row>
    <row r="3675" spans="1:2" ht="15" hidden="1" x14ac:dyDescent="0.25">
      <c r="A3675" s="425" t="s">
        <v>182</v>
      </c>
      <c r="B3675" s="425" t="s">
        <v>315</v>
      </c>
    </row>
    <row r="3676" spans="1:2" ht="15" hidden="1" x14ac:dyDescent="0.25">
      <c r="A3676" s="425" t="s">
        <v>182</v>
      </c>
      <c r="B3676" s="425" t="s">
        <v>315</v>
      </c>
    </row>
    <row r="3677" spans="1:2" ht="15" hidden="1" x14ac:dyDescent="0.25">
      <c r="A3677" s="425" t="s">
        <v>182</v>
      </c>
      <c r="B3677" s="425" t="s">
        <v>315</v>
      </c>
    </row>
    <row r="3678" spans="1:2" ht="15" hidden="1" x14ac:dyDescent="0.25">
      <c r="A3678" s="425" t="s">
        <v>182</v>
      </c>
      <c r="B3678" s="425" t="s">
        <v>315</v>
      </c>
    </row>
    <row r="3679" spans="1:2" ht="15" hidden="1" x14ac:dyDescent="0.25">
      <c r="A3679" s="425" t="s">
        <v>182</v>
      </c>
      <c r="B3679" s="425" t="s">
        <v>315</v>
      </c>
    </row>
    <row r="3680" spans="1:2" ht="15" hidden="1" x14ac:dyDescent="0.25">
      <c r="A3680" s="425" t="s">
        <v>182</v>
      </c>
      <c r="B3680" s="425" t="s">
        <v>315</v>
      </c>
    </row>
    <row r="3681" spans="1:2" ht="15" hidden="1" x14ac:dyDescent="0.25">
      <c r="A3681" s="425" t="s">
        <v>182</v>
      </c>
      <c r="B3681" s="425" t="s">
        <v>315</v>
      </c>
    </row>
    <row r="3682" spans="1:2" ht="15" hidden="1" x14ac:dyDescent="0.25">
      <c r="A3682" s="425" t="s">
        <v>182</v>
      </c>
      <c r="B3682" s="425" t="s">
        <v>315</v>
      </c>
    </row>
    <row r="3683" spans="1:2" ht="15" hidden="1" x14ac:dyDescent="0.25">
      <c r="A3683" s="425" t="s">
        <v>182</v>
      </c>
      <c r="B3683" s="425" t="s">
        <v>315</v>
      </c>
    </row>
    <row r="3684" spans="1:2" ht="15" hidden="1" x14ac:dyDescent="0.25">
      <c r="A3684" s="425" t="s">
        <v>182</v>
      </c>
      <c r="B3684" s="425" t="s">
        <v>315</v>
      </c>
    </row>
    <row r="3685" spans="1:2" ht="15" hidden="1" x14ac:dyDescent="0.25">
      <c r="A3685" s="425" t="s">
        <v>182</v>
      </c>
      <c r="B3685" s="425" t="s">
        <v>315</v>
      </c>
    </row>
    <row r="3686" spans="1:2" ht="15" hidden="1" x14ac:dyDescent="0.25">
      <c r="A3686" s="425" t="s">
        <v>182</v>
      </c>
      <c r="B3686" s="425" t="s">
        <v>315</v>
      </c>
    </row>
    <row r="3687" spans="1:2" ht="15" hidden="1" x14ac:dyDescent="0.25">
      <c r="A3687" s="425" t="s">
        <v>182</v>
      </c>
      <c r="B3687" s="425" t="s">
        <v>315</v>
      </c>
    </row>
    <row r="3688" spans="1:2" ht="15" hidden="1" x14ac:dyDescent="0.25">
      <c r="A3688" s="425" t="s">
        <v>210</v>
      </c>
      <c r="B3688" s="425" t="s">
        <v>316</v>
      </c>
    </row>
    <row r="3689" spans="1:2" ht="15" hidden="1" x14ac:dyDescent="0.25">
      <c r="A3689" s="425" t="s">
        <v>210</v>
      </c>
      <c r="B3689" s="425" t="s">
        <v>316</v>
      </c>
    </row>
    <row r="3690" spans="1:2" ht="15" hidden="1" x14ac:dyDescent="0.25">
      <c r="A3690" s="425" t="s">
        <v>210</v>
      </c>
      <c r="B3690" s="425" t="s">
        <v>316</v>
      </c>
    </row>
    <row r="3691" spans="1:2" ht="15" hidden="1" x14ac:dyDescent="0.25">
      <c r="A3691" s="425" t="s">
        <v>210</v>
      </c>
      <c r="B3691" s="425" t="s">
        <v>316</v>
      </c>
    </row>
    <row r="3692" spans="1:2" ht="15" hidden="1" x14ac:dyDescent="0.25">
      <c r="A3692" s="425" t="s">
        <v>210</v>
      </c>
      <c r="B3692" s="425" t="s">
        <v>316</v>
      </c>
    </row>
    <row r="3693" spans="1:2" ht="15" hidden="1" x14ac:dyDescent="0.25">
      <c r="A3693" s="425" t="s">
        <v>210</v>
      </c>
      <c r="B3693" s="425" t="s">
        <v>316</v>
      </c>
    </row>
    <row r="3694" spans="1:2" ht="15" hidden="1" x14ac:dyDescent="0.25">
      <c r="A3694" s="425" t="s">
        <v>210</v>
      </c>
      <c r="B3694" s="425" t="s">
        <v>316</v>
      </c>
    </row>
    <row r="3695" spans="1:2" ht="15" hidden="1" x14ac:dyDescent="0.25">
      <c r="A3695" s="425" t="s">
        <v>210</v>
      </c>
      <c r="B3695" s="425" t="s">
        <v>316</v>
      </c>
    </row>
    <row r="3696" spans="1:2" ht="15" hidden="1" x14ac:dyDescent="0.25">
      <c r="A3696" s="425" t="s">
        <v>210</v>
      </c>
      <c r="B3696" s="425" t="s">
        <v>316</v>
      </c>
    </row>
    <row r="3697" spans="1:2" ht="15" hidden="1" x14ac:dyDescent="0.25">
      <c r="A3697" s="425" t="s">
        <v>210</v>
      </c>
      <c r="B3697" s="425" t="s">
        <v>316</v>
      </c>
    </row>
    <row r="3698" spans="1:2" ht="15" hidden="1" x14ac:dyDescent="0.25">
      <c r="A3698" s="425" t="s">
        <v>210</v>
      </c>
      <c r="B3698" s="425" t="s">
        <v>316</v>
      </c>
    </row>
    <row r="3699" spans="1:2" ht="15" hidden="1" x14ac:dyDescent="0.25">
      <c r="A3699" s="425" t="s">
        <v>210</v>
      </c>
      <c r="B3699" s="425" t="s">
        <v>316</v>
      </c>
    </row>
    <row r="3700" spans="1:2" ht="15" hidden="1" x14ac:dyDescent="0.25">
      <c r="A3700" s="425" t="s">
        <v>210</v>
      </c>
      <c r="B3700" s="425" t="s">
        <v>316</v>
      </c>
    </row>
    <row r="3701" spans="1:2" ht="15" hidden="1" x14ac:dyDescent="0.25">
      <c r="A3701" s="425" t="s">
        <v>210</v>
      </c>
      <c r="B3701" s="425" t="s">
        <v>316</v>
      </c>
    </row>
    <row r="3702" spans="1:2" ht="15" hidden="1" x14ac:dyDescent="0.25">
      <c r="A3702" s="425" t="s">
        <v>210</v>
      </c>
      <c r="B3702" s="425" t="s">
        <v>316</v>
      </c>
    </row>
    <row r="3703" spans="1:2" ht="15" hidden="1" x14ac:dyDescent="0.25">
      <c r="A3703" s="425" t="s">
        <v>210</v>
      </c>
      <c r="B3703" s="425" t="s">
        <v>316</v>
      </c>
    </row>
    <row r="3704" spans="1:2" ht="15" hidden="1" x14ac:dyDescent="0.25">
      <c r="A3704" s="425" t="s">
        <v>210</v>
      </c>
      <c r="B3704" s="425" t="s">
        <v>316</v>
      </c>
    </row>
    <row r="3705" spans="1:2" ht="15" hidden="1" x14ac:dyDescent="0.25">
      <c r="A3705" s="425" t="s">
        <v>210</v>
      </c>
      <c r="B3705" s="425" t="s">
        <v>316</v>
      </c>
    </row>
    <row r="3706" spans="1:2" ht="15" hidden="1" x14ac:dyDescent="0.25">
      <c r="A3706" s="425" t="s">
        <v>210</v>
      </c>
      <c r="B3706" s="425" t="s">
        <v>316</v>
      </c>
    </row>
    <row r="3707" spans="1:2" ht="15" hidden="1" x14ac:dyDescent="0.25">
      <c r="A3707" s="425" t="s">
        <v>210</v>
      </c>
      <c r="B3707" s="425" t="s">
        <v>316</v>
      </c>
    </row>
    <row r="3708" spans="1:2" ht="15" hidden="1" x14ac:dyDescent="0.25">
      <c r="A3708" s="425" t="s">
        <v>210</v>
      </c>
      <c r="B3708" s="425" t="s">
        <v>316</v>
      </c>
    </row>
    <row r="3709" spans="1:2" ht="15" hidden="1" x14ac:dyDescent="0.25">
      <c r="A3709" s="425" t="s">
        <v>210</v>
      </c>
      <c r="B3709" s="425" t="s">
        <v>316</v>
      </c>
    </row>
    <row r="3710" spans="1:2" ht="15" hidden="1" x14ac:dyDescent="0.25">
      <c r="A3710" s="425" t="s">
        <v>210</v>
      </c>
      <c r="B3710" s="425" t="s">
        <v>316</v>
      </c>
    </row>
    <row r="3711" spans="1:2" ht="15" hidden="1" x14ac:dyDescent="0.25">
      <c r="A3711" s="425" t="s">
        <v>183</v>
      </c>
      <c r="B3711" s="425" t="s">
        <v>317</v>
      </c>
    </row>
    <row r="3712" spans="1:2" ht="15" hidden="1" x14ac:dyDescent="0.25">
      <c r="A3712" s="426" t="s">
        <v>183</v>
      </c>
      <c r="B3712" s="425" t="s">
        <v>317</v>
      </c>
    </row>
    <row r="3713" spans="1:2" ht="15" hidden="1" x14ac:dyDescent="0.25">
      <c r="A3713" s="425" t="s">
        <v>184</v>
      </c>
      <c r="B3713" s="425" t="s">
        <v>318</v>
      </c>
    </row>
    <row r="3714" spans="1:2" ht="15" hidden="1" x14ac:dyDescent="0.25">
      <c r="A3714" s="425" t="s">
        <v>184</v>
      </c>
      <c r="B3714" s="425" t="s">
        <v>318</v>
      </c>
    </row>
    <row r="3715" spans="1:2" ht="15" hidden="1" x14ac:dyDescent="0.25">
      <c r="A3715" s="425" t="s">
        <v>184</v>
      </c>
      <c r="B3715" s="425" t="s">
        <v>318</v>
      </c>
    </row>
    <row r="3716" spans="1:2" ht="15" hidden="1" x14ac:dyDescent="0.25">
      <c r="A3716" s="425" t="s">
        <v>184</v>
      </c>
      <c r="B3716" s="425" t="s">
        <v>318</v>
      </c>
    </row>
    <row r="3717" spans="1:2" ht="15" hidden="1" x14ac:dyDescent="0.25">
      <c r="A3717" s="425" t="s">
        <v>184</v>
      </c>
      <c r="B3717" s="425" t="s">
        <v>318</v>
      </c>
    </row>
    <row r="3718" spans="1:2" ht="15" hidden="1" x14ac:dyDescent="0.25">
      <c r="A3718" s="425" t="s">
        <v>185</v>
      </c>
      <c r="B3718" s="425" t="s">
        <v>319</v>
      </c>
    </row>
    <row r="3719" spans="1:2" ht="15" hidden="1" x14ac:dyDescent="0.25">
      <c r="A3719" s="425" t="s">
        <v>185</v>
      </c>
      <c r="B3719" s="425" t="s">
        <v>319</v>
      </c>
    </row>
    <row r="3720" spans="1:2" ht="15" hidden="1" x14ac:dyDescent="0.25">
      <c r="A3720" s="425" t="s">
        <v>185</v>
      </c>
      <c r="B3720" s="425" t="s">
        <v>319</v>
      </c>
    </row>
    <row r="3721" spans="1:2" ht="15" hidden="1" x14ac:dyDescent="0.25">
      <c r="A3721" s="425" t="s">
        <v>185</v>
      </c>
      <c r="B3721" s="425" t="s">
        <v>319</v>
      </c>
    </row>
    <row r="3722" spans="1:2" ht="15" hidden="1" x14ac:dyDescent="0.25">
      <c r="A3722" s="425" t="s">
        <v>185</v>
      </c>
      <c r="B3722" s="425" t="s">
        <v>319</v>
      </c>
    </row>
    <row r="3723" spans="1:2" ht="15" hidden="1" x14ac:dyDescent="0.25">
      <c r="A3723" s="425" t="s">
        <v>185</v>
      </c>
      <c r="B3723" s="425" t="s">
        <v>319</v>
      </c>
    </row>
    <row r="3724" spans="1:2" ht="15" hidden="1" x14ac:dyDescent="0.25">
      <c r="A3724" s="425" t="s">
        <v>185</v>
      </c>
      <c r="B3724" s="425" t="s">
        <v>319</v>
      </c>
    </row>
    <row r="3725" spans="1:2" ht="15" hidden="1" x14ac:dyDescent="0.25">
      <c r="A3725" s="425" t="s">
        <v>187</v>
      </c>
      <c r="B3725" s="425" t="s">
        <v>322</v>
      </c>
    </row>
    <row r="3726" spans="1:2" ht="15" hidden="1" x14ac:dyDescent="0.25">
      <c r="A3726" s="425" t="s">
        <v>187</v>
      </c>
      <c r="B3726" s="425" t="s">
        <v>322</v>
      </c>
    </row>
    <row r="3727" spans="1:2" ht="15" hidden="1" x14ac:dyDescent="0.25">
      <c r="A3727" s="425" t="s">
        <v>187</v>
      </c>
      <c r="B3727" s="425" t="s">
        <v>322</v>
      </c>
    </row>
    <row r="3728" spans="1:2" ht="15" hidden="1" x14ac:dyDescent="0.25">
      <c r="A3728" s="425" t="s">
        <v>187</v>
      </c>
      <c r="B3728" s="425" t="s">
        <v>322</v>
      </c>
    </row>
    <row r="3729" spans="1:2" ht="15" hidden="1" x14ac:dyDescent="0.25">
      <c r="A3729" s="425" t="s">
        <v>187</v>
      </c>
      <c r="B3729" s="425" t="s">
        <v>322</v>
      </c>
    </row>
    <row r="3730" spans="1:2" ht="15" hidden="1" x14ac:dyDescent="0.25">
      <c r="A3730" s="425" t="s">
        <v>1459</v>
      </c>
      <c r="B3730" s="425" t="s">
        <v>1460</v>
      </c>
    </row>
    <row r="3731" spans="1:2" ht="15" hidden="1" x14ac:dyDescent="0.25">
      <c r="A3731" s="425" t="s">
        <v>188</v>
      </c>
      <c r="B3731" s="425" t="s">
        <v>323</v>
      </c>
    </row>
    <row r="3732" spans="1:2" ht="15" hidden="1" x14ac:dyDescent="0.25">
      <c r="A3732" s="425" t="s">
        <v>1269</v>
      </c>
      <c r="B3732" s="425" t="s">
        <v>1270</v>
      </c>
    </row>
    <row r="3733" spans="1:2" ht="15" hidden="1" x14ac:dyDescent="0.25">
      <c r="A3733" s="425" t="s">
        <v>1269</v>
      </c>
      <c r="B3733" s="425" t="s">
        <v>1270</v>
      </c>
    </row>
    <row r="3734" spans="1:2" ht="15" hidden="1" x14ac:dyDescent="0.25">
      <c r="A3734" s="425" t="s">
        <v>1269</v>
      </c>
      <c r="B3734" s="425" t="s">
        <v>1270</v>
      </c>
    </row>
    <row r="3735" spans="1:2" ht="15" hidden="1" x14ac:dyDescent="0.25">
      <c r="A3735" s="425" t="s">
        <v>1269</v>
      </c>
      <c r="B3735" s="425" t="s">
        <v>1270</v>
      </c>
    </row>
    <row r="3736" spans="1:2" ht="15" hidden="1" x14ac:dyDescent="0.25">
      <c r="A3736" s="425" t="s">
        <v>1269</v>
      </c>
      <c r="B3736" s="425" t="s">
        <v>1270</v>
      </c>
    </row>
    <row r="3737" spans="1:2" ht="15" hidden="1" x14ac:dyDescent="0.25">
      <c r="A3737" s="425" t="s">
        <v>1269</v>
      </c>
      <c r="B3737" s="425" t="s">
        <v>1270</v>
      </c>
    </row>
    <row r="3738" spans="1:2" ht="15" hidden="1" x14ac:dyDescent="0.25">
      <c r="A3738" s="425" t="s">
        <v>1269</v>
      </c>
      <c r="B3738" s="425" t="s">
        <v>1270</v>
      </c>
    </row>
    <row r="3739" spans="1:2" ht="15" hidden="1" x14ac:dyDescent="0.25">
      <c r="A3739" s="425" t="s">
        <v>1269</v>
      </c>
      <c r="B3739" s="425" t="s">
        <v>1270</v>
      </c>
    </row>
    <row r="3740" spans="1:2" ht="15" hidden="1" x14ac:dyDescent="0.25">
      <c r="A3740" s="425" t="s">
        <v>1269</v>
      </c>
      <c r="B3740" s="425" t="s">
        <v>1270</v>
      </c>
    </row>
    <row r="3741" spans="1:2" ht="15" hidden="1" x14ac:dyDescent="0.25">
      <c r="A3741" s="425" t="s">
        <v>2964</v>
      </c>
      <c r="B3741" s="425" t="s">
        <v>2964</v>
      </c>
    </row>
    <row r="3742" spans="1:2" ht="15" hidden="1" x14ac:dyDescent="0.25">
      <c r="A3742" s="425" t="s">
        <v>2965</v>
      </c>
      <c r="B3742" s="425" t="s">
        <v>2965</v>
      </c>
    </row>
    <row r="3743" spans="1:2" ht="15" hidden="1" x14ac:dyDescent="0.25">
      <c r="A3743" s="425" t="s">
        <v>2966</v>
      </c>
      <c r="B3743" s="425" t="s">
        <v>2966</v>
      </c>
    </row>
    <row r="3744" spans="1:2" ht="15" hidden="1" x14ac:dyDescent="0.25">
      <c r="A3744" s="425" t="s">
        <v>2967</v>
      </c>
      <c r="B3744" s="425" t="s">
        <v>2967</v>
      </c>
    </row>
    <row r="3745" spans="1:2" ht="15" hidden="1" x14ac:dyDescent="0.25">
      <c r="A3745" s="425" t="s">
        <v>2968</v>
      </c>
      <c r="B3745" s="425" t="s">
        <v>2968</v>
      </c>
    </row>
    <row r="3746" spans="1:2" ht="15" hidden="1" x14ac:dyDescent="0.25">
      <c r="A3746" s="425" t="s">
        <v>2969</v>
      </c>
      <c r="B3746" s="425" t="s">
        <v>2969</v>
      </c>
    </row>
    <row r="3747" spans="1:2" ht="15" hidden="1" x14ac:dyDescent="0.25">
      <c r="A3747" s="425" t="s">
        <v>2970</v>
      </c>
      <c r="B3747" s="425" t="s">
        <v>2970</v>
      </c>
    </row>
    <row r="3748" spans="1:2" ht="15" hidden="1" x14ac:dyDescent="0.25">
      <c r="A3748" s="425" t="s">
        <v>2971</v>
      </c>
      <c r="B3748" s="425" t="s">
        <v>2971</v>
      </c>
    </row>
    <row r="3749" spans="1:2" ht="15" hidden="1" x14ac:dyDescent="0.25">
      <c r="A3749" s="425" t="s">
        <v>2972</v>
      </c>
      <c r="B3749" s="425" t="s">
        <v>2972</v>
      </c>
    </row>
    <row r="3750" spans="1:2" ht="15" hidden="1" x14ac:dyDescent="0.25">
      <c r="A3750" s="425" t="s">
        <v>2973</v>
      </c>
      <c r="B3750" s="425" t="s">
        <v>2973</v>
      </c>
    </row>
    <row r="3751" spans="1:2" ht="15" hidden="1" x14ac:dyDescent="0.25">
      <c r="A3751" s="425" t="s">
        <v>2974</v>
      </c>
      <c r="B3751" s="425" t="s">
        <v>2974</v>
      </c>
    </row>
    <row r="3752" spans="1:2" ht="15" hidden="1" x14ac:dyDescent="0.25">
      <c r="A3752" s="425" t="s">
        <v>2975</v>
      </c>
      <c r="B3752" s="425" t="s">
        <v>2975</v>
      </c>
    </row>
    <row r="3753" spans="1:2" ht="15" hidden="1" x14ac:dyDescent="0.25">
      <c r="A3753" s="425" t="s">
        <v>2976</v>
      </c>
      <c r="B3753" s="425" t="s">
        <v>2976</v>
      </c>
    </row>
    <row r="3754" spans="1:2" ht="15" hidden="1" x14ac:dyDescent="0.25">
      <c r="A3754" s="425" t="s">
        <v>2977</v>
      </c>
      <c r="B3754" s="425" t="s">
        <v>2977</v>
      </c>
    </row>
    <row r="3755" spans="1:2" ht="15" hidden="1" x14ac:dyDescent="0.25">
      <c r="A3755" s="425" t="s">
        <v>2977</v>
      </c>
      <c r="B3755" s="425" t="s">
        <v>2977</v>
      </c>
    </row>
    <row r="3756" spans="1:2" ht="15" hidden="1" x14ac:dyDescent="0.25">
      <c r="A3756" s="425" t="s">
        <v>2978</v>
      </c>
      <c r="B3756" s="425" t="s">
        <v>2978</v>
      </c>
    </row>
    <row r="3757" spans="1:2" ht="15" hidden="1" x14ac:dyDescent="0.25">
      <c r="A3757" s="425" t="s">
        <v>2979</v>
      </c>
      <c r="B3757" s="425" t="s">
        <v>2979</v>
      </c>
    </row>
    <row r="3758" spans="1:2" ht="15" hidden="1" x14ac:dyDescent="0.25">
      <c r="A3758" s="425" t="s">
        <v>2979</v>
      </c>
      <c r="B3758" s="425" t="s">
        <v>2979</v>
      </c>
    </row>
    <row r="3759" spans="1:2" ht="15" hidden="1" x14ac:dyDescent="0.25">
      <c r="A3759" s="425" t="s">
        <v>2980</v>
      </c>
      <c r="B3759" s="425" t="s">
        <v>2980</v>
      </c>
    </row>
    <row r="3760" spans="1:2" ht="15" hidden="1" x14ac:dyDescent="0.25">
      <c r="A3760" s="425" t="s">
        <v>2981</v>
      </c>
      <c r="B3760" s="425" t="s">
        <v>2981</v>
      </c>
    </row>
    <row r="3761" spans="1:2" ht="15" hidden="1" x14ac:dyDescent="0.25">
      <c r="A3761" s="425" t="s">
        <v>2982</v>
      </c>
      <c r="B3761" s="425" t="s">
        <v>2982</v>
      </c>
    </row>
    <row r="3762" spans="1:2" ht="15" hidden="1" x14ac:dyDescent="0.25">
      <c r="A3762" s="425" t="s">
        <v>2983</v>
      </c>
      <c r="B3762" s="425" t="s">
        <v>2983</v>
      </c>
    </row>
    <row r="3763" spans="1:2" ht="15" hidden="1" x14ac:dyDescent="0.25">
      <c r="A3763" s="425" t="s">
        <v>2984</v>
      </c>
      <c r="B3763" s="425" t="s">
        <v>2984</v>
      </c>
    </row>
    <row r="3764" spans="1:2" ht="15" hidden="1" x14ac:dyDescent="0.25">
      <c r="A3764" s="425" t="s">
        <v>2882</v>
      </c>
      <c r="B3764" s="425" t="s">
        <v>2882</v>
      </c>
    </row>
    <row r="3765" spans="1:2" ht="15" hidden="1" x14ac:dyDescent="0.25">
      <c r="A3765" s="425" t="s">
        <v>2985</v>
      </c>
      <c r="B3765" s="425" t="s">
        <v>2985</v>
      </c>
    </row>
    <row r="3766" spans="1:2" ht="15" hidden="1" x14ac:dyDescent="0.25">
      <c r="A3766" s="425" t="s">
        <v>2986</v>
      </c>
      <c r="B3766" s="425" t="s">
        <v>2986</v>
      </c>
    </row>
    <row r="3767" spans="1:2" ht="15" hidden="1" x14ac:dyDescent="0.25">
      <c r="A3767" s="425" t="s">
        <v>2986</v>
      </c>
      <c r="B3767" s="425" t="s">
        <v>2986</v>
      </c>
    </row>
    <row r="3768" spans="1:2" ht="15" hidden="1" x14ac:dyDescent="0.25">
      <c r="A3768" s="425" t="s">
        <v>2987</v>
      </c>
      <c r="B3768" s="425" t="s">
        <v>2987</v>
      </c>
    </row>
    <row r="3769" spans="1:2" ht="15" hidden="1" x14ac:dyDescent="0.25">
      <c r="A3769" s="425" t="s">
        <v>2988</v>
      </c>
      <c r="B3769" s="425" t="s">
        <v>2988</v>
      </c>
    </row>
    <row r="3770" spans="1:2" ht="15" hidden="1" x14ac:dyDescent="0.25">
      <c r="A3770" s="425" t="s">
        <v>2988</v>
      </c>
      <c r="B3770" s="425" t="s">
        <v>2988</v>
      </c>
    </row>
    <row r="3771" spans="1:2" ht="15" hidden="1" x14ac:dyDescent="0.25">
      <c r="A3771" s="425" t="s">
        <v>2989</v>
      </c>
      <c r="B3771" s="425" t="s">
        <v>2989</v>
      </c>
    </row>
    <row r="3772" spans="1:2" ht="15" hidden="1" x14ac:dyDescent="0.25">
      <c r="A3772" s="425" t="s">
        <v>2989</v>
      </c>
      <c r="B3772" s="425" t="s">
        <v>2989</v>
      </c>
    </row>
    <row r="3773" spans="1:2" ht="15" hidden="1" x14ac:dyDescent="0.25">
      <c r="A3773" s="425" t="s">
        <v>2990</v>
      </c>
      <c r="B3773" s="425" t="s">
        <v>2990</v>
      </c>
    </row>
    <row r="3774" spans="1:2" ht="15" hidden="1" x14ac:dyDescent="0.25">
      <c r="A3774" s="425" t="s">
        <v>2991</v>
      </c>
      <c r="B3774" s="425" t="s">
        <v>2991</v>
      </c>
    </row>
    <row r="3775" spans="1:2" ht="15" hidden="1" x14ac:dyDescent="0.25">
      <c r="A3775" s="425" t="s">
        <v>2992</v>
      </c>
      <c r="B3775" s="425" t="s">
        <v>2992</v>
      </c>
    </row>
    <row r="3776" spans="1:2" ht="15" hidden="1" x14ac:dyDescent="0.25">
      <c r="A3776" s="425" t="s">
        <v>2993</v>
      </c>
      <c r="B3776" s="425" t="s">
        <v>2993</v>
      </c>
    </row>
    <row r="3777" spans="1:2" ht="15" hidden="1" x14ac:dyDescent="0.25">
      <c r="A3777" s="425" t="s">
        <v>2994</v>
      </c>
      <c r="B3777" s="425" t="s">
        <v>2994</v>
      </c>
    </row>
    <row r="3778" spans="1:2" ht="15" hidden="1" x14ac:dyDescent="0.25">
      <c r="A3778" s="425" t="s">
        <v>2994</v>
      </c>
      <c r="B3778" s="425" t="s">
        <v>2994</v>
      </c>
    </row>
    <row r="3779" spans="1:2" ht="15" hidden="1" x14ac:dyDescent="0.25">
      <c r="A3779" s="425" t="s">
        <v>2995</v>
      </c>
      <c r="B3779" s="425" t="s">
        <v>2995</v>
      </c>
    </row>
    <row r="3780" spans="1:2" ht="15" hidden="1" x14ac:dyDescent="0.25">
      <c r="A3780" s="425" t="s">
        <v>2996</v>
      </c>
      <c r="B3780" s="425" t="s">
        <v>2996</v>
      </c>
    </row>
    <row r="3781" spans="1:2" ht="15" hidden="1" x14ac:dyDescent="0.25">
      <c r="A3781" s="425" t="s">
        <v>2997</v>
      </c>
      <c r="B3781" s="425" t="s">
        <v>2997</v>
      </c>
    </row>
    <row r="3782" spans="1:2" ht="15" hidden="1" x14ac:dyDescent="0.25">
      <c r="A3782" s="425" t="s">
        <v>2998</v>
      </c>
      <c r="B3782" s="425" t="s">
        <v>2998</v>
      </c>
    </row>
    <row r="3783" spans="1:2" ht="15" hidden="1" x14ac:dyDescent="0.25">
      <c r="A3783" s="425" t="s">
        <v>2999</v>
      </c>
      <c r="B3783" s="425" t="s">
        <v>2999</v>
      </c>
    </row>
    <row r="3784" spans="1:2" ht="15" hidden="1" x14ac:dyDescent="0.25">
      <c r="A3784" s="425" t="s">
        <v>3000</v>
      </c>
      <c r="B3784" s="425" t="s">
        <v>3000</v>
      </c>
    </row>
    <row r="3785" spans="1:2" ht="15" hidden="1" x14ac:dyDescent="0.25">
      <c r="A3785" s="425" t="s">
        <v>3001</v>
      </c>
      <c r="B3785" s="425" t="s">
        <v>3001</v>
      </c>
    </row>
    <row r="3786" spans="1:2" ht="15" hidden="1" x14ac:dyDescent="0.25">
      <c r="A3786" s="425" t="s">
        <v>3002</v>
      </c>
      <c r="B3786" s="425" t="s">
        <v>3002</v>
      </c>
    </row>
    <row r="3787" spans="1:2" ht="15" hidden="1" x14ac:dyDescent="0.25">
      <c r="A3787" s="425" t="s">
        <v>3003</v>
      </c>
      <c r="B3787" s="425" t="s">
        <v>3003</v>
      </c>
    </row>
    <row r="3788" spans="1:2" ht="15" hidden="1" x14ac:dyDescent="0.25">
      <c r="A3788" s="425" t="s">
        <v>3004</v>
      </c>
      <c r="B3788" s="425" t="s">
        <v>3004</v>
      </c>
    </row>
    <row r="3789" spans="1:2" ht="15" hidden="1" x14ac:dyDescent="0.25">
      <c r="A3789" s="425" t="s">
        <v>3005</v>
      </c>
      <c r="B3789" s="425" t="s">
        <v>3005</v>
      </c>
    </row>
    <row r="3790" spans="1:2" ht="15" hidden="1" x14ac:dyDescent="0.25">
      <c r="A3790" s="425" t="s">
        <v>3006</v>
      </c>
      <c r="B3790" s="425" t="s">
        <v>3006</v>
      </c>
    </row>
    <row r="3791" spans="1:2" ht="15" hidden="1" x14ac:dyDescent="0.25">
      <c r="A3791" s="425" t="s">
        <v>3007</v>
      </c>
      <c r="B3791" s="425" t="s">
        <v>3007</v>
      </c>
    </row>
    <row r="3792" spans="1:2" ht="15" hidden="1" x14ac:dyDescent="0.25">
      <c r="A3792" s="425" t="s">
        <v>3007</v>
      </c>
      <c r="B3792" s="425" t="s">
        <v>3007</v>
      </c>
    </row>
    <row r="3793" spans="1:2" ht="15" hidden="1" x14ac:dyDescent="0.25">
      <c r="A3793" s="425" t="s">
        <v>3008</v>
      </c>
      <c r="B3793" s="425" t="s">
        <v>3008</v>
      </c>
    </row>
    <row r="3794" spans="1:2" ht="15" hidden="1" x14ac:dyDescent="0.25">
      <c r="A3794" s="425" t="s">
        <v>3009</v>
      </c>
      <c r="B3794" s="425" t="s">
        <v>3009</v>
      </c>
    </row>
    <row r="3795" spans="1:2" ht="15" hidden="1" x14ac:dyDescent="0.25">
      <c r="A3795" s="425" t="s">
        <v>3010</v>
      </c>
      <c r="B3795" s="425" t="s">
        <v>3010</v>
      </c>
    </row>
    <row r="3796" spans="1:2" ht="15" hidden="1" x14ac:dyDescent="0.25">
      <c r="A3796" s="425" t="s">
        <v>3011</v>
      </c>
      <c r="B3796" s="425" t="s">
        <v>3011</v>
      </c>
    </row>
    <row r="3797" spans="1:2" ht="15" hidden="1" x14ac:dyDescent="0.25">
      <c r="A3797" s="425" t="s">
        <v>3012</v>
      </c>
      <c r="B3797" s="425" t="s">
        <v>3012</v>
      </c>
    </row>
    <row r="3798" spans="1:2" ht="15" hidden="1" x14ac:dyDescent="0.25">
      <c r="A3798" s="425" t="s">
        <v>3013</v>
      </c>
      <c r="B3798" s="425" t="s">
        <v>3013</v>
      </c>
    </row>
    <row r="3799" spans="1:2" ht="15" hidden="1" x14ac:dyDescent="0.25">
      <c r="A3799" s="425" t="s">
        <v>3014</v>
      </c>
      <c r="B3799" s="425" t="s">
        <v>3014</v>
      </c>
    </row>
    <row r="3800" spans="1:2" ht="15" hidden="1" x14ac:dyDescent="0.25">
      <c r="A3800" s="425" t="s">
        <v>3014</v>
      </c>
      <c r="B3800" s="425" t="s">
        <v>3014</v>
      </c>
    </row>
    <row r="3801" spans="1:2" ht="15" hidden="1" x14ac:dyDescent="0.25">
      <c r="A3801" s="425" t="s">
        <v>3015</v>
      </c>
      <c r="B3801" s="425" t="s">
        <v>3015</v>
      </c>
    </row>
    <row r="3802" spans="1:2" ht="15" hidden="1" x14ac:dyDescent="0.25">
      <c r="A3802" s="425" t="s">
        <v>3016</v>
      </c>
      <c r="B3802" s="425" t="s">
        <v>3016</v>
      </c>
    </row>
    <row r="3803" spans="1:2" ht="15" hidden="1" x14ac:dyDescent="0.25">
      <c r="A3803" s="425" t="s">
        <v>3017</v>
      </c>
      <c r="B3803" s="425" t="s">
        <v>3017</v>
      </c>
    </row>
    <row r="3804" spans="1:2" ht="15" hidden="1" x14ac:dyDescent="0.25">
      <c r="A3804" s="425" t="s">
        <v>3017</v>
      </c>
      <c r="B3804" s="425" t="s">
        <v>3017</v>
      </c>
    </row>
    <row r="3805" spans="1:2" ht="15" hidden="1" x14ac:dyDescent="0.25">
      <c r="A3805" s="425" t="s">
        <v>3018</v>
      </c>
      <c r="B3805" s="425" t="s">
        <v>3018</v>
      </c>
    </row>
    <row r="3806" spans="1:2" ht="15" hidden="1" x14ac:dyDescent="0.25">
      <c r="A3806" s="425" t="s">
        <v>3019</v>
      </c>
      <c r="B3806" s="425" t="s">
        <v>3019</v>
      </c>
    </row>
    <row r="3807" spans="1:2" ht="15" hidden="1" x14ac:dyDescent="0.25">
      <c r="A3807" s="425" t="s">
        <v>3019</v>
      </c>
      <c r="B3807" s="425" t="s">
        <v>3019</v>
      </c>
    </row>
    <row r="3808" spans="1:2" ht="15" hidden="1" x14ac:dyDescent="0.25">
      <c r="A3808" s="425" t="s">
        <v>3020</v>
      </c>
      <c r="B3808" s="425" t="s">
        <v>3020</v>
      </c>
    </row>
    <row r="3809" spans="1:2" ht="15" hidden="1" x14ac:dyDescent="0.25">
      <c r="A3809" s="425" t="s">
        <v>3021</v>
      </c>
      <c r="B3809" s="425" t="s">
        <v>3021</v>
      </c>
    </row>
    <row r="3810" spans="1:2" ht="15" hidden="1" x14ac:dyDescent="0.25">
      <c r="A3810" s="425" t="s">
        <v>3022</v>
      </c>
      <c r="B3810" s="425" t="s">
        <v>3022</v>
      </c>
    </row>
    <row r="3811" spans="1:2" ht="15" hidden="1" x14ac:dyDescent="0.25">
      <c r="A3811" s="425" t="s">
        <v>3023</v>
      </c>
      <c r="B3811" s="425" t="s">
        <v>3023</v>
      </c>
    </row>
    <row r="3812" spans="1:2" ht="15" hidden="1" x14ac:dyDescent="0.25">
      <c r="A3812" s="425" t="s">
        <v>3024</v>
      </c>
      <c r="B3812" s="425" t="s">
        <v>3024</v>
      </c>
    </row>
    <row r="3813" spans="1:2" ht="15" hidden="1" x14ac:dyDescent="0.25">
      <c r="A3813" s="425" t="s">
        <v>3025</v>
      </c>
      <c r="B3813" s="425" t="s">
        <v>3025</v>
      </c>
    </row>
    <row r="3814" spans="1:2" ht="15" hidden="1" x14ac:dyDescent="0.25">
      <c r="A3814" s="425" t="s">
        <v>3026</v>
      </c>
      <c r="B3814" s="425" t="s">
        <v>3027</v>
      </c>
    </row>
    <row r="3815" spans="1:2" ht="15" hidden="1" x14ac:dyDescent="0.25">
      <c r="A3815" s="425" t="s">
        <v>3028</v>
      </c>
      <c r="B3815" s="425" t="s">
        <v>3029</v>
      </c>
    </row>
    <row r="3816" spans="1:2" ht="15" hidden="1" x14ac:dyDescent="0.25">
      <c r="A3816" s="425" t="s">
        <v>3030</v>
      </c>
      <c r="B3816" s="425" t="s">
        <v>3031</v>
      </c>
    </row>
    <row r="3817" spans="1:2" ht="15" hidden="1" x14ac:dyDescent="0.25">
      <c r="A3817" s="425" t="s">
        <v>3032</v>
      </c>
      <c r="B3817" s="425" t="s">
        <v>3033</v>
      </c>
    </row>
    <row r="3818" spans="1:2" ht="15" hidden="1" x14ac:dyDescent="0.25">
      <c r="A3818" s="425" t="s">
        <v>3032</v>
      </c>
      <c r="B3818" s="425" t="s">
        <v>3033</v>
      </c>
    </row>
    <row r="3819" spans="1:2" ht="15" hidden="1" x14ac:dyDescent="0.25">
      <c r="A3819" s="425" t="s">
        <v>1768</v>
      </c>
      <c r="B3819" s="425" t="s">
        <v>3034</v>
      </c>
    </row>
    <row r="3820" spans="1:2" ht="15" hidden="1" x14ac:dyDescent="0.25">
      <c r="A3820" s="425" t="s">
        <v>1768</v>
      </c>
      <c r="B3820" s="425" t="s">
        <v>1769</v>
      </c>
    </row>
    <row r="3821" spans="1:2" ht="15" hidden="1" x14ac:dyDescent="0.25">
      <c r="A3821" s="425" t="s">
        <v>1768</v>
      </c>
      <c r="B3821" s="425" t="s">
        <v>1769</v>
      </c>
    </row>
    <row r="3822" spans="1:2" ht="15" hidden="1" x14ac:dyDescent="0.25">
      <c r="A3822" s="425" t="s">
        <v>3035</v>
      </c>
      <c r="B3822" s="425" t="s">
        <v>3036</v>
      </c>
    </row>
    <row r="3823" spans="1:2" ht="15" hidden="1" x14ac:dyDescent="0.25">
      <c r="A3823" s="425" t="s">
        <v>3037</v>
      </c>
      <c r="B3823" s="425" t="s">
        <v>3038</v>
      </c>
    </row>
    <row r="3824" spans="1:2" ht="15" hidden="1" x14ac:dyDescent="0.25">
      <c r="A3824" s="425" t="s">
        <v>3039</v>
      </c>
      <c r="B3824" s="425" t="s">
        <v>3040</v>
      </c>
    </row>
    <row r="3825" spans="1:2" ht="15" hidden="1" x14ac:dyDescent="0.25">
      <c r="A3825" s="425" t="s">
        <v>3039</v>
      </c>
      <c r="B3825" s="425" t="s">
        <v>3040</v>
      </c>
    </row>
    <row r="3826" spans="1:2" ht="15" hidden="1" x14ac:dyDescent="0.25">
      <c r="A3826" s="425" t="s">
        <v>3039</v>
      </c>
      <c r="B3826" s="425" t="s">
        <v>3040</v>
      </c>
    </row>
    <row r="3827" spans="1:2" ht="15" hidden="1" x14ac:dyDescent="0.25">
      <c r="A3827" s="425" t="s">
        <v>3041</v>
      </c>
      <c r="B3827" s="425" t="s">
        <v>3042</v>
      </c>
    </row>
    <row r="3828" spans="1:2" ht="15" hidden="1" x14ac:dyDescent="0.25">
      <c r="A3828" s="425" t="s">
        <v>2279</v>
      </c>
      <c r="B3828" s="425" t="s">
        <v>3043</v>
      </c>
    </row>
    <row r="3829" spans="1:2" ht="15" hidden="1" x14ac:dyDescent="0.25">
      <c r="A3829" s="425" t="s">
        <v>2279</v>
      </c>
      <c r="B3829" s="425" t="s">
        <v>3043</v>
      </c>
    </row>
    <row r="3830" spans="1:2" ht="15" hidden="1" x14ac:dyDescent="0.25">
      <c r="A3830" s="425" t="s">
        <v>3044</v>
      </c>
      <c r="B3830" s="425" t="s">
        <v>3045</v>
      </c>
    </row>
    <row r="3831" spans="1:2" ht="15" hidden="1" x14ac:dyDescent="0.25">
      <c r="A3831" s="425" t="s">
        <v>1537</v>
      </c>
      <c r="B3831" s="425" t="s">
        <v>1538</v>
      </c>
    </row>
    <row r="3832" spans="1:2" ht="15" hidden="1" x14ac:dyDescent="0.25">
      <c r="A3832" s="425" t="s">
        <v>1537</v>
      </c>
      <c r="B3832" s="425" t="s">
        <v>1538</v>
      </c>
    </row>
    <row r="3833" spans="1:2" ht="15" hidden="1" x14ac:dyDescent="0.25">
      <c r="A3833" s="425" t="s">
        <v>3046</v>
      </c>
      <c r="B3833" s="425" t="s">
        <v>3047</v>
      </c>
    </row>
    <row r="3834" spans="1:2" ht="15" hidden="1" x14ac:dyDescent="0.25">
      <c r="A3834" s="425" t="s">
        <v>3046</v>
      </c>
      <c r="B3834" s="425" t="s">
        <v>3047</v>
      </c>
    </row>
    <row r="3835" spans="1:2" ht="15" hidden="1" x14ac:dyDescent="0.25">
      <c r="A3835" s="425" t="s">
        <v>3048</v>
      </c>
      <c r="B3835" s="425" t="s">
        <v>3049</v>
      </c>
    </row>
    <row r="3836" spans="1:2" ht="15" hidden="1" x14ac:dyDescent="0.25">
      <c r="A3836" s="425" t="s">
        <v>1667</v>
      </c>
      <c r="B3836" s="425" t="s">
        <v>1668</v>
      </c>
    </row>
    <row r="3837" spans="1:2" ht="15" hidden="1" x14ac:dyDescent="0.25">
      <c r="A3837" s="425" t="s">
        <v>1667</v>
      </c>
      <c r="B3837" s="425" t="s">
        <v>1668</v>
      </c>
    </row>
    <row r="3838" spans="1:2" ht="15" hidden="1" x14ac:dyDescent="0.25">
      <c r="A3838" s="425" t="s">
        <v>3050</v>
      </c>
      <c r="B3838" s="425" t="s">
        <v>3051</v>
      </c>
    </row>
    <row r="3839" spans="1:2" ht="15" hidden="1" x14ac:dyDescent="0.25">
      <c r="A3839" s="425" t="s">
        <v>3050</v>
      </c>
      <c r="B3839" s="425" t="s">
        <v>3051</v>
      </c>
    </row>
    <row r="3840" spans="1:2" ht="15" hidden="1" x14ac:dyDescent="0.25">
      <c r="A3840" s="425" t="s">
        <v>3052</v>
      </c>
      <c r="B3840" s="425" t="s">
        <v>3053</v>
      </c>
    </row>
    <row r="3841" spans="1:2" ht="15" hidden="1" x14ac:dyDescent="0.25">
      <c r="A3841" s="425" t="s">
        <v>3054</v>
      </c>
      <c r="B3841" s="425" t="s">
        <v>3055</v>
      </c>
    </row>
    <row r="3842" spans="1:2" ht="15" hidden="1" x14ac:dyDescent="0.25">
      <c r="A3842" s="425" t="s">
        <v>3056</v>
      </c>
      <c r="B3842" s="425" t="s">
        <v>3057</v>
      </c>
    </row>
    <row r="3843" spans="1:2" ht="15" hidden="1" x14ac:dyDescent="0.25">
      <c r="A3843" s="425" t="s">
        <v>2310</v>
      </c>
      <c r="B3843" s="425" t="s">
        <v>2311</v>
      </c>
    </row>
    <row r="3844" spans="1:2" ht="15" hidden="1" x14ac:dyDescent="0.25">
      <c r="A3844" s="425" t="s">
        <v>2310</v>
      </c>
      <c r="B3844" s="425" t="s">
        <v>2311</v>
      </c>
    </row>
    <row r="3845" spans="1:2" ht="15" hidden="1" x14ac:dyDescent="0.25">
      <c r="A3845" s="425" t="s">
        <v>3058</v>
      </c>
      <c r="B3845" s="425" t="s">
        <v>3059</v>
      </c>
    </row>
    <row r="3846" spans="1:2" ht="15" hidden="1" x14ac:dyDescent="0.25">
      <c r="A3846" s="425" t="s">
        <v>3060</v>
      </c>
      <c r="B3846" s="425" t="s">
        <v>3061</v>
      </c>
    </row>
    <row r="3847" spans="1:2" ht="15" hidden="1" x14ac:dyDescent="0.25">
      <c r="A3847" s="425" t="s">
        <v>1790</v>
      </c>
      <c r="B3847" s="425" t="s">
        <v>1791</v>
      </c>
    </row>
    <row r="3848" spans="1:2" ht="15" hidden="1" x14ac:dyDescent="0.25">
      <c r="A3848" s="425" t="s">
        <v>1790</v>
      </c>
      <c r="B3848" s="425" t="s">
        <v>1791</v>
      </c>
    </row>
    <row r="3849" spans="1:2" ht="15" hidden="1" x14ac:dyDescent="0.25">
      <c r="A3849" s="425" t="s">
        <v>1792</v>
      </c>
      <c r="B3849" s="425" t="s">
        <v>1793</v>
      </c>
    </row>
    <row r="3850" spans="1:2" ht="15" hidden="1" x14ac:dyDescent="0.25">
      <c r="A3850" s="425" t="s">
        <v>1794</v>
      </c>
      <c r="B3850" s="425" t="s">
        <v>1795</v>
      </c>
    </row>
    <row r="3851" spans="1:2" ht="15" hidden="1" x14ac:dyDescent="0.25">
      <c r="A3851" s="425" t="s">
        <v>3062</v>
      </c>
      <c r="B3851" s="425" t="s">
        <v>3063</v>
      </c>
    </row>
    <row r="3852" spans="1:2" ht="15" hidden="1" x14ac:dyDescent="0.25">
      <c r="A3852" s="425" t="s">
        <v>1796</v>
      </c>
      <c r="B3852" s="425" t="s">
        <v>1797</v>
      </c>
    </row>
    <row r="3853" spans="1:2" ht="15" hidden="1" x14ac:dyDescent="0.25">
      <c r="A3853" s="425" t="s">
        <v>3064</v>
      </c>
      <c r="B3853" s="425" t="s">
        <v>3065</v>
      </c>
    </row>
    <row r="3854" spans="1:2" ht="15" hidden="1" x14ac:dyDescent="0.25">
      <c r="A3854" s="425" t="s">
        <v>3066</v>
      </c>
      <c r="B3854" s="425" t="s">
        <v>3067</v>
      </c>
    </row>
    <row r="3855" spans="1:2" ht="15" hidden="1" x14ac:dyDescent="0.25">
      <c r="A3855" s="425" t="s">
        <v>3068</v>
      </c>
      <c r="B3855" s="425" t="s">
        <v>3069</v>
      </c>
    </row>
    <row r="3856" spans="1:2" ht="15" hidden="1" x14ac:dyDescent="0.25">
      <c r="A3856" s="425" t="s">
        <v>1811</v>
      </c>
      <c r="B3856" s="425" t="s">
        <v>1812</v>
      </c>
    </row>
    <row r="3857" spans="1:2" ht="15" hidden="1" x14ac:dyDescent="0.25">
      <c r="A3857" s="425" t="s">
        <v>3070</v>
      </c>
      <c r="B3857" s="425" t="s">
        <v>3071</v>
      </c>
    </row>
    <row r="3858" spans="1:2" ht="15" hidden="1" x14ac:dyDescent="0.25">
      <c r="A3858" s="425" t="s">
        <v>2344</v>
      </c>
      <c r="B3858" s="425" t="s">
        <v>2345</v>
      </c>
    </row>
    <row r="3859" spans="1:2" ht="15" hidden="1" x14ac:dyDescent="0.25">
      <c r="A3859" s="425" t="s">
        <v>1813</v>
      </c>
      <c r="B3859" s="425" t="s">
        <v>1814</v>
      </c>
    </row>
    <row r="3860" spans="1:2" ht="15" hidden="1" x14ac:dyDescent="0.25">
      <c r="A3860" s="425" t="s">
        <v>3072</v>
      </c>
      <c r="B3860" s="425" t="s">
        <v>3073</v>
      </c>
    </row>
    <row r="3861" spans="1:2" ht="15" hidden="1" x14ac:dyDescent="0.25">
      <c r="A3861" s="425" t="s">
        <v>3072</v>
      </c>
      <c r="B3861" s="425" t="s">
        <v>3073</v>
      </c>
    </row>
    <row r="3862" spans="1:2" ht="15" hidden="1" x14ac:dyDescent="0.25">
      <c r="A3862" s="425" t="s">
        <v>2351</v>
      </c>
      <c r="B3862" s="425" t="s">
        <v>2352</v>
      </c>
    </row>
    <row r="3863" spans="1:2" ht="15" hidden="1" x14ac:dyDescent="0.25">
      <c r="A3863" s="425" t="s">
        <v>2351</v>
      </c>
      <c r="B3863" s="425" t="s">
        <v>2352</v>
      </c>
    </row>
    <row r="3864" spans="1:2" ht="15" hidden="1" x14ac:dyDescent="0.25">
      <c r="A3864" s="425" t="s">
        <v>3074</v>
      </c>
      <c r="B3864" s="425" t="s">
        <v>3075</v>
      </c>
    </row>
    <row r="3865" spans="1:2" ht="15" hidden="1" x14ac:dyDescent="0.25">
      <c r="A3865" s="425" t="s">
        <v>3074</v>
      </c>
      <c r="B3865" s="425" t="s">
        <v>3075</v>
      </c>
    </row>
    <row r="3866" spans="1:2" ht="15" hidden="1" x14ac:dyDescent="0.25">
      <c r="A3866" s="425" t="s">
        <v>3074</v>
      </c>
      <c r="B3866" s="425" t="s">
        <v>3075</v>
      </c>
    </row>
    <row r="3867" spans="1:2" ht="15" hidden="1" x14ac:dyDescent="0.25">
      <c r="A3867" s="425" t="s">
        <v>3076</v>
      </c>
      <c r="B3867" s="425" t="s">
        <v>3077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204"/>
  <sheetViews>
    <sheetView showGridLines="0" topLeftCell="C171" zoomScale="80" zoomScaleNormal="80" workbookViewId="0">
      <selection activeCell="L5" sqref="L5:M202"/>
    </sheetView>
  </sheetViews>
  <sheetFormatPr defaultColWidth="9.140625" defaultRowHeight="21.95" customHeight="1" x14ac:dyDescent="0.2"/>
  <cols>
    <col min="1" max="1" width="13" style="4" customWidth="1"/>
    <col min="2" max="2" width="22.140625" style="4" customWidth="1"/>
    <col min="3" max="3" width="5" style="5" customWidth="1"/>
    <col min="4" max="4" width="14.5703125" style="6" customWidth="1"/>
    <col min="5" max="5" width="9" style="6" customWidth="1"/>
    <col min="6" max="6" width="16.5703125" style="6" bestFit="1" customWidth="1"/>
    <col min="7" max="7" width="16.5703125" style="5" bestFit="1" customWidth="1"/>
    <col min="8" max="8" width="29.140625" style="4" customWidth="1"/>
    <col min="9" max="9" width="43.85546875" style="77" customWidth="1"/>
    <col min="10" max="10" width="13" style="4" bestFit="1" customWidth="1"/>
    <col min="11" max="11" width="8.5703125" style="4" customWidth="1"/>
    <col min="12" max="73" width="10.85546875" style="81" customWidth="1"/>
    <col min="74" max="74" width="10.7109375" style="4" bestFit="1" customWidth="1"/>
    <col min="75" max="75" width="11" style="4" bestFit="1" customWidth="1"/>
    <col min="76" max="16384" width="9.140625" style="4"/>
  </cols>
  <sheetData>
    <row r="1" spans="1:75" ht="21.95" customHeight="1" thickBot="1" x14ac:dyDescent="0.25">
      <c r="A1" s="630" t="str">
        <f>'APONTAMENTO CREDENCIAMENTO'!A1</f>
        <v>Guaianases</v>
      </c>
      <c r="B1" s="630"/>
      <c r="C1" s="630"/>
      <c r="D1" s="630"/>
      <c r="E1" s="630"/>
      <c r="F1" s="630"/>
      <c r="G1" s="635" t="str">
        <f>'BASE C'!E4</f>
        <v>ABRIL</v>
      </c>
      <c r="H1" s="635"/>
      <c r="I1" s="629" t="s">
        <v>37</v>
      </c>
      <c r="J1" s="629"/>
      <c r="K1" s="7"/>
    </row>
    <row r="2" spans="1:75" s="76" customFormat="1" ht="21.95" customHeight="1" thickBot="1" x14ac:dyDescent="0.25">
      <c r="A2" s="630"/>
      <c r="B2" s="630"/>
      <c r="C2" s="630"/>
      <c r="D2" s="630"/>
      <c r="E2" s="630"/>
      <c r="F2" s="630"/>
      <c r="G2" s="636" t="s">
        <v>155</v>
      </c>
      <c r="H2" s="637"/>
      <c r="I2" s="629"/>
      <c r="J2" s="629"/>
      <c r="K2" s="7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</row>
    <row r="3" spans="1:75" s="8" customFormat="1" ht="21.95" customHeight="1" x14ac:dyDescent="0.2">
      <c r="B3" s="8">
        <f>A3+1</f>
        <v>1</v>
      </c>
      <c r="C3" s="8">
        <v>3</v>
      </c>
      <c r="D3" s="8">
        <v>3</v>
      </c>
      <c r="F3" s="8">
        <f>D3+1</f>
        <v>4</v>
      </c>
      <c r="G3" s="8">
        <v>5</v>
      </c>
      <c r="H3" s="76">
        <f>G3+1</f>
        <v>6</v>
      </c>
      <c r="I3" s="78">
        <f t="shared" ref="I3:K3" si="0">H3+1</f>
        <v>7</v>
      </c>
      <c r="J3" s="8">
        <f t="shared" si="0"/>
        <v>8</v>
      </c>
      <c r="K3" s="8">
        <f t="shared" si="0"/>
        <v>9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</row>
    <row r="4" spans="1:75" s="61" customFormat="1" ht="51.75" customHeight="1" x14ac:dyDescent="0.2">
      <c r="A4" s="190" t="s">
        <v>11</v>
      </c>
      <c r="B4" s="190" t="s">
        <v>17</v>
      </c>
      <c r="C4" s="190" t="s">
        <v>0</v>
      </c>
      <c r="D4" s="190" t="s">
        <v>14</v>
      </c>
      <c r="E4" s="190" t="s">
        <v>40</v>
      </c>
      <c r="F4" s="638" t="s">
        <v>16</v>
      </c>
      <c r="G4" s="638"/>
      <c r="H4" s="191" t="s">
        <v>12</v>
      </c>
      <c r="I4" s="192" t="s">
        <v>41</v>
      </c>
      <c r="J4" s="193" t="s">
        <v>42</v>
      </c>
      <c r="K4" s="122" t="s">
        <v>43</v>
      </c>
      <c r="L4" s="633">
        <f>F5</f>
        <v>46113</v>
      </c>
      <c r="M4" s="634"/>
      <c r="N4" s="631">
        <f>L4+1</f>
        <v>46114</v>
      </c>
      <c r="O4" s="631"/>
      <c r="P4" s="631">
        <f>N4+1</f>
        <v>46115</v>
      </c>
      <c r="Q4" s="631"/>
      <c r="R4" s="631">
        <f>P4+1</f>
        <v>46116</v>
      </c>
      <c r="S4" s="631"/>
      <c r="T4" s="631">
        <f>R4+1</f>
        <v>46117</v>
      </c>
      <c r="U4" s="631"/>
      <c r="V4" s="631">
        <f>T4+1</f>
        <v>46118</v>
      </c>
      <c r="W4" s="631"/>
      <c r="X4" s="632">
        <f>V4+1</f>
        <v>46119</v>
      </c>
      <c r="Y4" s="632"/>
      <c r="Z4" s="632">
        <f>X4+1</f>
        <v>46120</v>
      </c>
      <c r="AA4" s="632"/>
      <c r="AB4" s="631">
        <f>Z4+1</f>
        <v>46121</v>
      </c>
      <c r="AC4" s="631"/>
      <c r="AD4" s="631">
        <f>AB4+1</f>
        <v>46122</v>
      </c>
      <c r="AE4" s="631"/>
      <c r="AF4" s="631">
        <f>AD4+1</f>
        <v>46123</v>
      </c>
      <c r="AG4" s="631"/>
      <c r="AH4" s="631">
        <f>AF4+1</f>
        <v>46124</v>
      </c>
      <c r="AI4" s="631"/>
      <c r="AJ4" s="631">
        <f>AH4+1</f>
        <v>46125</v>
      </c>
      <c r="AK4" s="631"/>
      <c r="AL4" s="632">
        <f>AJ4+1</f>
        <v>46126</v>
      </c>
      <c r="AM4" s="632"/>
      <c r="AN4" s="632">
        <f>AL4+1</f>
        <v>46127</v>
      </c>
      <c r="AO4" s="632"/>
      <c r="AP4" s="631">
        <f>AN4+1</f>
        <v>46128</v>
      </c>
      <c r="AQ4" s="631"/>
      <c r="AR4" s="631">
        <f>AP4+1</f>
        <v>46129</v>
      </c>
      <c r="AS4" s="631"/>
      <c r="AT4" s="631">
        <f>AR4+1</f>
        <v>46130</v>
      </c>
      <c r="AU4" s="631"/>
      <c r="AV4" s="631">
        <f>AT4+1</f>
        <v>46131</v>
      </c>
      <c r="AW4" s="631"/>
      <c r="AX4" s="631">
        <f>AV4+1</f>
        <v>46132</v>
      </c>
      <c r="AY4" s="631"/>
      <c r="AZ4" s="632">
        <f>AX4+1</f>
        <v>46133</v>
      </c>
      <c r="BA4" s="632"/>
      <c r="BB4" s="632">
        <f>AZ4+1</f>
        <v>46134</v>
      </c>
      <c r="BC4" s="632"/>
      <c r="BD4" s="631">
        <f>BB4+1</f>
        <v>46135</v>
      </c>
      <c r="BE4" s="631"/>
      <c r="BF4" s="631">
        <f>BD4+1</f>
        <v>46136</v>
      </c>
      <c r="BG4" s="631"/>
      <c r="BH4" s="631">
        <f>BF4+1</f>
        <v>46137</v>
      </c>
      <c r="BI4" s="631"/>
      <c r="BJ4" s="631">
        <f>BH4+1</f>
        <v>46138</v>
      </c>
      <c r="BK4" s="631"/>
      <c r="BL4" s="631">
        <f>BJ4+1</f>
        <v>46139</v>
      </c>
      <c r="BM4" s="631"/>
      <c r="BN4" s="632">
        <f>BL4+1</f>
        <v>46140</v>
      </c>
      <c r="BO4" s="632"/>
      <c r="BP4" s="632">
        <f t="shared" ref="BP4" si="1">BN4+1</f>
        <v>46141</v>
      </c>
      <c r="BQ4" s="632"/>
      <c r="BR4" s="631">
        <f t="shared" ref="BR4" si="2">BP4+1</f>
        <v>46142</v>
      </c>
      <c r="BS4" s="631"/>
      <c r="BT4" s="631"/>
      <c r="BU4" s="631"/>
      <c r="BV4" s="196" t="s">
        <v>135</v>
      </c>
      <c r="BW4" s="179" t="s">
        <v>136</v>
      </c>
    </row>
    <row r="5" spans="1:75" s="9" customFormat="1" ht="21.95" customHeight="1" thickBot="1" x14ac:dyDescent="0.25">
      <c r="A5" s="124"/>
      <c r="B5" s="125"/>
      <c r="C5" s="125"/>
      <c r="D5" s="125"/>
      <c r="E5" s="125"/>
      <c r="F5" s="285">
        <f>'VALORES TABELA'!$B$11</f>
        <v>46113</v>
      </c>
      <c r="G5" s="286">
        <f>'VALORES TABELA'!$C$11</f>
        <v>46142</v>
      </c>
      <c r="H5" s="126"/>
      <c r="I5" s="127"/>
      <c r="J5" s="128"/>
      <c r="K5" s="128"/>
      <c r="L5" s="194" t="s">
        <v>137</v>
      </c>
      <c r="M5" s="195" t="s">
        <v>138</v>
      </c>
      <c r="N5" s="194" t="s">
        <v>137</v>
      </c>
      <c r="O5" s="195" t="s">
        <v>138</v>
      </c>
      <c r="P5" s="194" t="s">
        <v>137</v>
      </c>
      <c r="Q5" s="195" t="s">
        <v>138</v>
      </c>
      <c r="R5" s="194" t="s">
        <v>137</v>
      </c>
      <c r="S5" s="195" t="s">
        <v>138</v>
      </c>
      <c r="T5" s="194" t="s">
        <v>137</v>
      </c>
      <c r="U5" s="195" t="s">
        <v>138</v>
      </c>
      <c r="V5" s="194" t="s">
        <v>137</v>
      </c>
      <c r="W5" s="195" t="s">
        <v>138</v>
      </c>
      <c r="X5" s="194" t="s">
        <v>137</v>
      </c>
      <c r="Y5" s="195" t="s">
        <v>138</v>
      </c>
      <c r="Z5" s="194" t="s">
        <v>137</v>
      </c>
      <c r="AA5" s="195" t="s">
        <v>138</v>
      </c>
      <c r="AB5" s="194" t="s">
        <v>137</v>
      </c>
      <c r="AC5" s="195" t="s">
        <v>138</v>
      </c>
      <c r="AD5" s="194" t="s">
        <v>137</v>
      </c>
      <c r="AE5" s="195" t="s">
        <v>138</v>
      </c>
      <c r="AF5" s="194" t="s">
        <v>137</v>
      </c>
      <c r="AG5" s="195" t="s">
        <v>138</v>
      </c>
      <c r="AH5" s="194" t="s">
        <v>137</v>
      </c>
      <c r="AI5" s="195" t="s">
        <v>138</v>
      </c>
      <c r="AJ5" s="194" t="s">
        <v>137</v>
      </c>
      <c r="AK5" s="195" t="s">
        <v>138</v>
      </c>
      <c r="AL5" s="194" t="s">
        <v>137</v>
      </c>
      <c r="AM5" s="195" t="s">
        <v>138</v>
      </c>
      <c r="AN5" s="194" t="s">
        <v>137</v>
      </c>
      <c r="AO5" s="195" t="s">
        <v>138</v>
      </c>
      <c r="AP5" s="194" t="s">
        <v>137</v>
      </c>
      <c r="AQ5" s="195" t="s">
        <v>138</v>
      </c>
      <c r="AR5" s="194" t="s">
        <v>137</v>
      </c>
      <c r="AS5" s="195" t="s">
        <v>138</v>
      </c>
      <c r="AT5" s="194" t="s">
        <v>137</v>
      </c>
      <c r="AU5" s="195" t="s">
        <v>138</v>
      </c>
      <c r="AV5" s="194" t="s">
        <v>137</v>
      </c>
      <c r="AW5" s="195" t="s">
        <v>138</v>
      </c>
      <c r="AX5" s="194" t="s">
        <v>137</v>
      </c>
      <c r="AY5" s="195" t="s">
        <v>138</v>
      </c>
      <c r="AZ5" s="194" t="s">
        <v>137</v>
      </c>
      <c r="BA5" s="195" t="s">
        <v>138</v>
      </c>
      <c r="BB5" s="194" t="s">
        <v>137</v>
      </c>
      <c r="BC5" s="195" t="s">
        <v>138</v>
      </c>
      <c r="BD5" s="194" t="s">
        <v>137</v>
      </c>
      <c r="BE5" s="195" t="s">
        <v>138</v>
      </c>
      <c r="BF5" s="194"/>
      <c r="BG5" s="195" t="s">
        <v>138</v>
      </c>
      <c r="BH5" s="194" t="s">
        <v>137</v>
      </c>
      <c r="BI5" s="195"/>
      <c r="BJ5" s="194" t="s">
        <v>137</v>
      </c>
      <c r="BK5" s="195" t="s">
        <v>138</v>
      </c>
      <c r="BL5" s="194" t="s">
        <v>137</v>
      </c>
      <c r="BM5" s="195" t="s">
        <v>138</v>
      </c>
      <c r="BN5" s="194" t="s">
        <v>137</v>
      </c>
      <c r="BO5" s="195" t="s">
        <v>138</v>
      </c>
      <c r="BP5" s="194" t="s">
        <v>137</v>
      </c>
      <c r="BQ5" s="195" t="s">
        <v>138</v>
      </c>
      <c r="BR5" s="194" t="s">
        <v>137</v>
      </c>
      <c r="BS5" s="195" t="s">
        <v>138</v>
      </c>
      <c r="BT5" s="194" t="s">
        <v>137</v>
      </c>
      <c r="BU5" s="195" t="s">
        <v>138</v>
      </c>
      <c r="BV5" s="180"/>
      <c r="BW5" s="180"/>
    </row>
    <row r="6" spans="1:75" s="62" customFormat="1" ht="21.95" customHeight="1" x14ac:dyDescent="0.25">
      <c r="A6" s="344" t="s">
        <v>3177</v>
      </c>
      <c r="B6" s="433" t="s">
        <v>3178</v>
      </c>
      <c r="C6" s="434">
        <v>1</v>
      </c>
      <c r="D6" s="435" t="s">
        <v>3179</v>
      </c>
      <c r="E6" s="345" t="s">
        <v>3180</v>
      </c>
      <c r="F6" s="436" t="s">
        <v>3166</v>
      </c>
      <c r="G6" s="436" t="s">
        <v>3167</v>
      </c>
      <c r="H6" s="437" t="s">
        <v>1463</v>
      </c>
      <c r="I6" s="303" t="s">
        <v>1463</v>
      </c>
      <c r="J6" s="273" t="s">
        <v>3168</v>
      </c>
      <c r="K6" s="274" t="s">
        <v>3169</v>
      </c>
      <c r="L6" s="321">
        <v>0</v>
      </c>
      <c r="M6" s="322">
        <v>0</v>
      </c>
      <c r="N6" s="321">
        <v>0</v>
      </c>
      <c r="O6" s="322">
        <v>0</v>
      </c>
      <c r="P6" s="321">
        <v>0</v>
      </c>
      <c r="Q6" s="322">
        <v>0</v>
      </c>
      <c r="R6" s="321"/>
      <c r="S6" s="322"/>
      <c r="T6" s="321"/>
      <c r="U6" s="322"/>
      <c r="V6" s="321">
        <v>0</v>
      </c>
      <c r="W6" s="322">
        <v>0</v>
      </c>
      <c r="X6" s="321">
        <v>0</v>
      </c>
      <c r="Y6" s="322">
        <v>0</v>
      </c>
      <c r="Z6" s="321">
        <v>0</v>
      </c>
      <c r="AA6" s="322">
        <v>0</v>
      </c>
      <c r="AB6" s="321">
        <v>0</v>
      </c>
      <c r="AC6" s="322">
        <v>0</v>
      </c>
      <c r="AD6" s="321">
        <v>0</v>
      </c>
      <c r="AE6" s="322">
        <v>0</v>
      </c>
      <c r="AF6" s="321"/>
      <c r="AG6" s="322"/>
      <c r="AH6" s="321"/>
      <c r="AI6" s="322"/>
      <c r="AJ6" s="321">
        <v>0</v>
      </c>
      <c r="AK6" s="322">
        <v>0</v>
      </c>
      <c r="AL6" s="321">
        <v>0</v>
      </c>
      <c r="AM6" s="322">
        <v>0</v>
      </c>
      <c r="AN6" s="321">
        <v>0</v>
      </c>
      <c r="AO6" s="322">
        <v>0</v>
      </c>
      <c r="AP6" s="321">
        <v>0</v>
      </c>
      <c r="AQ6" s="322">
        <v>0</v>
      </c>
      <c r="AR6" s="321">
        <v>0</v>
      </c>
      <c r="AS6" s="322">
        <v>0</v>
      </c>
      <c r="AT6" s="321"/>
      <c r="AU6" s="322"/>
      <c r="AV6" s="321"/>
      <c r="AW6" s="322"/>
      <c r="AX6" s="321">
        <v>0</v>
      </c>
      <c r="AY6" s="322">
        <v>0</v>
      </c>
      <c r="AZ6" s="321">
        <v>0</v>
      </c>
      <c r="BA6" s="322">
        <v>0</v>
      </c>
      <c r="BB6" s="321">
        <v>0</v>
      </c>
      <c r="BC6" s="322">
        <v>0</v>
      </c>
      <c r="BD6" s="321">
        <v>0</v>
      </c>
      <c r="BE6" s="322">
        <v>0</v>
      </c>
      <c r="BF6" s="321">
        <v>0</v>
      </c>
      <c r="BG6" s="322">
        <v>0</v>
      </c>
      <c r="BH6" s="321"/>
      <c r="BI6" s="322"/>
      <c r="BJ6" s="321"/>
      <c r="BK6" s="322"/>
      <c r="BL6" s="321">
        <v>0</v>
      </c>
      <c r="BM6" s="322">
        <v>0</v>
      </c>
      <c r="BN6" s="321">
        <v>0</v>
      </c>
      <c r="BO6" s="322">
        <v>0</v>
      </c>
      <c r="BP6" s="321">
        <v>0</v>
      </c>
      <c r="BQ6" s="322">
        <v>0</v>
      </c>
      <c r="BR6" s="321">
        <v>0</v>
      </c>
      <c r="BS6" s="322">
        <v>0</v>
      </c>
      <c r="BT6" s="321"/>
      <c r="BU6" s="322"/>
      <c r="BV6" s="264">
        <f>L6+N6+P6+R6+T6+V6+X6+Z6+AB6+AD6+AF6+AH6+AJ6+AL6+AN6+AP6+AR6+AT6+AV6+AX6+AZ6+BB6+BD6+BF6+BH6+BJ6+BL6+BN6+BP6+BR6+BT6</f>
        <v>0</v>
      </c>
      <c r="BW6" s="264">
        <f>M6+O6+Q6+S6+U6+W6+Y6+AA6+AC6+AE6+AG6+AI6+AK6+AM6+AO6+AQ6+AS6+AU6+AW6+AY6+BA6+BC6+BE6+BG6+BI6+BK6+BM6+BO6+BQ6+BS6+BU6</f>
        <v>0</v>
      </c>
    </row>
    <row r="7" spans="1:75" s="62" customFormat="1" ht="21.95" customHeight="1" x14ac:dyDescent="0.2">
      <c r="A7" s="304" t="s">
        <v>3177</v>
      </c>
      <c r="B7" s="305" t="s">
        <v>3178</v>
      </c>
      <c r="C7" s="272" t="s">
        <v>3170</v>
      </c>
      <c r="D7" s="306" t="s">
        <v>3179</v>
      </c>
      <c r="E7" s="307" t="s">
        <v>3180</v>
      </c>
      <c r="F7" s="308" t="s">
        <v>3166</v>
      </c>
      <c r="G7" s="308" t="s">
        <v>3167</v>
      </c>
      <c r="H7" s="309" t="s">
        <v>1463</v>
      </c>
      <c r="I7" s="310" t="s">
        <v>1463</v>
      </c>
      <c r="J7" s="273" t="s">
        <v>3168</v>
      </c>
      <c r="K7" s="273" t="s">
        <v>3171</v>
      </c>
      <c r="L7" s="319">
        <v>0</v>
      </c>
      <c r="M7" s="320">
        <v>0</v>
      </c>
      <c r="N7" s="319">
        <v>0</v>
      </c>
      <c r="O7" s="320">
        <v>0</v>
      </c>
      <c r="P7" s="319">
        <v>0</v>
      </c>
      <c r="Q7" s="320">
        <v>0</v>
      </c>
      <c r="R7" s="319"/>
      <c r="S7" s="320"/>
      <c r="T7" s="319"/>
      <c r="U7" s="320"/>
      <c r="V7" s="319">
        <v>0</v>
      </c>
      <c r="W7" s="320">
        <v>0</v>
      </c>
      <c r="X7" s="319">
        <v>0</v>
      </c>
      <c r="Y7" s="320">
        <v>0</v>
      </c>
      <c r="Z7" s="319">
        <v>0</v>
      </c>
      <c r="AA7" s="320">
        <v>0</v>
      </c>
      <c r="AB7" s="319">
        <v>0</v>
      </c>
      <c r="AC7" s="320">
        <v>0</v>
      </c>
      <c r="AD7" s="319">
        <v>0</v>
      </c>
      <c r="AE7" s="320">
        <v>0</v>
      </c>
      <c r="AF7" s="319"/>
      <c r="AG7" s="320"/>
      <c r="AH7" s="319"/>
      <c r="AI7" s="320"/>
      <c r="AJ7" s="319">
        <v>0</v>
      </c>
      <c r="AK7" s="320">
        <v>0</v>
      </c>
      <c r="AL7" s="319">
        <v>0</v>
      </c>
      <c r="AM7" s="320">
        <v>0</v>
      </c>
      <c r="AN7" s="319">
        <v>0</v>
      </c>
      <c r="AO7" s="320">
        <v>0</v>
      </c>
      <c r="AP7" s="319">
        <v>0</v>
      </c>
      <c r="AQ7" s="320">
        <v>0</v>
      </c>
      <c r="AR7" s="319">
        <v>0</v>
      </c>
      <c r="AS7" s="320">
        <v>0</v>
      </c>
      <c r="AT7" s="319"/>
      <c r="AU7" s="320"/>
      <c r="AV7" s="319"/>
      <c r="AW7" s="320"/>
      <c r="AX7" s="319">
        <v>0</v>
      </c>
      <c r="AY7" s="320">
        <v>0</v>
      </c>
      <c r="AZ7" s="319">
        <v>0</v>
      </c>
      <c r="BA7" s="320">
        <v>0</v>
      </c>
      <c r="BB7" s="319">
        <v>0</v>
      </c>
      <c r="BC7" s="320">
        <v>0</v>
      </c>
      <c r="BD7" s="319">
        <v>0</v>
      </c>
      <c r="BE7" s="320">
        <v>0</v>
      </c>
      <c r="BF7" s="319">
        <v>0</v>
      </c>
      <c r="BG7" s="320">
        <v>0</v>
      </c>
      <c r="BH7" s="319"/>
      <c r="BI7" s="320"/>
      <c r="BJ7" s="319"/>
      <c r="BK7" s="320"/>
      <c r="BL7" s="319">
        <v>0</v>
      </c>
      <c r="BM7" s="320">
        <v>0</v>
      </c>
      <c r="BN7" s="319">
        <v>0</v>
      </c>
      <c r="BO7" s="320">
        <v>0</v>
      </c>
      <c r="BP7" s="319">
        <v>0</v>
      </c>
      <c r="BQ7" s="320">
        <v>0</v>
      </c>
      <c r="BR7" s="319">
        <v>0</v>
      </c>
      <c r="BS7" s="320">
        <v>0</v>
      </c>
      <c r="BT7" s="319"/>
      <c r="BU7" s="320"/>
      <c r="BV7" s="264">
        <f t="shared" ref="BV7:BV10" si="3">L7+N7+P7+R7+T7+V7+X7+Z7+AB7+AD7+AF7+AH7+AJ7+AL7+AN7+AP7+AR7+AT7+AV7+AX7+AZ7+BB7+BD7+BF7+BH7+BJ7+BL7+BN7+BP7+BR7+BT7</f>
        <v>0</v>
      </c>
      <c r="BW7" s="264">
        <f t="shared" ref="BW7:BW10" si="4">M7+O7+Q7+S7+U7+W7+Y7+AA7+AC7+AE7+AG7+AI7+AK7+AM7+AO7+AQ7+AS7+AU7+AW7+AY7+BA7+BC7+BE7+BG7+BI7+BK7+BM7+BO7+BQ7+BS7+BU7</f>
        <v>0</v>
      </c>
    </row>
    <row r="8" spans="1:75" s="62" customFormat="1" ht="21.95" customHeight="1" x14ac:dyDescent="0.2">
      <c r="A8" s="304" t="s">
        <v>3177</v>
      </c>
      <c r="B8" s="305" t="s">
        <v>3178</v>
      </c>
      <c r="C8" s="311" t="s">
        <v>3170</v>
      </c>
      <c r="D8" s="306" t="s">
        <v>3179</v>
      </c>
      <c r="E8" s="307" t="s">
        <v>3180</v>
      </c>
      <c r="F8" s="308" t="s">
        <v>3166</v>
      </c>
      <c r="G8" s="308" t="s">
        <v>3167</v>
      </c>
      <c r="H8" s="309" t="s">
        <v>1463</v>
      </c>
      <c r="I8" s="310" t="s">
        <v>1463</v>
      </c>
      <c r="J8" s="273" t="s">
        <v>3168</v>
      </c>
      <c r="K8" s="275" t="s">
        <v>3172</v>
      </c>
      <c r="L8" s="319">
        <v>0</v>
      </c>
      <c r="M8" s="320">
        <v>0</v>
      </c>
      <c r="N8" s="319">
        <v>0</v>
      </c>
      <c r="O8" s="320">
        <v>0</v>
      </c>
      <c r="P8" s="319">
        <v>0</v>
      </c>
      <c r="Q8" s="320">
        <v>0</v>
      </c>
      <c r="R8" s="319"/>
      <c r="S8" s="320"/>
      <c r="T8" s="319"/>
      <c r="U8" s="320"/>
      <c r="V8" s="319">
        <v>0</v>
      </c>
      <c r="W8" s="320">
        <v>0</v>
      </c>
      <c r="X8" s="319">
        <v>0</v>
      </c>
      <c r="Y8" s="320">
        <v>0</v>
      </c>
      <c r="Z8" s="319">
        <v>0</v>
      </c>
      <c r="AA8" s="320">
        <v>0</v>
      </c>
      <c r="AB8" s="319">
        <v>0</v>
      </c>
      <c r="AC8" s="320">
        <v>0</v>
      </c>
      <c r="AD8" s="319">
        <v>0</v>
      </c>
      <c r="AE8" s="320">
        <v>0</v>
      </c>
      <c r="AF8" s="319"/>
      <c r="AG8" s="320"/>
      <c r="AH8" s="319"/>
      <c r="AI8" s="320"/>
      <c r="AJ8" s="319">
        <v>0</v>
      </c>
      <c r="AK8" s="320">
        <v>0</v>
      </c>
      <c r="AL8" s="319">
        <v>0</v>
      </c>
      <c r="AM8" s="320">
        <v>0</v>
      </c>
      <c r="AN8" s="319">
        <v>0</v>
      </c>
      <c r="AO8" s="320">
        <v>0</v>
      </c>
      <c r="AP8" s="319">
        <v>0</v>
      </c>
      <c r="AQ8" s="320">
        <v>0</v>
      </c>
      <c r="AR8" s="319">
        <v>0</v>
      </c>
      <c r="AS8" s="320">
        <v>0</v>
      </c>
      <c r="AT8" s="319"/>
      <c r="AU8" s="320"/>
      <c r="AV8" s="319"/>
      <c r="AW8" s="320"/>
      <c r="AX8" s="319">
        <v>0</v>
      </c>
      <c r="AY8" s="320">
        <v>0</v>
      </c>
      <c r="AZ8" s="319">
        <v>0</v>
      </c>
      <c r="BA8" s="320">
        <v>0</v>
      </c>
      <c r="BB8" s="319">
        <v>0</v>
      </c>
      <c r="BC8" s="320">
        <v>0</v>
      </c>
      <c r="BD8" s="319">
        <v>0</v>
      </c>
      <c r="BE8" s="320">
        <v>0</v>
      </c>
      <c r="BF8" s="319">
        <v>0</v>
      </c>
      <c r="BG8" s="320">
        <v>0</v>
      </c>
      <c r="BH8" s="319"/>
      <c r="BI8" s="320"/>
      <c r="BJ8" s="319"/>
      <c r="BK8" s="320"/>
      <c r="BL8" s="319">
        <v>0</v>
      </c>
      <c r="BM8" s="320">
        <v>0</v>
      </c>
      <c r="BN8" s="319">
        <v>0</v>
      </c>
      <c r="BO8" s="320">
        <v>0</v>
      </c>
      <c r="BP8" s="319">
        <v>0</v>
      </c>
      <c r="BQ8" s="320">
        <v>0</v>
      </c>
      <c r="BR8" s="319">
        <v>0</v>
      </c>
      <c r="BS8" s="320">
        <v>0</v>
      </c>
      <c r="BT8" s="319"/>
      <c r="BU8" s="320"/>
      <c r="BV8" s="264">
        <f t="shared" si="3"/>
        <v>0</v>
      </c>
      <c r="BW8" s="264">
        <f t="shared" si="4"/>
        <v>0</v>
      </c>
    </row>
    <row r="9" spans="1:75" s="62" customFormat="1" ht="21.95" customHeight="1" x14ac:dyDescent="0.2">
      <c r="A9" s="304" t="s">
        <v>3177</v>
      </c>
      <c r="B9" s="305" t="s">
        <v>3178</v>
      </c>
      <c r="C9" s="311" t="s">
        <v>3170</v>
      </c>
      <c r="D9" s="306" t="s">
        <v>3179</v>
      </c>
      <c r="E9" s="307" t="s">
        <v>3180</v>
      </c>
      <c r="F9" s="308" t="s">
        <v>3166</v>
      </c>
      <c r="G9" s="308" t="s">
        <v>3167</v>
      </c>
      <c r="H9" s="309" t="s">
        <v>1463</v>
      </c>
      <c r="I9" s="310" t="s">
        <v>1463</v>
      </c>
      <c r="J9" s="273" t="s">
        <v>3168</v>
      </c>
      <c r="K9" s="276" t="s">
        <v>3173</v>
      </c>
      <c r="L9" s="319">
        <v>0</v>
      </c>
      <c r="M9" s="320">
        <v>0</v>
      </c>
      <c r="N9" s="319">
        <v>0</v>
      </c>
      <c r="O9" s="320">
        <v>0</v>
      </c>
      <c r="P9" s="319">
        <v>0</v>
      </c>
      <c r="Q9" s="320">
        <v>0</v>
      </c>
      <c r="R9" s="319"/>
      <c r="S9" s="320"/>
      <c r="T9" s="319"/>
      <c r="U9" s="320"/>
      <c r="V9" s="319">
        <v>0</v>
      </c>
      <c r="W9" s="320">
        <v>0</v>
      </c>
      <c r="X9" s="319">
        <v>0</v>
      </c>
      <c r="Y9" s="320">
        <v>0</v>
      </c>
      <c r="Z9" s="319">
        <v>0</v>
      </c>
      <c r="AA9" s="320">
        <v>0</v>
      </c>
      <c r="AB9" s="319">
        <v>0</v>
      </c>
      <c r="AC9" s="320">
        <v>0</v>
      </c>
      <c r="AD9" s="319">
        <v>0</v>
      </c>
      <c r="AE9" s="320">
        <v>0</v>
      </c>
      <c r="AF9" s="319"/>
      <c r="AG9" s="320"/>
      <c r="AH9" s="319"/>
      <c r="AI9" s="320"/>
      <c r="AJ9" s="319">
        <v>0</v>
      </c>
      <c r="AK9" s="320">
        <v>0</v>
      </c>
      <c r="AL9" s="319">
        <v>0</v>
      </c>
      <c r="AM9" s="320">
        <v>0</v>
      </c>
      <c r="AN9" s="319">
        <v>0</v>
      </c>
      <c r="AO9" s="320">
        <v>0</v>
      </c>
      <c r="AP9" s="319">
        <v>0</v>
      </c>
      <c r="AQ9" s="320">
        <v>0</v>
      </c>
      <c r="AR9" s="319">
        <v>0</v>
      </c>
      <c r="AS9" s="320">
        <v>0</v>
      </c>
      <c r="AT9" s="319"/>
      <c r="AU9" s="320"/>
      <c r="AV9" s="319"/>
      <c r="AW9" s="320"/>
      <c r="AX9" s="319">
        <v>0</v>
      </c>
      <c r="AY9" s="320">
        <v>0</v>
      </c>
      <c r="AZ9" s="319">
        <v>0</v>
      </c>
      <c r="BA9" s="320">
        <v>0</v>
      </c>
      <c r="BB9" s="319">
        <v>0</v>
      </c>
      <c r="BC9" s="320">
        <v>0</v>
      </c>
      <c r="BD9" s="319">
        <v>0</v>
      </c>
      <c r="BE9" s="320">
        <v>0</v>
      </c>
      <c r="BF9" s="319">
        <v>0</v>
      </c>
      <c r="BG9" s="320">
        <v>0</v>
      </c>
      <c r="BH9" s="319"/>
      <c r="BI9" s="320"/>
      <c r="BJ9" s="319"/>
      <c r="BK9" s="320"/>
      <c r="BL9" s="319">
        <v>0</v>
      </c>
      <c r="BM9" s="320">
        <v>0</v>
      </c>
      <c r="BN9" s="319">
        <v>0</v>
      </c>
      <c r="BO9" s="320">
        <v>0</v>
      </c>
      <c r="BP9" s="319">
        <v>0</v>
      </c>
      <c r="BQ9" s="320">
        <v>0</v>
      </c>
      <c r="BR9" s="319">
        <v>0</v>
      </c>
      <c r="BS9" s="320">
        <v>0</v>
      </c>
      <c r="BT9" s="319"/>
      <c r="BU9" s="320"/>
      <c r="BV9" s="264">
        <f t="shared" si="3"/>
        <v>0</v>
      </c>
      <c r="BW9" s="264">
        <f t="shared" si="4"/>
        <v>0</v>
      </c>
    </row>
    <row r="10" spans="1:75" s="62" customFormat="1" ht="21.95" customHeight="1" thickBot="1" x14ac:dyDescent="0.25">
      <c r="A10" s="567" t="s">
        <v>3177</v>
      </c>
      <c r="B10" s="312" t="s">
        <v>3178</v>
      </c>
      <c r="C10" s="313" t="s">
        <v>3170</v>
      </c>
      <c r="D10" s="314" t="s">
        <v>3179</v>
      </c>
      <c r="E10" s="330" t="s">
        <v>3180</v>
      </c>
      <c r="F10" s="315" t="s">
        <v>3166</v>
      </c>
      <c r="G10" s="315" t="s">
        <v>3167</v>
      </c>
      <c r="H10" s="316" t="s">
        <v>1463</v>
      </c>
      <c r="I10" s="568" t="s">
        <v>1463</v>
      </c>
      <c r="J10" s="273" t="s">
        <v>3168</v>
      </c>
      <c r="K10" s="277" t="s">
        <v>53</v>
      </c>
      <c r="L10" s="321">
        <v>0</v>
      </c>
      <c r="M10" s="322">
        <v>0</v>
      </c>
      <c r="N10" s="321">
        <v>0</v>
      </c>
      <c r="O10" s="322">
        <v>0</v>
      </c>
      <c r="P10" s="321">
        <v>0</v>
      </c>
      <c r="Q10" s="322">
        <v>0</v>
      </c>
      <c r="R10" s="321"/>
      <c r="S10" s="322"/>
      <c r="T10" s="321"/>
      <c r="U10" s="322"/>
      <c r="V10" s="321">
        <v>0</v>
      </c>
      <c r="W10" s="322">
        <v>0</v>
      </c>
      <c r="X10" s="321">
        <v>0</v>
      </c>
      <c r="Y10" s="322">
        <v>0</v>
      </c>
      <c r="Z10" s="321">
        <v>0</v>
      </c>
      <c r="AA10" s="322">
        <v>0</v>
      </c>
      <c r="AB10" s="321">
        <v>0</v>
      </c>
      <c r="AC10" s="322">
        <v>0</v>
      </c>
      <c r="AD10" s="321">
        <v>0</v>
      </c>
      <c r="AE10" s="322">
        <v>0</v>
      </c>
      <c r="AF10" s="321"/>
      <c r="AG10" s="322"/>
      <c r="AH10" s="321"/>
      <c r="AI10" s="322"/>
      <c r="AJ10" s="321">
        <v>0</v>
      </c>
      <c r="AK10" s="322">
        <v>0</v>
      </c>
      <c r="AL10" s="321">
        <v>0</v>
      </c>
      <c r="AM10" s="322">
        <v>0</v>
      </c>
      <c r="AN10" s="321">
        <v>0</v>
      </c>
      <c r="AO10" s="322">
        <v>0</v>
      </c>
      <c r="AP10" s="321">
        <v>0</v>
      </c>
      <c r="AQ10" s="322">
        <v>0</v>
      </c>
      <c r="AR10" s="321">
        <v>0</v>
      </c>
      <c r="AS10" s="322">
        <v>0</v>
      </c>
      <c r="AT10" s="321"/>
      <c r="AU10" s="322"/>
      <c r="AV10" s="321"/>
      <c r="AW10" s="322"/>
      <c r="AX10" s="321">
        <v>0</v>
      </c>
      <c r="AY10" s="322">
        <v>0</v>
      </c>
      <c r="AZ10" s="321">
        <v>0</v>
      </c>
      <c r="BA10" s="322">
        <v>0</v>
      </c>
      <c r="BB10" s="321">
        <v>0</v>
      </c>
      <c r="BC10" s="322">
        <v>0</v>
      </c>
      <c r="BD10" s="321">
        <v>0</v>
      </c>
      <c r="BE10" s="322">
        <v>0</v>
      </c>
      <c r="BF10" s="321">
        <v>0</v>
      </c>
      <c r="BG10" s="322">
        <v>0</v>
      </c>
      <c r="BH10" s="321"/>
      <c r="BI10" s="322"/>
      <c r="BJ10" s="321"/>
      <c r="BK10" s="322"/>
      <c r="BL10" s="321">
        <v>0</v>
      </c>
      <c r="BM10" s="322">
        <v>0</v>
      </c>
      <c r="BN10" s="321">
        <v>0</v>
      </c>
      <c r="BO10" s="322">
        <v>0</v>
      </c>
      <c r="BP10" s="321">
        <v>0</v>
      </c>
      <c r="BQ10" s="322">
        <v>0</v>
      </c>
      <c r="BR10" s="321">
        <v>0</v>
      </c>
      <c r="BS10" s="322">
        <v>0</v>
      </c>
      <c r="BT10" s="321"/>
      <c r="BU10" s="322"/>
      <c r="BV10" s="264">
        <f t="shared" si="3"/>
        <v>0</v>
      </c>
      <c r="BW10" s="264">
        <f t="shared" si="4"/>
        <v>0</v>
      </c>
    </row>
    <row r="11" spans="1:75" s="62" customFormat="1" ht="21.95" customHeight="1" x14ac:dyDescent="0.25">
      <c r="A11" s="344" t="s">
        <v>3181</v>
      </c>
      <c r="B11" s="433" t="s">
        <v>3182</v>
      </c>
      <c r="C11" s="434">
        <v>1</v>
      </c>
      <c r="D11" s="435" t="s">
        <v>3183</v>
      </c>
      <c r="E11" s="345" t="s">
        <v>3184</v>
      </c>
      <c r="F11" s="436" t="s">
        <v>3166</v>
      </c>
      <c r="G11" s="436" t="s">
        <v>3167</v>
      </c>
      <c r="H11" s="437" t="s">
        <v>1466</v>
      </c>
      <c r="I11" s="303" t="s">
        <v>1466</v>
      </c>
      <c r="J11" s="273" t="s">
        <v>3168</v>
      </c>
      <c r="K11" s="274" t="s">
        <v>3169</v>
      </c>
      <c r="L11" s="321">
        <v>0</v>
      </c>
      <c r="M11" s="322">
        <v>0</v>
      </c>
      <c r="N11" s="321">
        <v>0</v>
      </c>
      <c r="O11" s="322">
        <v>0</v>
      </c>
      <c r="P11" s="321">
        <v>0</v>
      </c>
      <c r="Q11" s="322">
        <v>0</v>
      </c>
      <c r="R11" s="321"/>
      <c r="S11" s="322"/>
      <c r="T11" s="321"/>
      <c r="U11" s="322"/>
      <c r="V11" s="321">
        <v>0</v>
      </c>
      <c r="W11" s="322">
        <v>0</v>
      </c>
      <c r="X11" s="321">
        <v>0</v>
      </c>
      <c r="Y11" s="322">
        <v>0</v>
      </c>
      <c r="Z11" s="321">
        <v>0</v>
      </c>
      <c r="AA11" s="322">
        <v>0</v>
      </c>
      <c r="AB11" s="321">
        <v>0</v>
      </c>
      <c r="AC11" s="322">
        <v>0</v>
      </c>
      <c r="AD11" s="321">
        <v>0</v>
      </c>
      <c r="AE11" s="322">
        <v>0</v>
      </c>
      <c r="AF11" s="321"/>
      <c r="AG11" s="322"/>
      <c r="AH11" s="321"/>
      <c r="AI11" s="322"/>
      <c r="AJ11" s="321">
        <v>0</v>
      </c>
      <c r="AK11" s="322">
        <v>0</v>
      </c>
      <c r="AL11" s="321">
        <v>0</v>
      </c>
      <c r="AM11" s="322">
        <v>0</v>
      </c>
      <c r="AN11" s="321">
        <v>0</v>
      </c>
      <c r="AO11" s="322">
        <v>0</v>
      </c>
      <c r="AP11" s="321">
        <v>0</v>
      </c>
      <c r="AQ11" s="322">
        <v>0</v>
      </c>
      <c r="AR11" s="321">
        <v>0</v>
      </c>
      <c r="AS11" s="322">
        <v>0</v>
      </c>
      <c r="AT11" s="321"/>
      <c r="AU11" s="322"/>
      <c r="AV11" s="321"/>
      <c r="AW11" s="322"/>
      <c r="AX11" s="321">
        <v>0</v>
      </c>
      <c r="AY11" s="322">
        <v>0</v>
      </c>
      <c r="AZ11" s="321">
        <v>0</v>
      </c>
      <c r="BA11" s="322">
        <v>0</v>
      </c>
      <c r="BB11" s="321">
        <v>0</v>
      </c>
      <c r="BC11" s="322">
        <v>0</v>
      </c>
      <c r="BD11" s="321">
        <v>0</v>
      </c>
      <c r="BE11" s="322">
        <v>0</v>
      </c>
      <c r="BF11" s="321">
        <v>0</v>
      </c>
      <c r="BG11" s="322">
        <v>0</v>
      </c>
      <c r="BH11" s="321"/>
      <c r="BI11" s="322"/>
      <c r="BJ11" s="321"/>
      <c r="BK11" s="322"/>
      <c r="BL11" s="321">
        <v>0</v>
      </c>
      <c r="BM11" s="322">
        <v>0</v>
      </c>
      <c r="BN11" s="321">
        <v>0</v>
      </c>
      <c r="BO11" s="322">
        <v>0</v>
      </c>
      <c r="BP11" s="321">
        <v>0</v>
      </c>
      <c r="BQ11" s="322">
        <v>0</v>
      </c>
      <c r="BR11" s="321">
        <v>0</v>
      </c>
      <c r="BS11" s="322">
        <v>0</v>
      </c>
      <c r="BT11" s="321"/>
      <c r="BU11" s="322"/>
      <c r="BV11" s="264">
        <f>L11+N11+P11+R11+T11+V11+X11+Z11+AB11+AD11+AF11+AH11+AJ11+AL11+AN11+AP11+AR11+AT11+AV11+AX11+AZ11+BB11+BD11+BF11+BH11+BJ11+BL11+BN11+BP11+BR11+BT11</f>
        <v>0</v>
      </c>
      <c r="BW11" s="264">
        <f>M11+O11+Q11+S11+U11+W11+Y11+AA11+AC11+AE11+AG11+AI11+AK11+AM11+AO11+AQ11+AS11+AU11+AW11+AY11+BA11+BC11+BE11+BG11+BI11+BK11+BM11+BO11+BQ11+BS11+BU11</f>
        <v>0</v>
      </c>
    </row>
    <row r="12" spans="1:75" s="62" customFormat="1" ht="21.95" customHeight="1" x14ac:dyDescent="0.2">
      <c r="A12" s="304" t="s">
        <v>3181</v>
      </c>
      <c r="B12" s="305" t="s">
        <v>3182</v>
      </c>
      <c r="C12" s="272" t="s">
        <v>3170</v>
      </c>
      <c r="D12" s="306" t="s">
        <v>3183</v>
      </c>
      <c r="E12" s="307" t="s">
        <v>3184</v>
      </c>
      <c r="F12" s="308" t="s">
        <v>3166</v>
      </c>
      <c r="G12" s="308" t="s">
        <v>3167</v>
      </c>
      <c r="H12" s="309" t="s">
        <v>1466</v>
      </c>
      <c r="I12" s="310" t="s">
        <v>1466</v>
      </c>
      <c r="J12" s="273" t="s">
        <v>3168</v>
      </c>
      <c r="K12" s="273" t="s">
        <v>3171</v>
      </c>
      <c r="L12" s="319">
        <v>0</v>
      </c>
      <c r="M12" s="320">
        <v>0</v>
      </c>
      <c r="N12" s="319">
        <v>0</v>
      </c>
      <c r="O12" s="320">
        <v>0</v>
      </c>
      <c r="P12" s="319">
        <v>0</v>
      </c>
      <c r="Q12" s="320">
        <v>0</v>
      </c>
      <c r="R12" s="319"/>
      <c r="S12" s="320"/>
      <c r="T12" s="319"/>
      <c r="U12" s="320"/>
      <c r="V12" s="319">
        <v>0</v>
      </c>
      <c r="W12" s="320">
        <v>0</v>
      </c>
      <c r="X12" s="319">
        <v>0</v>
      </c>
      <c r="Y12" s="320">
        <v>0</v>
      </c>
      <c r="Z12" s="319">
        <v>0</v>
      </c>
      <c r="AA12" s="320">
        <v>0</v>
      </c>
      <c r="AB12" s="319">
        <v>0</v>
      </c>
      <c r="AC12" s="320">
        <v>0</v>
      </c>
      <c r="AD12" s="319">
        <v>0</v>
      </c>
      <c r="AE12" s="320">
        <v>0</v>
      </c>
      <c r="AF12" s="319"/>
      <c r="AG12" s="320"/>
      <c r="AH12" s="319"/>
      <c r="AI12" s="320"/>
      <c r="AJ12" s="319">
        <v>0</v>
      </c>
      <c r="AK12" s="320">
        <v>0</v>
      </c>
      <c r="AL12" s="319">
        <v>0</v>
      </c>
      <c r="AM12" s="320">
        <v>0</v>
      </c>
      <c r="AN12" s="319">
        <v>0</v>
      </c>
      <c r="AO12" s="320">
        <v>0</v>
      </c>
      <c r="AP12" s="319">
        <v>0</v>
      </c>
      <c r="AQ12" s="320">
        <v>0</v>
      </c>
      <c r="AR12" s="319">
        <v>0</v>
      </c>
      <c r="AS12" s="320">
        <v>0</v>
      </c>
      <c r="AT12" s="319"/>
      <c r="AU12" s="320"/>
      <c r="AV12" s="319"/>
      <c r="AW12" s="320"/>
      <c r="AX12" s="319">
        <v>0</v>
      </c>
      <c r="AY12" s="320">
        <v>0</v>
      </c>
      <c r="AZ12" s="319">
        <v>0</v>
      </c>
      <c r="BA12" s="320">
        <v>0</v>
      </c>
      <c r="BB12" s="319">
        <v>0</v>
      </c>
      <c r="BC12" s="320">
        <v>0</v>
      </c>
      <c r="BD12" s="319">
        <v>0</v>
      </c>
      <c r="BE12" s="320">
        <v>0</v>
      </c>
      <c r="BF12" s="319">
        <v>0</v>
      </c>
      <c r="BG12" s="320">
        <v>0</v>
      </c>
      <c r="BH12" s="319"/>
      <c r="BI12" s="320"/>
      <c r="BJ12" s="319"/>
      <c r="BK12" s="320"/>
      <c r="BL12" s="319">
        <v>0</v>
      </c>
      <c r="BM12" s="320">
        <v>0</v>
      </c>
      <c r="BN12" s="319">
        <v>0</v>
      </c>
      <c r="BO12" s="320">
        <v>0</v>
      </c>
      <c r="BP12" s="319">
        <v>0</v>
      </c>
      <c r="BQ12" s="320">
        <v>0</v>
      </c>
      <c r="BR12" s="319">
        <v>0</v>
      </c>
      <c r="BS12" s="320">
        <v>0</v>
      </c>
      <c r="BT12" s="319"/>
      <c r="BU12" s="320"/>
      <c r="BV12" s="264">
        <f t="shared" ref="BV12:BV15" si="5">L12+N12+P12+R12+T12+V12+X12+Z12+AB12+AD12+AF12+AH12+AJ12+AL12+AN12+AP12+AR12+AT12+AV12+AX12+AZ12+BB12+BD12+BF12+BH12+BJ12+BL12+BN12+BP12+BR12+BT12</f>
        <v>0</v>
      </c>
      <c r="BW12" s="264">
        <f t="shared" ref="BW12:BW15" si="6">M12+O12+Q12+S12+U12+W12+Y12+AA12+AC12+AE12+AG12+AI12+AK12+AM12+AO12+AQ12+AS12+AU12+AW12+AY12+BA12+BC12+BE12+BG12+BI12+BK12+BM12+BO12+BQ12+BS12+BU12</f>
        <v>0</v>
      </c>
    </row>
    <row r="13" spans="1:75" s="62" customFormat="1" ht="21.95" customHeight="1" x14ac:dyDescent="0.2">
      <c r="A13" s="304" t="s">
        <v>3181</v>
      </c>
      <c r="B13" s="305" t="s">
        <v>3182</v>
      </c>
      <c r="C13" s="311" t="s">
        <v>3170</v>
      </c>
      <c r="D13" s="306" t="s">
        <v>3183</v>
      </c>
      <c r="E13" s="307" t="s">
        <v>3184</v>
      </c>
      <c r="F13" s="308" t="s">
        <v>3166</v>
      </c>
      <c r="G13" s="308" t="s">
        <v>3167</v>
      </c>
      <c r="H13" s="309" t="s">
        <v>1466</v>
      </c>
      <c r="I13" s="310" t="s">
        <v>1466</v>
      </c>
      <c r="J13" s="273" t="s">
        <v>3168</v>
      </c>
      <c r="K13" s="275" t="s">
        <v>3172</v>
      </c>
      <c r="L13" s="319">
        <v>0</v>
      </c>
      <c r="M13" s="320">
        <v>0</v>
      </c>
      <c r="N13" s="319">
        <v>0</v>
      </c>
      <c r="O13" s="320">
        <v>0</v>
      </c>
      <c r="P13" s="319">
        <v>0</v>
      </c>
      <c r="Q13" s="320">
        <v>0</v>
      </c>
      <c r="R13" s="319"/>
      <c r="S13" s="320"/>
      <c r="T13" s="319"/>
      <c r="U13" s="320"/>
      <c r="V13" s="319">
        <v>0</v>
      </c>
      <c r="W13" s="320">
        <v>0</v>
      </c>
      <c r="X13" s="319">
        <v>0</v>
      </c>
      <c r="Y13" s="320">
        <v>0</v>
      </c>
      <c r="Z13" s="319">
        <v>0</v>
      </c>
      <c r="AA13" s="320">
        <v>0</v>
      </c>
      <c r="AB13" s="319">
        <v>0</v>
      </c>
      <c r="AC13" s="320">
        <v>0</v>
      </c>
      <c r="AD13" s="319">
        <v>0</v>
      </c>
      <c r="AE13" s="320">
        <v>0</v>
      </c>
      <c r="AF13" s="319"/>
      <c r="AG13" s="320"/>
      <c r="AH13" s="319"/>
      <c r="AI13" s="320"/>
      <c r="AJ13" s="319">
        <v>0</v>
      </c>
      <c r="AK13" s="320">
        <v>0</v>
      </c>
      <c r="AL13" s="319">
        <v>0</v>
      </c>
      <c r="AM13" s="320">
        <v>0</v>
      </c>
      <c r="AN13" s="319">
        <v>0</v>
      </c>
      <c r="AO13" s="320">
        <v>0</v>
      </c>
      <c r="AP13" s="319">
        <v>0</v>
      </c>
      <c r="AQ13" s="320">
        <v>0</v>
      </c>
      <c r="AR13" s="319">
        <v>0</v>
      </c>
      <c r="AS13" s="320">
        <v>0</v>
      </c>
      <c r="AT13" s="319"/>
      <c r="AU13" s="320"/>
      <c r="AV13" s="319"/>
      <c r="AW13" s="320"/>
      <c r="AX13" s="319">
        <v>0</v>
      </c>
      <c r="AY13" s="320">
        <v>0</v>
      </c>
      <c r="AZ13" s="319">
        <v>0</v>
      </c>
      <c r="BA13" s="320">
        <v>0</v>
      </c>
      <c r="BB13" s="319">
        <v>0</v>
      </c>
      <c r="BC13" s="320">
        <v>0</v>
      </c>
      <c r="BD13" s="319">
        <v>0</v>
      </c>
      <c r="BE13" s="320">
        <v>0</v>
      </c>
      <c r="BF13" s="319">
        <v>0</v>
      </c>
      <c r="BG13" s="320">
        <v>0</v>
      </c>
      <c r="BH13" s="319"/>
      <c r="BI13" s="320"/>
      <c r="BJ13" s="319"/>
      <c r="BK13" s="320"/>
      <c r="BL13" s="319">
        <v>0</v>
      </c>
      <c r="BM13" s="320">
        <v>0</v>
      </c>
      <c r="BN13" s="319">
        <v>0</v>
      </c>
      <c r="BO13" s="320">
        <v>0</v>
      </c>
      <c r="BP13" s="319">
        <v>0</v>
      </c>
      <c r="BQ13" s="320">
        <v>0</v>
      </c>
      <c r="BR13" s="319">
        <v>0</v>
      </c>
      <c r="BS13" s="320">
        <v>0</v>
      </c>
      <c r="BT13" s="319"/>
      <c r="BU13" s="320"/>
      <c r="BV13" s="264">
        <f t="shared" si="5"/>
        <v>0</v>
      </c>
      <c r="BW13" s="264">
        <f t="shared" si="6"/>
        <v>0</v>
      </c>
    </row>
    <row r="14" spans="1:75" s="62" customFormat="1" ht="21.95" customHeight="1" x14ac:dyDescent="0.2">
      <c r="A14" s="304" t="s">
        <v>3181</v>
      </c>
      <c r="B14" s="305" t="s">
        <v>3182</v>
      </c>
      <c r="C14" s="311" t="s">
        <v>3170</v>
      </c>
      <c r="D14" s="306" t="s">
        <v>3183</v>
      </c>
      <c r="E14" s="307" t="s">
        <v>3184</v>
      </c>
      <c r="F14" s="308" t="s">
        <v>3166</v>
      </c>
      <c r="G14" s="308" t="s">
        <v>3167</v>
      </c>
      <c r="H14" s="309" t="s">
        <v>1466</v>
      </c>
      <c r="I14" s="310" t="s">
        <v>1466</v>
      </c>
      <c r="J14" s="273" t="s">
        <v>3168</v>
      </c>
      <c r="K14" s="276" t="s">
        <v>3173</v>
      </c>
      <c r="L14" s="319">
        <v>0</v>
      </c>
      <c r="M14" s="320">
        <v>0</v>
      </c>
      <c r="N14" s="319">
        <v>0</v>
      </c>
      <c r="O14" s="320">
        <v>0</v>
      </c>
      <c r="P14" s="319">
        <v>0</v>
      </c>
      <c r="Q14" s="320">
        <v>0</v>
      </c>
      <c r="R14" s="319"/>
      <c r="S14" s="320"/>
      <c r="T14" s="319"/>
      <c r="U14" s="320"/>
      <c r="V14" s="319">
        <v>0</v>
      </c>
      <c r="W14" s="320">
        <v>0</v>
      </c>
      <c r="X14" s="319">
        <v>0</v>
      </c>
      <c r="Y14" s="320">
        <v>0</v>
      </c>
      <c r="Z14" s="319">
        <v>0</v>
      </c>
      <c r="AA14" s="320">
        <v>0</v>
      </c>
      <c r="AB14" s="319">
        <v>0</v>
      </c>
      <c r="AC14" s="320">
        <v>0</v>
      </c>
      <c r="AD14" s="319">
        <v>0</v>
      </c>
      <c r="AE14" s="320">
        <v>0</v>
      </c>
      <c r="AF14" s="319"/>
      <c r="AG14" s="320"/>
      <c r="AH14" s="319"/>
      <c r="AI14" s="320"/>
      <c r="AJ14" s="319">
        <v>0</v>
      </c>
      <c r="AK14" s="320">
        <v>0</v>
      </c>
      <c r="AL14" s="319">
        <v>0</v>
      </c>
      <c r="AM14" s="320">
        <v>0</v>
      </c>
      <c r="AN14" s="319">
        <v>0</v>
      </c>
      <c r="AO14" s="320">
        <v>0</v>
      </c>
      <c r="AP14" s="319">
        <v>0</v>
      </c>
      <c r="AQ14" s="320">
        <v>0</v>
      </c>
      <c r="AR14" s="319">
        <v>0</v>
      </c>
      <c r="AS14" s="320">
        <v>0</v>
      </c>
      <c r="AT14" s="319"/>
      <c r="AU14" s="320"/>
      <c r="AV14" s="319"/>
      <c r="AW14" s="320"/>
      <c r="AX14" s="319">
        <v>0</v>
      </c>
      <c r="AY14" s="320">
        <v>0</v>
      </c>
      <c r="AZ14" s="319">
        <v>0</v>
      </c>
      <c r="BA14" s="320">
        <v>0</v>
      </c>
      <c r="BB14" s="319">
        <v>0</v>
      </c>
      <c r="BC14" s="320">
        <v>0</v>
      </c>
      <c r="BD14" s="319">
        <v>0</v>
      </c>
      <c r="BE14" s="320">
        <v>0</v>
      </c>
      <c r="BF14" s="319">
        <v>0</v>
      </c>
      <c r="BG14" s="320">
        <v>0</v>
      </c>
      <c r="BH14" s="319"/>
      <c r="BI14" s="320"/>
      <c r="BJ14" s="319"/>
      <c r="BK14" s="320"/>
      <c r="BL14" s="319">
        <v>0</v>
      </c>
      <c r="BM14" s="320">
        <v>0</v>
      </c>
      <c r="BN14" s="319">
        <v>0</v>
      </c>
      <c r="BO14" s="320">
        <v>0</v>
      </c>
      <c r="BP14" s="319">
        <v>0</v>
      </c>
      <c r="BQ14" s="320">
        <v>0</v>
      </c>
      <c r="BR14" s="319">
        <v>0</v>
      </c>
      <c r="BS14" s="320">
        <v>0</v>
      </c>
      <c r="BT14" s="319"/>
      <c r="BU14" s="320"/>
      <c r="BV14" s="264">
        <f t="shared" si="5"/>
        <v>0</v>
      </c>
      <c r="BW14" s="264">
        <f t="shared" si="6"/>
        <v>0</v>
      </c>
    </row>
    <row r="15" spans="1:75" s="62" customFormat="1" ht="21.95" customHeight="1" thickBot="1" x14ac:dyDescent="0.25">
      <c r="A15" s="567" t="s">
        <v>3181</v>
      </c>
      <c r="B15" s="312" t="s">
        <v>3182</v>
      </c>
      <c r="C15" s="313" t="s">
        <v>3170</v>
      </c>
      <c r="D15" s="314" t="s">
        <v>3183</v>
      </c>
      <c r="E15" s="330" t="s">
        <v>3184</v>
      </c>
      <c r="F15" s="315" t="s">
        <v>3166</v>
      </c>
      <c r="G15" s="315" t="s">
        <v>3167</v>
      </c>
      <c r="H15" s="316" t="s">
        <v>1466</v>
      </c>
      <c r="I15" s="568" t="s">
        <v>1466</v>
      </c>
      <c r="J15" s="273" t="s">
        <v>3168</v>
      </c>
      <c r="K15" s="277" t="s">
        <v>53</v>
      </c>
      <c r="L15" s="321">
        <v>0</v>
      </c>
      <c r="M15" s="322">
        <v>0</v>
      </c>
      <c r="N15" s="321">
        <v>0</v>
      </c>
      <c r="O15" s="322">
        <v>0</v>
      </c>
      <c r="P15" s="321">
        <v>0</v>
      </c>
      <c r="Q15" s="322">
        <v>0</v>
      </c>
      <c r="R15" s="321"/>
      <c r="S15" s="322"/>
      <c r="T15" s="321"/>
      <c r="U15" s="322"/>
      <c r="V15" s="321">
        <v>0</v>
      </c>
      <c r="W15" s="322">
        <v>0</v>
      </c>
      <c r="X15" s="321">
        <v>0</v>
      </c>
      <c r="Y15" s="322">
        <v>0</v>
      </c>
      <c r="Z15" s="321">
        <v>0</v>
      </c>
      <c r="AA15" s="322">
        <v>0</v>
      </c>
      <c r="AB15" s="321">
        <v>0</v>
      </c>
      <c r="AC15" s="322">
        <v>0</v>
      </c>
      <c r="AD15" s="321">
        <v>0</v>
      </c>
      <c r="AE15" s="322">
        <v>0</v>
      </c>
      <c r="AF15" s="321"/>
      <c r="AG15" s="322"/>
      <c r="AH15" s="321"/>
      <c r="AI15" s="322"/>
      <c r="AJ15" s="321">
        <v>0</v>
      </c>
      <c r="AK15" s="322">
        <v>0</v>
      </c>
      <c r="AL15" s="321">
        <v>0</v>
      </c>
      <c r="AM15" s="322">
        <v>0</v>
      </c>
      <c r="AN15" s="321">
        <v>0</v>
      </c>
      <c r="AO15" s="322">
        <v>0</v>
      </c>
      <c r="AP15" s="321">
        <v>0</v>
      </c>
      <c r="AQ15" s="322">
        <v>0</v>
      </c>
      <c r="AR15" s="321">
        <v>0</v>
      </c>
      <c r="AS15" s="322">
        <v>0</v>
      </c>
      <c r="AT15" s="321"/>
      <c r="AU15" s="322"/>
      <c r="AV15" s="321"/>
      <c r="AW15" s="322"/>
      <c r="AX15" s="321">
        <v>0</v>
      </c>
      <c r="AY15" s="322">
        <v>0</v>
      </c>
      <c r="AZ15" s="321">
        <v>0</v>
      </c>
      <c r="BA15" s="322">
        <v>0</v>
      </c>
      <c r="BB15" s="321">
        <v>0</v>
      </c>
      <c r="BC15" s="322">
        <v>0</v>
      </c>
      <c r="BD15" s="321">
        <v>0</v>
      </c>
      <c r="BE15" s="322">
        <v>0</v>
      </c>
      <c r="BF15" s="321">
        <v>0</v>
      </c>
      <c r="BG15" s="322">
        <v>0</v>
      </c>
      <c r="BH15" s="321"/>
      <c r="BI15" s="322"/>
      <c r="BJ15" s="321"/>
      <c r="BK15" s="322"/>
      <c r="BL15" s="321">
        <v>0</v>
      </c>
      <c r="BM15" s="322">
        <v>0</v>
      </c>
      <c r="BN15" s="321">
        <v>0</v>
      </c>
      <c r="BO15" s="322">
        <v>0</v>
      </c>
      <c r="BP15" s="321">
        <v>0</v>
      </c>
      <c r="BQ15" s="322">
        <v>0</v>
      </c>
      <c r="BR15" s="321">
        <v>0</v>
      </c>
      <c r="BS15" s="322">
        <v>0</v>
      </c>
      <c r="BT15" s="321"/>
      <c r="BU15" s="322"/>
      <c r="BV15" s="264">
        <f t="shared" si="5"/>
        <v>0</v>
      </c>
      <c r="BW15" s="264">
        <f t="shared" si="6"/>
        <v>0</v>
      </c>
    </row>
    <row r="16" spans="1:75" s="62" customFormat="1" ht="21.95" customHeight="1" x14ac:dyDescent="0.25">
      <c r="A16" s="344" t="s">
        <v>3185</v>
      </c>
      <c r="B16" s="433" t="s">
        <v>3186</v>
      </c>
      <c r="C16" s="434">
        <v>1</v>
      </c>
      <c r="D16" s="435" t="s">
        <v>3187</v>
      </c>
      <c r="E16" s="345" t="s">
        <v>3188</v>
      </c>
      <c r="F16" s="436" t="s">
        <v>3166</v>
      </c>
      <c r="G16" s="436" t="s">
        <v>3167</v>
      </c>
      <c r="H16" s="437" t="s">
        <v>1470</v>
      </c>
      <c r="I16" s="303" t="s">
        <v>1470</v>
      </c>
      <c r="J16" s="273" t="s">
        <v>3168</v>
      </c>
      <c r="K16" s="274" t="s">
        <v>3169</v>
      </c>
      <c r="L16" s="321">
        <v>0</v>
      </c>
      <c r="M16" s="322">
        <v>0</v>
      </c>
      <c r="N16" s="321">
        <v>0</v>
      </c>
      <c r="O16" s="322">
        <v>0</v>
      </c>
      <c r="P16" s="321">
        <v>0</v>
      </c>
      <c r="Q16" s="322">
        <v>0</v>
      </c>
      <c r="R16" s="321"/>
      <c r="S16" s="322"/>
      <c r="T16" s="321"/>
      <c r="U16" s="322"/>
      <c r="V16" s="321">
        <v>0</v>
      </c>
      <c r="W16" s="322">
        <v>0</v>
      </c>
      <c r="X16" s="321">
        <v>0</v>
      </c>
      <c r="Y16" s="322">
        <v>0</v>
      </c>
      <c r="Z16" s="321">
        <v>0</v>
      </c>
      <c r="AA16" s="322">
        <v>0</v>
      </c>
      <c r="AB16" s="321">
        <v>0</v>
      </c>
      <c r="AC16" s="322">
        <v>0</v>
      </c>
      <c r="AD16" s="321">
        <v>0</v>
      </c>
      <c r="AE16" s="322">
        <v>0</v>
      </c>
      <c r="AF16" s="321"/>
      <c r="AG16" s="322"/>
      <c r="AH16" s="321"/>
      <c r="AI16" s="322"/>
      <c r="AJ16" s="321">
        <v>0</v>
      </c>
      <c r="AK16" s="322">
        <v>0</v>
      </c>
      <c r="AL16" s="321">
        <v>0</v>
      </c>
      <c r="AM16" s="322">
        <v>0</v>
      </c>
      <c r="AN16" s="321">
        <v>0</v>
      </c>
      <c r="AO16" s="322">
        <v>0</v>
      </c>
      <c r="AP16" s="321">
        <v>0</v>
      </c>
      <c r="AQ16" s="322">
        <v>0</v>
      </c>
      <c r="AR16" s="321">
        <v>0</v>
      </c>
      <c r="AS16" s="322">
        <v>0</v>
      </c>
      <c r="AT16" s="321"/>
      <c r="AU16" s="322"/>
      <c r="AV16" s="321"/>
      <c r="AW16" s="322"/>
      <c r="AX16" s="321">
        <v>0</v>
      </c>
      <c r="AY16" s="322">
        <v>0</v>
      </c>
      <c r="AZ16" s="321">
        <v>0</v>
      </c>
      <c r="BA16" s="322">
        <v>0</v>
      </c>
      <c r="BB16" s="321">
        <v>0</v>
      </c>
      <c r="BC16" s="322">
        <v>0</v>
      </c>
      <c r="BD16" s="321">
        <v>0</v>
      </c>
      <c r="BE16" s="322">
        <v>0</v>
      </c>
      <c r="BF16" s="321">
        <v>0</v>
      </c>
      <c r="BG16" s="322">
        <v>0</v>
      </c>
      <c r="BH16" s="321"/>
      <c r="BI16" s="322"/>
      <c r="BJ16" s="321"/>
      <c r="BK16" s="322"/>
      <c r="BL16" s="321">
        <v>0</v>
      </c>
      <c r="BM16" s="322">
        <v>0</v>
      </c>
      <c r="BN16" s="321">
        <v>0</v>
      </c>
      <c r="BO16" s="322">
        <v>0</v>
      </c>
      <c r="BP16" s="321">
        <v>0</v>
      </c>
      <c r="BQ16" s="322">
        <v>0</v>
      </c>
      <c r="BR16" s="321">
        <v>0</v>
      </c>
      <c r="BS16" s="322">
        <v>0</v>
      </c>
      <c r="BT16" s="321"/>
      <c r="BU16" s="322"/>
      <c r="BV16" s="264">
        <f>L16+N16+P16+R16+T16+V16+X16+Z16+AB16+AD16+AF16+AH16+AJ16+AL16+AN16+AP16+AR16+AT16+AV16+AX16+AZ16+BB16+BD16+BF16+BH16+BJ16+BL16+BN16+BP16+BR16+BT16</f>
        <v>0</v>
      </c>
      <c r="BW16" s="264">
        <f>M16+O16+Q16+S16+U16+W16+Y16+AA16+AC16+AE16+AG16+AI16+AK16+AM16+AO16+AQ16+AS16+AU16+AW16+AY16+BA16+BC16+BE16+BG16+BI16+BK16+BM16+BO16+BQ16+BS16+BU16</f>
        <v>0</v>
      </c>
    </row>
    <row r="17" spans="1:75" s="62" customFormat="1" ht="21.95" customHeight="1" x14ac:dyDescent="0.2">
      <c r="A17" s="304" t="s">
        <v>3185</v>
      </c>
      <c r="B17" s="305" t="s">
        <v>3186</v>
      </c>
      <c r="C17" s="272" t="s">
        <v>3170</v>
      </c>
      <c r="D17" s="306" t="s">
        <v>3187</v>
      </c>
      <c r="E17" s="307" t="s">
        <v>3188</v>
      </c>
      <c r="F17" s="308" t="s">
        <v>3166</v>
      </c>
      <c r="G17" s="308" t="s">
        <v>3167</v>
      </c>
      <c r="H17" s="309" t="s">
        <v>1470</v>
      </c>
      <c r="I17" s="310" t="s">
        <v>1470</v>
      </c>
      <c r="J17" s="273" t="s">
        <v>3168</v>
      </c>
      <c r="K17" s="273" t="s">
        <v>3171</v>
      </c>
      <c r="L17" s="319">
        <v>0</v>
      </c>
      <c r="M17" s="320">
        <v>0</v>
      </c>
      <c r="N17" s="319">
        <v>0</v>
      </c>
      <c r="O17" s="320">
        <v>0</v>
      </c>
      <c r="P17" s="319">
        <v>0</v>
      </c>
      <c r="Q17" s="320">
        <v>0</v>
      </c>
      <c r="R17" s="319"/>
      <c r="S17" s="320"/>
      <c r="T17" s="319"/>
      <c r="U17" s="320"/>
      <c r="V17" s="319">
        <v>6</v>
      </c>
      <c r="W17" s="320">
        <v>0</v>
      </c>
      <c r="X17" s="319">
        <v>0</v>
      </c>
      <c r="Y17" s="320">
        <v>0</v>
      </c>
      <c r="Z17" s="319">
        <v>0</v>
      </c>
      <c r="AA17" s="320">
        <v>0</v>
      </c>
      <c r="AB17" s="319">
        <v>0</v>
      </c>
      <c r="AC17" s="320">
        <v>0</v>
      </c>
      <c r="AD17" s="319">
        <v>0</v>
      </c>
      <c r="AE17" s="320">
        <v>0</v>
      </c>
      <c r="AF17" s="319"/>
      <c r="AG17" s="320"/>
      <c r="AH17" s="319"/>
      <c r="AI17" s="320"/>
      <c r="AJ17" s="319">
        <v>6</v>
      </c>
      <c r="AK17" s="320">
        <v>0</v>
      </c>
      <c r="AL17" s="319">
        <v>0</v>
      </c>
      <c r="AM17" s="320">
        <v>0</v>
      </c>
      <c r="AN17" s="319">
        <v>0</v>
      </c>
      <c r="AO17" s="320">
        <v>0</v>
      </c>
      <c r="AP17" s="319">
        <v>0</v>
      </c>
      <c r="AQ17" s="320">
        <v>0</v>
      </c>
      <c r="AR17" s="319">
        <v>0</v>
      </c>
      <c r="AS17" s="320">
        <v>0</v>
      </c>
      <c r="AT17" s="319"/>
      <c r="AU17" s="320"/>
      <c r="AV17" s="319"/>
      <c r="AW17" s="320"/>
      <c r="AX17" s="319">
        <v>6</v>
      </c>
      <c r="AY17" s="320">
        <v>0</v>
      </c>
      <c r="AZ17" s="319">
        <v>0</v>
      </c>
      <c r="BA17" s="320">
        <v>0</v>
      </c>
      <c r="BB17" s="319">
        <v>0</v>
      </c>
      <c r="BC17" s="320">
        <v>0</v>
      </c>
      <c r="BD17" s="319">
        <v>0</v>
      </c>
      <c r="BE17" s="320">
        <v>0</v>
      </c>
      <c r="BF17" s="319">
        <v>0</v>
      </c>
      <c r="BG17" s="320">
        <v>0</v>
      </c>
      <c r="BH17" s="319"/>
      <c r="BI17" s="320"/>
      <c r="BJ17" s="319"/>
      <c r="BK17" s="320"/>
      <c r="BL17" s="319">
        <v>6</v>
      </c>
      <c r="BM17" s="320">
        <v>0</v>
      </c>
      <c r="BN17" s="319">
        <v>0</v>
      </c>
      <c r="BO17" s="320">
        <v>0</v>
      </c>
      <c r="BP17" s="319">
        <v>0</v>
      </c>
      <c r="BQ17" s="320">
        <v>0</v>
      </c>
      <c r="BR17" s="319">
        <v>0</v>
      </c>
      <c r="BS17" s="320">
        <v>0</v>
      </c>
      <c r="BT17" s="319"/>
      <c r="BU17" s="320"/>
      <c r="BV17" s="264">
        <f t="shared" ref="BV17:BV20" si="7">L17+N17+P17+R17+T17+V17+X17+Z17+AB17+AD17+AF17+AH17+AJ17+AL17+AN17+AP17+AR17+AT17+AV17+AX17+AZ17+BB17+BD17+BF17+BH17+BJ17+BL17+BN17+BP17+BR17+BT17</f>
        <v>24</v>
      </c>
      <c r="BW17" s="264">
        <f t="shared" ref="BW17:BW20" si="8">M17+O17+Q17+S17+U17+W17+Y17+AA17+AC17+AE17+AG17+AI17+AK17+AM17+AO17+AQ17+AS17+AU17+AW17+AY17+BA17+BC17+BE17+BG17+BI17+BK17+BM17+BO17+BQ17+BS17+BU17</f>
        <v>0</v>
      </c>
    </row>
    <row r="18" spans="1:75" s="62" customFormat="1" ht="21.95" customHeight="1" x14ac:dyDescent="0.2">
      <c r="A18" s="304" t="s">
        <v>3185</v>
      </c>
      <c r="B18" s="305" t="s">
        <v>3186</v>
      </c>
      <c r="C18" s="311" t="s">
        <v>3170</v>
      </c>
      <c r="D18" s="306" t="s">
        <v>3187</v>
      </c>
      <c r="E18" s="307" t="s">
        <v>3188</v>
      </c>
      <c r="F18" s="308" t="s">
        <v>3166</v>
      </c>
      <c r="G18" s="308" t="s">
        <v>3167</v>
      </c>
      <c r="H18" s="309" t="s">
        <v>1470</v>
      </c>
      <c r="I18" s="310" t="s">
        <v>1470</v>
      </c>
      <c r="J18" s="273" t="s">
        <v>3168</v>
      </c>
      <c r="K18" s="275" t="s">
        <v>3172</v>
      </c>
      <c r="L18" s="319">
        <v>0</v>
      </c>
      <c r="M18" s="320">
        <v>0</v>
      </c>
      <c r="N18" s="319">
        <v>0</v>
      </c>
      <c r="O18" s="320">
        <v>0</v>
      </c>
      <c r="P18" s="319">
        <v>0</v>
      </c>
      <c r="Q18" s="320">
        <v>0</v>
      </c>
      <c r="R18" s="319"/>
      <c r="S18" s="320"/>
      <c r="T18" s="319"/>
      <c r="U18" s="320"/>
      <c r="V18" s="319">
        <v>0</v>
      </c>
      <c r="W18" s="320">
        <v>0</v>
      </c>
      <c r="X18" s="319">
        <v>0</v>
      </c>
      <c r="Y18" s="320">
        <v>0</v>
      </c>
      <c r="Z18" s="319">
        <v>0</v>
      </c>
      <c r="AA18" s="320">
        <v>0</v>
      </c>
      <c r="AB18" s="319">
        <v>0</v>
      </c>
      <c r="AC18" s="320">
        <v>0</v>
      </c>
      <c r="AD18" s="319">
        <v>0</v>
      </c>
      <c r="AE18" s="320">
        <v>0</v>
      </c>
      <c r="AF18" s="319"/>
      <c r="AG18" s="320"/>
      <c r="AH18" s="319"/>
      <c r="AI18" s="320"/>
      <c r="AJ18" s="319">
        <v>0</v>
      </c>
      <c r="AK18" s="320">
        <v>0</v>
      </c>
      <c r="AL18" s="319">
        <v>0</v>
      </c>
      <c r="AM18" s="320">
        <v>0</v>
      </c>
      <c r="AN18" s="319">
        <v>0</v>
      </c>
      <c r="AO18" s="320">
        <v>0</v>
      </c>
      <c r="AP18" s="319">
        <v>0</v>
      </c>
      <c r="AQ18" s="320">
        <v>0</v>
      </c>
      <c r="AR18" s="319">
        <v>0</v>
      </c>
      <c r="AS18" s="320">
        <v>0</v>
      </c>
      <c r="AT18" s="319"/>
      <c r="AU18" s="320"/>
      <c r="AV18" s="319"/>
      <c r="AW18" s="320"/>
      <c r="AX18" s="319">
        <v>0</v>
      </c>
      <c r="AY18" s="320">
        <v>0</v>
      </c>
      <c r="AZ18" s="319">
        <v>0</v>
      </c>
      <c r="BA18" s="320">
        <v>0</v>
      </c>
      <c r="BB18" s="319">
        <v>0</v>
      </c>
      <c r="BC18" s="320">
        <v>0</v>
      </c>
      <c r="BD18" s="319">
        <v>0</v>
      </c>
      <c r="BE18" s="320">
        <v>0</v>
      </c>
      <c r="BF18" s="319">
        <v>0</v>
      </c>
      <c r="BG18" s="320">
        <v>0</v>
      </c>
      <c r="BH18" s="319"/>
      <c r="BI18" s="320"/>
      <c r="BJ18" s="319"/>
      <c r="BK18" s="320"/>
      <c r="BL18" s="319">
        <v>0</v>
      </c>
      <c r="BM18" s="320">
        <v>0</v>
      </c>
      <c r="BN18" s="319">
        <v>0</v>
      </c>
      <c r="BO18" s="320">
        <v>0</v>
      </c>
      <c r="BP18" s="319">
        <v>0</v>
      </c>
      <c r="BQ18" s="320">
        <v>0</v>
      </c>
      <c r="BR18" s="319">
        <v>0</v>
      </c>
      <c r="BS18" s="320">
        <v>0</v>
      </c>
      <c r="BT18" s="319"/>
      <c r="BU18" s="320"/>
      <c r="BV18" s="264">
        <f t="shared" si="7"/>
        <v>0</v>
      </c>
      <c r="BW18" s="264">
        <f t="shared" si="8"/>
        <v>0</v>
      </c>
    </row>
    <row r="19" spans="1:75" s="62" customFormat="1" ht="21.95" customHeight="1" x14ac:dyDescent="0.2">
      <c r="A19" s="304" t="s">
        <v>3185</v>
      </c>
      <c r="B19" s="305" t="s">
        <v>3186</v>
      </c>
      <c r="C19" s="311" t="s">
        <v>3170</v>
      </c>
      <c r="D19" s="306" t="s">
        <v>3187</v>
      </c>
      <c r="E19" s="307" t="s">
        <v>3188</v>
      </c>
      <c r="F19" s="308" t="s">
        <v>3166</v>
      </c>
      <c r="G19" s="308" t="s">
        <v>3167</v>
      </c>
      <c r="H19" s="309" t="s">
        <v>1470</v>
      </c>
      <c r="I19" s="310" t="s">
        <v>1470</v>
      </c>
      <c r="J19" s="273" t="s">
        <v>3168</v>
      </c>
      <c r="K19" s="276" t="s">
        <v>3173</v>
      </c>
      <c r="L19" s="319">
        <v>0</v>
      </c>
      <c r="M19" s="320">
        <v>0</v>
      </c>
      <c r="N19" s="319">
        <v>0</v>
      </c>
      <c r="O19" s="320">
        <v>0</v>
      </c>
      <c r="P19" s="319">
        <v>0</v>
      </c>
      <c r="Q19" s="320">
        <v>0</v>
      </c>
      <c r="R19" s="319"/>
      <c r="S19" s="320"/>
      <c r="T19" s="319"/>
      <c r="U19" s="320"/>
      <c r="V19" s="319">
        <v>0</v>
      </c>
      <c r="W19" s="320">
        <v>0</v>
      </c>
      <c r="X19" s="319">
        <v>0</v>
      </c>
      <c r="Y19" s="320">
        <v>0</v>
      </c>
      <c r="Z19" s="319">
        <v>0</v>
      </c>
      <c r="AA19" s="320">
        <v>0</v>
      </c>
      <c r="AB19" s="319">
        <v>0</v>
      </c>
      <c r="AC19" s="320">
        <v>0</v>
      </c>
      <c r="AD19" s="319">
        <v>0</v>
      </c>
      <c r="AE19" s="320">
        <v>0</v>
      </c>
      <c r="AF19" s="319"/>
      <c r="AG19" s="320"/>
      <c r="AH19" s="319"/>
      <c r="AI19" s="320"/>
      <c r="AJ19" s="319">
        <v>0</v>
      </c>
      <c r="AK19" s="320">
        <v>0</v>
      </c>
      <c r="AL19" s="319">
        <v>0</v>
      </c>
      <c r="AM19" s="320">
        <v>0</v>
      </c>
      <c r="AN19" s="319">
        <v>0</v>
      </c>
      <c r="AO19" s="320">
        <v>0</v>
      </c>
      <c r="AP19" s="319">
        <v>0</v>
      </c>
      <c r="AQ19" s="320">
        <v>0</v>
      </c>
      <c r="AR19" s="319">
        <v>0</v>
      </c>
      <c r="AS19" s="320">
        <v>0</v>
      </c>
      <c r="AT19" s="319"/>
      <c r="AU19" s="320"/>
      <c r="AV19" s="319"/>
      <c r="AW19" s="320"/>
      <c r="AX19" s="319">
        <v>0</v>
      </c>
      <c r="AY19" s="320">
        <v>0</v>
      </c>
      <c r="AZ19" s="319">
        <v>0</v>
      </c>
      <c r="BA19" s="320">
        <v>0</v>
      </c>
      <c r="BB19" s="319">
        <v>0</v>
      </c>
      <c r="BC19" s="320">
        <v>0</v>
      </c>
      <c r="BD19" s="319">
        <v>0</v>
      </c>
      <c r="BE19" s="320">
        <v>0</v>
      </c>
      <c r="BF19" s="319">
        <v>0</v>
      </c>
      <c r="BG19" s="320">
        <v>0</v>
      </c>
      <c r="BH19" s="319"/>
      <c r="BI19" s="320"/>
      <c r="BJ19" s="319"/>
      <c r="BK19" s="320"/>
      <c r="BL19" s="319">
        <v>0</v>
      </c>
      <c r="BM19" s="320">
        <v>0</v>
      </c>
      <c r="BN19" s="319">
        <v>0</v>
      </c>
      <c r="BO19" s="320">
        <v>0</v>
      </c>
      <c r="BP19" s="319">
        <v>0</v>
      </c>
      <c r="BQ19" s="320">
        <v>0</v>
      </c>
      <c r="BR19" s="319">
        <v>0</v>
      </c>
      <c r="BS19" s="320">
        <v>0</v>
      </c>
      <c r="BT19" s="319"/>
      <c r="BU19" s="320"/>
      <c r="BV19" s="264">
        <f t="shared" si="7"/>
        <v>0</v>
      </c>
      <c r="BW19" s="264">
        <f t="shared" si="8"/>
        <v>0</v>
      </c>
    </row>
    <row r="20" spans="1:75" s="62" customFormat="1" ht="21.95" customHeight="1" thickBot="1" x14ac:dyDescent="0.25">
      <c r="A20" s="567" t="s">
        <v>3185</v>
      </c>
      <c r="B20" s="312" t="s">
        <v>3186</v>
      </c>
      <c r="C20" s="313" t="s">
        <v>3170</v>
      </c>
      <c r="D20" s="314" t="s">
        <v>3187</v>
      </c>
      <c r="E20" s="330" t="s">
        <v>3188</v>
      </c>
      <c r="F20" s="315" t="s">
        <v>3166</v>
      </c>
      <c r="G20" s="315" t="s">
        <v>3167</v>
      </c>
      <c r="H20" s="316" t="s">
        <v>1470</v>
      </c>
      <c r="I20" s="568" t="s">
        <v>1470</v>
      </c>
      <c r="J20" s="273" t="s">
        <v>3168</v>
      </c>
      <c r="K20" s="277" t="s">
        <v>53</v>
      </c>
      <c r="L20" s="321">
        <v>0</v>
      </c>
      <c r="M20" s="322">
        <v>0</v>
      </c>
      <c r="N20" s="321">
        <v>0</v>
      </c>
      <c r="O20" s="322">
        <v>0</v>
      </c>
      <c r="P20" s="321">
        <v>0</v>
      </c>
      <c r="Q20" s="322">
        <v>0</v>
      </c>
      <c r="R20" s="321"/>
      <c r="S20" s="322"/>
      <c r="T20" s="321"/>
      <c r="U20" s="322"/>
      <c r="V20" s="321">
        <v>0</v>
      </c>
      <c r="W20" s="322">
        <v>0</v>
      </c>
      <c r="X20" s="321">
        <v>0</v>
      </c>
      <c r="Y20" s="322">
        <v>0</v>
      </c>
      <c r="Z20" s="321">
        <v>0</v>
      </c>
      <c r="AA20" s="322">
        <v>0</v>
      </c>
      <c r="AB20" s="321">
        <v>0</v>
      </c>
      <c r="AC20" s="322">
        <v>0</v>
      </c>
      <c r="AD20" s="321">
        <v>0</v>
      </c>
      <c r="AE20" s="322">
        <v>0</v>
      </c>
      <c r="AF20" s="321"/>
      <c r="AG20" s="322"/>
      <c r="AH20" s="321"/>
      <c r="AI20" s="322"/>
      <c r="AJ20" s="321">
        <v>0</v>
      </c>
      <c r="AK20" s="322">
        <v>0</v>
      </c>
      <c r="AL20" s="321">
        <v>0</v>
      </c>
      <c r="AM20" s="322">
        <v>0</v>
      </c>
      <c r="AN20" s="321">
        <v>0</v>
      </c>
      <c r="AO20" s="322">
        <v>0</v>
      </c>
      <c r="AP20" s="321">
        <v>0</v>
      </c>
      <c r="AQ20" s="322">
        <v>0</v>
      </c>
      <c r="AR20" s="321">
        <v>0</v>
      </c>
      <c r="AS20" s="322">
        <v>0</v>
      </c>
      <c r="AT20" s="321"/>
      <c r="AU20" s="322"/>
      <c r="AV20" s="321"/>
      <c r="AW20" s="322"/>
      <c r="AX20" s="321">
        <v>0</v>
      </c>
      <c r="AY20" s="322">
        <v>0</v>
      </c>
      <c r="AZ20" s="321">
        <v>0</v>
      </c>
      <c r="BA20" s="322">
        <v>0</v>
      </c>
      <c r="BB20" s="321">
        <v>0</v>
      </c>
      <c r="BC20" s="322">
        <v>0</v>
      </c>
      <c r="BD20" s="321">
        <v>0</v>
      </c>
      <c r="BE20" s="322">
        <v>0</v>
      </c>
      <c r="BF20" s="321">
        <v>0</v>
      </c>
      <c r="BG20" s="322">
        <v>0</v>
      </c>
      <c r="BH20" s="321"/>
      <c r="BI20" s="322"/>
      <c r="BJ20" s="321"/>
      <c r="BK20" s="322"/>
      <c r="BL20" s="321">
        <v>0</v>
      </c>
      <c r="BM20" s="322">
        <v>0</v>
      </c>
      <c r="BN20" s="321">
        <v>0</v>
      </c>
      <c r="BO20" s="322">
        <v>0</v>
      </c>
      <c r="BP20" s="321">
        <v>0</v>
      </c>
      <c r="BQ20" s="322">
        <v>0</v>
      </c>
      <c r="BR20" s="321">
        <v>0</v>
      </c>
      <c r="BS20" s="322">
        <v>0</v>
      </c>
      <c r="BT20" s="321"/>
      <c r="BU20" s="322"/>
      <c r="BV20" s="264">
        <f t="shared" si="7"/>
        <v>0</v>
      </c>
      <c r="BW20" s="264">
        <f t="shared" si="8"/>
        <v>0</v>
      </c>
    </row>
    <row r="21" spans="1:75" s="62" customFormat="1" ht="21.95" customHeight="1" x14ac:dyDescent="0.25">
      <c r="A21" s="344" t="s">
        <v>3189</v>
      </c>
      <c r="B21" s="433" t="s">
        <v>3190</v>
      </c>
      <c r="C21" s="434">
        <v>1</v>
      </c>
      <c r="D21" s="435" t="s">
        <v>3191</v>
      </c>
      <c r="E21" s="345" t="s">
        <v>3192</v>
      </c>
      <c r="F21" s="436" t="s">
        <v>3166</v>
      </c>
      <c r="G21" s="436" t="s">
        <v>3167</v>
      </c>
      <c r="H21" s="437" t="s">
        <v>1471</v>
      </c>
      <c r="I21" s="303" t="s">
        <v>1471</v>
      </c>
      <c r="J21" s="273" t="s">
        <v>3168</v>
      </c>
      <c r="K21" s="274" t="s">
        <v>3169</v>
      </c>
      <c r="L21" s="321">
        <v>0</v>
      </c>
      <c r="M21" s="322">
        <v>0</v>
      </c>
      <c r="N21" s="321">
        <v>0</v>
      </c>
      <c r="O21" s="322">
        <v>0</v>
      </c>
      <c r="P21" s="321">
        <v>0</v>
      </c>
      <c r="Q21" s="322">
        <v>0</v>
      </c>
      <c r="R21" s="321"/>
      <c r="S21" s="322"/>
      <c r="T21" s="321"/>
      <c r="U21" s="322"/>
      <c r="V21" s="321">
        <v>0</v>
      </c>
      <c r="W21" s="322">
        <v>0</v>
      </c>
      <c r="X21" s="321">
        <v>0</v>
      </c>
      <c r="Y21" s="322">
        <v>0</v>
      </c>
      <c r="Z21" s="321">
        <v>0</v>
      </c>
      <c r="AA21" s="322">
        <v>0</v>
      </c>
      <c r="AB21" s="321">
        <v>0</v>
      </c>
      <c r="AC21" s="322">
        <v>0</v>
      </c>
      <c r="AD21" s="321">
        <v>0</v>
      </c>
      <c r="AE21" s="322">
        <v>0</v>
      </c>
      <c r="AF21" s="321"/>
      <c r="AG21" s="322"/>
      <c r="AH21" s="321"/>
      <c r="AI21" s="322"/>
      <c r="AJ21" s="321">
        <v>0</v>
      </c>
      <c r="AK21" s="322">
        <v>0</v>
      </c>
      <c r="AL21" s="321">
        <v>0</v>
      </c>
      <c r="AM21" s="322">
        <v>0</v>
      </c>
      <c r="AN21" s="321">
        <v>0</v>
      </c>
      <c r="AO21" s="322">
        <v>0</v>
      </c>
      <c r="AP21" s="321">
        <v>0</v>
      </c>
      <c r="AQ21" s="322">
        <v>0</v>
      </c>
      <c r="AR21" s="321">
        <v>0</v>
      </c>
      <c r="AS21" s="322">
        <v>0</v>
      </c>
      <c r="AT21" s="321"/>
      <c r="AU21" s="322"/>
      <c r="AV21" s="321"/>
      <c r="AW21" s="322"/>
      <c r="AX21" s="321">
        <v>0</v>
      </c>
      <c r="AY21" s="322">
        <v>0</v>
      </c>
      <c r="AZ21" s="321">
        <v>0</v>
      </c>
      <c r="BA21" s="322">
        <v>0</v>
      </c>
      <c r="BB21" s="321">
        <v>0</v>
      </c>
      <c r="BC21" s="322">
        <v>0</v>
      </c>
      <c r="BD21" s="321">
        <v>0</v>
      </c>
      <c r="BE21" s="322">
        <v>0</v>
      </c>
      <c r="BF21" s="321">
        <v>0</v>
      </c>
      <c r="BG21" s="322">
        <v>0</v>
      </c>
      <c r="BH21" s="321"/>
      <c r="BI21" s="322"/>
      <c r="BJ21" s="321"/>
      <c r="BK21" s="322"/>
      <c r="BL21" s="321">
        <v>0</v>
      </c>
      <c r="BM21" s="322">
        <v>0</v>
      </c>
      <c r="BN21" s="321">
        <v>0</v>
      </c>
      <c r="BO21" s="322">
        <v>0</v>
      </c>
      <c r="BP21" s="321">
        <v>0</v>
      </c>
      <c r="BQ21" s="322">
        <v>0</v>
      </c>
      <c r="BR21" s="321">
        <v>0</v>
      </c>
      <c r="BS21" s="322">
        <v>0</v>
      </c>
      <c r="BT21" s="321"/>
      <c r="BU21" s="322"/>
      <c r="BV21" s="264">
        <f>L21+N21+P21+R21+T21+V21+X21+Z21+AB21+AD21+AF21+AH21+AJ21+AL21+AN21+AP21+AR21+AT21+AV21+AX21+AZ21+BB21+BD21+BF21+BH21+BJ21+BL21+BN21+BP21+BR21+BT21</f>
        <v>0</v>
      </c>
      <c r="BW21" s="264">
        <f>M21+O21+Q21+S21+U21+W21+Y21+AA21+AC21+AE21+AG21+AI21+AK21+AM21+AO21+AQ21+AS21+AU21+AW21+AY21+BA21+BC21+BE21+BG21+BI21+BK21+BM21+BO21+BQ21+BS21+BU21</f>
        <v>0</v>
      </c>
    </row>
    <row r="22" spans="1:75" s="62" customFormat="1" ht="21.95" customHeight="1" x14ac:dyDescent="0.2">
      <c r="A22" s="304" t="s">
        <v>3189</v>
      </c>
      <c r="B22" s="305" t="s">
        <v>3190</v>
      </c>
      <c r="C22" s="272" t="s">
        <v>3170</v>
      </c>
      <c r="D22" s="306" t="s">
        <v>3191</v>
      </c>
      <c r="E22" s="307" t="s">
        <v>3192</v>
      </c>
      <c r="F22" s="308" t="s">
        <v>3166</v>
      </c>
      <c r="G22" s="308" t="s">
        <v>3167</v>
      </c>
      <c r="H22" s="309" t="s">
        <v>1471</v>
      </c>
      <c r="I22" s="310" t="s">
        <v>1471</v>
      </c>
      <c r="J22" s="273" t="s">
        <v>3168</v>
      </c>
      <c r="K22" s="273" t="s">
        <v>3171</v>
      </c>
      <c r="L22" s="319">
        <v>0</v>
      </c>
      <c r="M22" s="320">
        <v>0</v>
      </c>
      <c r="N22" s="319">
        <v>0</v>
      </c>
      <c r="O22" s="320">
        <v>0</v>
      </c>
      <c r="P22" s="319">
        <v>0</v>
      </c>
      <c r="Q22" s="320">
        <v>0</v>
      </c>
      <c r="R22" s="319"/>
      <c r="S22" s="320"/>
      <c r="T22" s="319"/>
      <c r="U22" s="320"/>
      <c r="V22" s="319">
        <v>4</v>
      </c>
      <c r="W22" s="320">
        <v>0</v>
      </c>
      <c r="X22" s="319">
        <v>0</v>
      </c>
      <c r="Y22" s="320">
        <v>0</v>
      </c>
      <c r="Z22" s="319">
        <v>0</v>
      </c>
      <c r="AA22" s="320">
        <v>0</v>
      </c>
      <c r="AB22" s="319">
        <v>0</v>
      </c>
      <c r="AC22" s="320">
        <v>0</v>
      </c>
      <c r="AD22" s="319">
        <v>0</v>
      </c>
      <c r="AE22" s="320">
        <v>0</v>
      </c>
      <c r="AF22" s="319"/>
      <c r="AG22" s="320"/>
      <c r="AH22" s="319"/>
      <c r="AI22" s="320"/>
      <c r="AJ22" s="319">
        <v>4</v>
      </c>
      <c r="AK22" s="320">
        <v>0</v>
      </c>
      <c r="AL22" s="319">
        <v>0</v>
      </c>
      <c r="AM22" s="320">
        <v>0</v>
      </c>
      <c r="AN22" s="319">
        <v>0</v>
      </c>
      <c r="AO22" s="320">
        <v>0</v>
      </c>
      <c r="AP22" s="319">
        <v>0</v>
      </c>
      <c r="AQ22" s="320">
        <v>0</v>
      </c>
      <c r="AR22" s="319">
        <v>0</v>
      </c>
      <c r="AS22" s="320">
        <v>0</v>
      </c>
      <c r="AT22" s="319"/>
      <c r="AU22" s="320"/>
      <c r="AV22" s="319"/>
      <c r="AW22" s="320"/>
      <c r="AX22" s="319">
        <v>4</v>
      </c>
      <c r="AY22" s="320">
        <v>0</v>
      </c>
      <c r="AZ22" s="319">
        <v>0</v>
      </c>
      <c r="BA22" s="320">
        <v>0</v>
      </c>
      <c r="BB22" s="319">
        <v>0</v>
      </c>
      <c r="BC22" s="320">
        <v>0</v>
      </c>
      <c r="BD22" s="319">
        <v>0</v>
      </c>
      <c r="BE22" s="320">
        <v>0</v>
      </c>
      <c r="BF22" s="319">
        <v>0</v>
      </c>
      <c r="BG22" s="320">
        <v>0</v>
      </c>
      <c r="BH22" s="319"/>
      <c r="BI22" s="320"/>
      <c r="BJ22" s="319"/>
      <c r="BK22" s="320"/>
      <c r="BL22" s="319">
        <v>4</v>
      </c>
      <c r="BM22" s="320">
        <v>0</v>
      </c>
      <c r="BN22" s="319">
        <v>0</v>
      </c>
      <c r="BO22" s="320">
        <v>0</v>
      </c>
      <c r="BP22" s="319">
        <v>0</v>
      </c>
      <c r="BQ22" s="320">
        <v>0</v>
      </c>
      <c r="BR22" s="319">
        <v>0</v>
      </c>
      <c r="BS22" s="320">
        <v>0</v>
      </c>
      <c r="BT22" s="319"/>
      <c r="BU22" s="320"/>
      <c r="BV22" s="264">
        <f t="shared" ref="BV22:BV25" si="9">L22+N22+P22+R22+T22+V22+X22+Z22+AB22+AD22+AF22+AH22+AJ22+AL22+AN22+AP22+AR22+AT22+AV22+AX22+AZ22+BB22+BD22+BF22+BH22+BJ22+BL22+BN22+BP22+BR22+BT22</f>
        <v>16</v>
      </c>
      <c r="BW22" s="264">
        <f t="shared" ref="BW22:BW25" si="10">M22+O22+Q22+S22+U22+W22+Y22+AA22+AC22+AE22+AG22+AI22+AK22+AM22+AO22+AQ22+AS22+AU22+AW22+AY22+BA22+BC22+BE22+BG22+BI22+BK22+BM22+BO22+BQ22+BS22+BU22</f>
        <v>0</v>
      </c>
    </row>
    <row r="23" spans="1:75" s="62" customFormat="1" ht="21.95" customHeight="1" x14ac:dyDescent="0.2">
      <c r="A23" s="304" t="s">
        <v>3189</v>
      </c>
      <c r="B23" s="305" t="s">
        <v>3190</v>
      </c>
      <c r="C23" s="311" t="s">
        <v>3170</v>
      </c>
      <c r="D23" s="306" t="s">
        <v>3191</v>
      </c>
      <c r="E23" s="307" t="s">
        <v>3192</v>
      </c>
      <c r="F23" s="308" t="s">
        <v>3166</v>
      </c>
      <c r="G23" s="308" t="s">
        <v>3167</v>
      </c>
      <c r="H23" s="309" t="s">
        <v>1471</v>
      </c>
      <c r="I23" s="310" t="s">
        <v>1471</v>
      </c>
      <c r="J23" s="273" t="s">
        <v>3168</v>
      </c>
      <c r="K23" s="275" t="s">
        <v>3172</v>
      </c>
      <c r="L23" s="319">
        <v>0</v>
      </c>
      <c r="M23" s="320">
        <v>0</v>
      </c>
      <c r="N23" s="319">
        <v>0</v>
      </c>
      <c r="O23" s="320">
        <v>0</v>
      </c>
      <c r="P23" s="319">
        <v>0</v>
      </c>
      <c r="Q23" s="320">
        <v>0</v>
      </c>
      <c r="R23" s="319"/>
      <c r="S23" s="320"/>
      <c r="T23" s="319"/>
      <c r="U23" s="320"/>
      <c r="V23" s="319">
        <v>0</v>
      </c>
      <c r="W23" s="320">
        <v>0</v>
      </c>
      <c r="X23" s="319">
        <v>0</v>
      </c>
      <c r="Y23" s="320">
        <v>0</v>
      </c>
      <c r="Z23" s="319">
        <v>0</v>
      </c>
      <c r="AA23" s="320">
        <v>0</v>
      </c>
      <c r="AB23" s="319">
        <v>0</v>
      </c>
      <c r="AC23" s="320">
        <v>0</v>
      </c>
      <c r="AD23" s="319">
        <v>0</v>
      </c>
      <c r="AE23" s="320">
        <v>0</v>
      </c>
      <c r="AF23" s="319"/>
      <c r="AG23" s="320"/>
      <c r="AH23" s="319"/>
      <c r="AI23" s="320"/>
      <c r="AJ23" s="319">
        <v>0</v>
      </c>
      <c r="AK23" s="320">
        <v>0</v>
      </c>
      <c r="AL23" s="319">
        <v>0</v>
      </c>
      <c r="AM23" s="320">
        <v>0</v>
      </c>
      <c r="AN23" s="319">
        <v>0</v>
      </c>
      <c r="AO23" s="320">
        <v>0</v>
      </c>
      <c r="AP23" s="319">
        <v>0</v>
      </c>
      <c r="AQ23" s="320">
        <v>0</v>
      </c>
      <c r="AR23" s="319">
        <v>0</v>
      </c>
      <c r="AS23" s="320">
        <v>0</v>
      </c>
      <c r="AT23" s="319"/>
      <c r="AU23" s="320"/>
      <c r="AV23" s="319"/>
      <c r="AW23" s="320"/>
      <c r="AX23" s="319">
        <v>0</v>
      </c>
      <c r="AY23" s="320">
        <v>0</v>
      </c>
      <c r="AZ23" s="319">
        <v>0</v>
      </c>
      <c r="BA23" s="320">
        <v>0</v>
      </c>
      <c r="BB23" s="319">
        <v>0</v>
      </c>
      <c r="BC23" s="320">
        <v>0</v>
      </c>
      <c r="BD23" s="319">
        <v>0</v>
      </c>
      <c r="BE23" s="320">
        <v>0</v>
      </c>
      <c r="BF23" s="319">
        <v>0</v>
      </c>
      <c r="BG23" s="320">
        <v>0</v>
      </c>
      <c r="BH23" s="319"/>
      <c r="BI23" s="320"/>
      <c r="BJ23" s="319"/>
      <c r="BK23" s="320"/>
      <c r="BL23" s="319">
        <v>0</v>
      </c>
      <c r="BM23" s="320">
        <v>0</v>
      </c>
      <c r="BN23" s="319">
        <v>0</v>
      </c>
      <c r="BO23" s="320">
        <v>0</v>
      </c>
      <c r="BP23" s="319">
        <v>0</v>
      </c>
      <c r="BQ23" s="320">
        <v>0</v>
      </c>
      <c r="BR23" s="319">
        <v>0</v>
      </c>
      <c r="BS23" s="320">
        <v>0</v>
      </c>
      <c r="BT23" s="319"/>
      <c r="BU23" s="320"/>
      <c r="BV23" s="264">
        <f t="shared" si="9"/>
        <v>0</v>
      </c>
      <c r="BW23" s="264">
        <f t="shared" si="10"/>
        <v>0</v>
      </c>
    </row>
    <row r="24" spans="1:75" s="62" customFormat="1" ht="21.95" customHeight="1" x14ac:dyDescent="0.2">
      <c r="A24" s="304" t="s">
        <v>3189</v>
      </c>
      <c r="B24" s="305" t="s">
        <v>3190</v>
      </c>
      <c r="C24" s="311" t="s">
        <v>3170</v>
      </c>
      <c r="D24" s="306" t="s">
        <v>3191</v>
      </c>
      <c r="E24" s="307" t="s">
        <v>3192</v>
      </c>
      <c r="F24" s="308" t="s">
        <v>3166</v>
      </c>
      <c r="G24" s="308" t="s">
        <v>3167</v>
      </c>
      <c r="H24" s="309" t="s">
        <v>1471</v>
      </c>
      <c r="I24" s="310" t="s">
        <v>1471</v>
      </c>
      <c r="J24" s="273" t="s">
        <v>3168</v>
      </c>
      <c r="K24" s="276" t="s">
        <v>3173</v>
      </c>
      <c r="L24" s="319">
        <v>0</v>
      </c>
      <c r="M24" s="320">
        <v>0</v>
      </c>
      <c r="N24" s="319">
        <v>0</v>
      </c>
      <c r="O24" s="320">
        <v>0</v>
      </c>
      <c r="P24" s="319">
        <v>0</v>
      </c>
      <c r="Q24" s="320">
        <v>0</v>
      </c>
      <c r="R24" s="319"/>
      <c r="S24" s="320"/>
      <c r="T24" s="319"/>
      <c r="U24" s="320"/>
      <c r="V24" s="319">
        <v>0</v>
      </c>
      <c r="W24" s="320">
        <v>0</v>
      </c>
      <c r="X24" s="319">
        <v>0</v>
      </c>
      <c r="Y24" s="320">
        <v>0</v>
      </c>
      <c r="Z24" s="319">
        <v>0</v>
      </c>
      <c r="AA24" s="320">
        <v>0</v>
      </c>
      <c r="AB24" s="319">
        <v>0</v>
      </c>
      <c r="AC24" s="320">
        <v>0</v>
      </c>
      <c r="AD24" s="319">
        <v>0</v>
      </c>
      <c r="AE24" s="320">
        <v>0</v>
      </c>
      <c r="AF24" s="319"/>
      <c r="AG24" s="320"/>
      <c r="AH24" s="319"/>
      <c r="AI24" s="320"/>
      <c r="AJ24" s="319">
        <v>0</v>
      </c>
      <c r="AK24" s="320">
        <v>0</v>
      </c>
      <c r="AL24" s="319">
        <v>0</v>
      </c>
      <c r="AM24" s="320">
        <v>0</v>
      </c>
      <c r="AN24" s="319">
        <v>0</v>
      </c>
      <c r="AO24" s="320">
        <v>0</v>
      </c>
      <c r="AP24" s="319">
        <v>0</v>
      </c>
      <c r="AQ24" s="320">
        <v>0</v>
      </c>
      <c r="AR24" s="319">
        <v>0</v>
      </c>
      <c r="AS24" s="320">
        <v>0</v>
      </c>
      <c r="AT24" s="319"/>
      <c r="AU24" s="320"/>
      <c r="AV24" s="319"/>
      <c r="AW24" s="320"/>
      <c r="AX24" s="319">
        <v>0</v>
      </c>
      <c r="AY24" s="320">
        <v>0</v>
      </c>
      <c r="AZ24" s="319">
        <v>0</v>
      </c>
      <c r="BA24" s="320">
        <v>0</v>
      </c>
      <c r="BB24" s="319">
        <v>0</v>
      </c>
      <c r="BC24" s="320">
        <v>0</v>
      </c>
      <c r="BD24" s="319">
        <v>0</v>
      </c>
      <c r="BE24" s="320">
        <v>0</v>
      </c>
      <c r="BF24" s="319">
        <v>0</v>
      </c>
      <c r="BG24" s="320">
        <v>0</v>
      </c>
      <c r="BH24" s="319"/>
      <c r="BI24" s="320"/>
      <c r="BJ24" s="319"/>
      <c r="BK24" s="320"/>
      <c r="BL24" s="319">
        <v>0</v>
      </c>
      <c r="BM24" s="320">
        <v>0</v>
      </c>
      <c r="BN24" s="319">
        <v>0</v>
      </c>
      <c r="BO24" s="320">
        <v>0</v>
      </c>
      <c r="BP24" s="319">
        <v>0</v>
      </c>
      <c r="BQ24" s="320">
        <v>0</v>
      </c>
      <c r="BR24" s="319">
        <v>0</v>
      </c>
      <c r="BS24" s="320">
        <v>0</v>
      </c>
      <c r="BT24" s="319"/>
      <c r="BU24" s="320"/>
      <c r="BV24" s="264">
        <f t="shared" si="9"/>
        <v>0</v>
      </c>
      <c r="BW24" s="264">
        <f t="shared" si="10"/>
        <v>0</v>
      </c>
    </row>
    <row r="25" spans="1:75" s="62" customFormat="1" ht="21.95" customHeight="1" thickBot="1" x14ac:dyDescent="0.25">
      <c r="A25" s="567" t="s">
        <v>3189</v>
      </c>
      <c r="B25" s="312" t="s">
        <v>3190</v>
      </c>
      <c r="C25" s="313" t="s">
        <v>3170</v>
      </c>
      <c r="D25" s="314" t="s">
        <v>3191</v>
      </c>
      <c r="E25" s="330" t="s">
        <v>3192</v>
      </c>
      <c r="F25" s="315" t="s">
        <v>3166</v>
      </c>
      <c r="G25" s="315" t="s">
        <v>3167</v>
      </c>
      <c r="H25" s="316" t="s">
        <v>1471</v>
      </c>
      <c r="I25" s="568" t="s">
        <v>1471</v>
      </c>
      <c r="J25" s="273" t="s">
        <v>3168</v>
      </c>
      <c r="K25" s="277" t="s">
        <v>53</v>
      </c>
      <c r="L25" s="321">
        <v>0</v>
      </c>
      <c r="M25" s="322">
        <v>0</v>
      </c>
      <c r="N25" s="321">
        <v>0</v>
      </c>
      <c r="O25" s="322">
        <v>0</v>
      </c>
      <c r="P25" s="321">
        <v>0</v>
      </c>
      <c r="Q25" s="322">
        <v>0</v>
      </c>
      <c r="R25" s="321"/>
      <c r="S25" s="322"/>
      <c r="T25" s="321"/>
      <c r="U25" s="322"/>
      <c r="V25" s="321">
        <v>0</v>
      </c>
      <c r="W25" s="322">
        <v>0</v>
      </c>
      <c r="X25" s="321">
        <v>0</v>
      </c>
      <c r="Y25" s="322">
        <v>0</v>
      </c>
      <c r="Z25" s="321">
        <v>0</v>
      </c>
      <c r="AA25" s="322">
        <v>0</v>
      </c>
      <c r="AB25" s="321">
        <v>0</v>
      </c>
      <c r="AC25" s="322">
        <v>0</v>
      </c>
      <c r="AD25" s="321">
        <v>0</v>
      </c>
      <c r="AE25" s="322">
        <v>0</v>
      </c>
      <c r="AF25" s="321"/>
      <c r="AG25" s="322"/>
      <c r="AH25" s="321"/>
      <c r="AI25" s="322"/>
      <c r="AJ25" s="321">
        <v>0</v>
      </c>
      <c r="AK25" s="322">
        <v>0</v>
      </c>
      <c r="AL25" s="321">
        <v>0</v>
      </c>
      <c r="AM25" s="322">
        <v>0</v>
      </c>
      <c r="AN25" s="321">
        <v>0</v>
      </c>
      <c r="AO25" s="322">
        <v>0</v>
      </c>
      <c r="AP25" s="321">
        <v>0</v>
      </c>
      <c r="AQ25" s="322">
        <v>0</v>
      </c>
      <c r="AR25" s="321">
        <v>0</v>
      </c>
      <c r="AS25" s="322">
        <v>0</v>
      </c>
      <c r="AT25" s="321"/>
      <c r="AU25" s="322"/>
      <c r="AV25" s="321"/>
      <c r="AW25" s="322"/>
      <c r="AX25" s="321">
        <v>0</v>
      </c>
      <c r="AY25" s="322">
        <v>0</v>
      </c>
      <c r="AZ25" s="321">
        <v>0</v>
      </c>
      <c r="BA25" s="322">
        <v>0</v>
      </c>
      <c r="BB25" s="321">
        <v>0</v>
      </c>
      <c r="BC25" s="322">
        <v>0</v>
      </c>
      <c r="BD25" s="321">
        <v>0</v>
      </c>
      <c r="BE25" s="322">
        <v>0</v>
      </c>
      <c r="BF25" s="321">
        <v>0</v>
      </c>
      <c r="BG25" s="322">
        <v>0</v>
      </c>
      <c r="BH25" s="321"/>
      <c r="BI25" s="322"/>
      <c r="BJ25" s="321"/>
      <c r="BK25" s="322"/>
      <c r="BL25" s="321">
        <v>0</v>
      </c>
      <c r="BM25" s="322">
        <v>0</v>
      </c>
      <c r="BN25" s="321">
        <v>0</v>
      </c>
      <c r="BO25" s="322">
        <v>0</v>
      </c>
      <c r="BP25" s="321">
        <v>0</v>
      </c>
      <c r="BQ25" s="322">
        <v>0</v>
      </c>
      <c r="BR25" s="321">
        <v>0</v>
      </c>
      <c r="BS25" s="322">
        <v>0</v>
      </c>
      <c r="BT25" s="321"/>
      <c r="BU25" s="322"/>
      <c r="BV25" s="264">
        <f t="shared" si="9"/>
        <v>0</v>
      </c>
      <c r="BW25" s="264">
        <f t="shared" si="10"/>
        <v>0</v>
      </c>
    </row>
    <row r="26" spans="1:75" s="62" customFormat="1" ht="21.95" customHeight="1" x14ac:dyDescent="0.25">
      <c r="A26" s="344" t="s">
        <v>3193</v>
      </c>
      <c r="B26" s="433" t="s">
        <v>3194</v>
      </c>
      <c r="C26" s="434">
        <v>2</v>
      </c>
      <c r="D26" s="435" t="s">
        <v>3195</v>
      </c>
      <c r="E26" s="345" t="s">
        <v>3196</v>
      </c>
      <c r="F26" s="436" t="s">
        <v>3166</v>
      </c>
      <c r="G26" s="436" t="s">
        <v>3167</v>
      </c>
      <c r="H26" s="437" t="s">
        <v>1473</v>
      </c>
      <c r="I26" s="303" t="s">
        <v>1473</v>
      </c>
      <c r="J26" s="273" t="s">
        <v>3174</v>
      </c>
      <c r="K26" s="274" t="s">
        <v>3169</v>
      </c>
      <c r="L26" s="321">
        <v>0</v>
      </c>
      <c r="M26" s="322">
        <v>0</v>
      </c>
      <c r="N26" s="321">
        <v>0</v>
      </c>
      <c r="O26" s="322">
        <v>0</v>
      </c>
      <c r="P26" s="321">
        <v>0</v>
      </c>
      <c r="Q26" s="322">
        <v>0</v>
      </c>
      <c r="R26" s="321"/>
      <c r="S26" s="322"/>
      <c r="T26" s="321"/>
      <c r="U26" s="322"/>
      <c r="V26" s="321">
        <v>0</v>
      </c>
      <c r="W26" s="322">
        <v>0</v>
      </c>
      <c r="X26" s="321">
        <v>0</v>
      </c>
      <c r="Y26" s="322">
        <v>0</v>
      </c>
      <c r="Z26" s="321">
        <v>0</v>
      </c>
      <c r="AA26" s="322">
        <v>0</v>
      </c>
      <c r="AB26" s="321">
        <v>0</v>
      </c>
      <c r="AC26" s="322">
        <v>0</v>
      </c>
      <c r="AD26" s="321">
        <v>0</v>
      </c>
      <c r="AE26" s="322">
        <v>0</v>
      </c>
      <c r="AF26" s="321"/>
      <c r="AG26" s="322"/>
      <c r="AH26" s="321"/>
      <c r="AI26" s="322"/>
      <c r="AJ26" s="321">
        <v>0</v>
      </c>
      <c r="AK26" s="322">
        <v>0</v>
      </c>
      <c r="AL26" s="321">
        <v>0</v>
      </c>
      <c r="AM26" s="322">
        <v>0</v>
      </c>
      <c r="AN26" s="321">
        <v>0</v>
      </c>
      <c r="AO26" s="322">
        <v>0</v>
      </c>
      <c r="AP26" s="321">
        <v>0</v>
      </c>
      <c r="AQ26" s="322">
        <v>0</v>
      </c>
      <c r="AR26" s="321">
        <v>0</v>
      </c>
      <c r="AS26" s="322">
        <v>0</v>
      </c>
      <c r="AT26" s="321"/>
      <c r="AU26" s="322"/>
      <c r="AV26" s="321"/>
      <c r="AW26" s="322"/>
      <c r="AX26" s="321">
        <v>0</v>
      </c>
      <c r="AY26" s="322">
        <v>0</v>
      </c>
      <c r="AZ26" s="321">
        <v>0</v>
      </c>
      <c r="BA26" s="322">
        <v>0</v>
      </c>
      <c r="BB26" s="321">
        <v>0</v>
      </c>
      <c r="BC26" s="322">
        <v>0</v>
      </c>
      <c r="BD26" s="321">
        <v>0</v>
      </c>
      <c r="BE26" s="322">
        <v>0</v>
      </c>
      <c r="BF26" s="321">
        <v>0</v>
      </c>
      <c r="BG26" s="322">
        <v>0</v>
      </c>
      <c r="BH26" s="321"/>
      <c r="BI26" s="322"/>
      <c r="BJ26" s="321"/>
      <c r="BK26" s="322"/>
      <c r="BL26" s="321">
        <v>0</v>
      </c>
      <c r="BM26" s="322">
        <v>0</v>
      </c>
      <c r="BN26" s="321">
        <v>0</v>
      </c>
      <c r="BO26" s="322">
        <v>0</v>
      </c>
      <c r="BP26" s="321">
        <v>0</v>
      </c>
      <c r="BQ26" s="322">
        <v>0</v>
      </c>
      <c r="BR26" s="321">
        <v>0</v>
      </c>
      <c r="BS26" s="322">
        <v>0</v>
      </c>
      <c r="BT26" s="321"/>
      <c r="BU26" s="322"/>
      <c r="BV26" s="264">
        <f>L26+N26+P26+R26+T26+V26+X26+Z26+AB26+AD26+AF26+AH26+AJ26+AL26+AN26+AP26+AR26+AT26+AV26+AX26+AZ26+BB26+BD26+BF26+BH26+BJ26+BL26+BN26+BP26+BR26+BT26</f>
        <v>0</v>
      </c>
      <c r="BW26" s="264">
        <f>M26+O26+Q26+S26+U26+W26+Y26+AA26+AC26+AE26+AG26+AI26+AK26+AM26+AO26+AQ26+AS26+AU26+AW26+AY26+BA26+BC26+BE26+BG26+BI26+BK26+BM26+BO26+BQ26+BS26+BU26</f>
        <v>0</v>
      </c>
    </row>
    <row r="27" spans="1:75" s="62" customFormat="1" ht="21.95" customHeight="1" x14ac:dyDescent="0.2">
      <c r="A27" s="304" t="s">
        <v>3193</v>
      </c>
      <c r="B27" s="305" t="s">
        <v>3194</v>
      </c>
      <c r="C27" s="272" t="s">
        <v>3170</v>
      </c>
      <c r="D27" s="306" t="s">
        <v>3195</v>
      </c>
      <c r="E27" s="307" t="s">
        <v>3196</v>
      </c>
      <c r="F27" s="308" t="s">
        <v>3166</v>
      </c>
      <c r="G27" s="308" t="s">
        <v>3167</v>
      </c>
      <c r="H27" s="309" t="s">
        <v>1473</v>
      </c>
      <c r="I27" s="310" t="s">
        <v>1473</v>
      </c>
      <c r="J27" s="273" t="s">
        <v>3174</v>
      </c>
      <c r="K27" s="273" t="s">
        <v>3171</v>
      </c>
      <c r="L27" s="319">
        <v>0</v>
      </c>
      <c r="M27" s="320">
        <v>0</v>
      </c>
      <c r="N27" s="319">
        <v>0</v>
      </c>
      <c r="O27" s="320">
        <v>0</v>
      </c>
      <c r="P27" s="319">
        <v>0</v>
      </c>
      <c r="Q27" s="320">
        <v>0</v>
      </c>
      <c r="R27" s="319"/>
      <c r="S27" s="320"/>
      <c r="T27" s="319"/>
      <c r="U27" s="320"/>
      <c r="V27" s="319">
        <v>0</v>
      </c>
      <c r="W27" s="320">
        <v>0</v>
      </c>
      <c r="X27" s="319">
        <v>0</v>
      </c>
      <c r="Y27" s="320">
        <v>0</v>
      </c>
      <c r="Z27" s="319">
        <v>0</v>
      </c>
      <c r="AA27" s="320">
        <v>0</v>
      </c>
      <c r="AB27" s="319">
        <v>0</v>
      </c>
      <c r="AC27" s="320">
        <v>0</v>
      </c>
      <c r="AD27" s="319">
        <v>0</v>
      </c>
      <c r="AE27" s="320">
        <v>0</v>
      </c>
      <c r="AF27" s="319"/>
      <c r="AG27" s="320"/>
      <c r="AH27" s="319"/>
      <c r="AI27" s="320"/>
      <c r="AJ27" s="319">
        <v>0</v>
      </c>
      <c r="AK27" s="320">
        <v>0</v>
      </c>
      <c r="AL27" s="319">
        <v>0</v>
      </c>
      <c r="AM27" s="320">
        <v>0</v>
      </c>
      <c r="AN27" s="319">
        <v>0</v>
      </c>
      <c r="AO27" s="320">
        <v>0</v>
      </c>
      <c r="AP27" s="319">
        <v>0</v>
      </c>
      <c r="AQ27" s="320">
        <v>0</v>
      </c>
      <c r="AR27" s="319">
        <v>0</v>
      </c>
      <c r="AS27" s="320">
        <v>0</v>
      </c>
      <c r="AT27" s="319"/>
      <c r="AU27" s="320"/>
      <c r="AV27" s="319"/>
      <c r="AW27" s="320"/>
      <c r="AX27" s="319">
        <v>0</v>
      </c>
      <c r="AY27" s="320">
        <v>0</v>
      </c>
      <c r="AZ27" s="319">
        <v>0</v>
      </c>
      <c r="BA27" s="320">
        <v>0</v>
      </c>
      <c r="BB27" s="319">
        <v>0</v>
      </c>
      <c r="BC27" s="320">
        <v>0</v>
      </c>
      <c r="BD27" s="319">
        <v>0</v>
      </c>
      <c r="BE27" s="320">
        <v>0</v>
      </c>
      <c r="BF27" s="319">
        <v>0</v>
      </c>
      <c r="BG27" s="320">
        <v>0</v>
      </c>
      <c r="BH27" s="319"/>
      <c r="BI27" s="320"/>
      <c r="BJ27" s="319"/>
      <c r="BK27" s="320"/>
      <c r="BL27" s="319">
        <v>0</v>
      </c>
      <c r="BM27" s="320">
        <v>0</v>
      </c>
      <c r="BN27" s="319">
        <v>0</v>
      </c>
      <c r="BO27" s="320">
        <v>0</v>
      </c>
      <c r="BP27" s="319">
        <v>0</v>
      </c>
      <c r="BQ27" s="320">
        <v>0</v>
      </c>
      <c r="BR27" s="319">
        <v>0</v>
      </c>
      <c r="BS27" s="320">
        <v>0</v>
      </c>
      <c r="BT27" s="319"/>
      <c r="BU27" s="320"/>
      <c r="BV27" s="264">
        <f t="shared" ref="BV27:BV30" si="11">L27+N27+P27+R27+T27+V27+X27+Z27+AB27+AD27+AF27+AH27+AJ27+AL27+AN27+AP27+AR27+AT27+AV27+AX27+AZ27+BB27+BD27+BF27+BH27+BJ27+BL27+BN27+BP27+BR27+BT27</f>
        <v>0</v>
      </c>
      <c r="BW27" s="264">
        <f t="shared" ref="BW27:BW30" si="12">M27+O27+Q27+S27+U27+W27+Y27+AA27+AC27+AE27+AG27+AI27+AK27+AM27+AO27+AQ27+AS27+AU27+AW27+AY27+BA27+BC27+BE27+BG27+BI27+BK27+BM27+BO27+BQ27+BS27+BU27</f>
        <v>0</v>
      </c>
    </row>
    <row r="28" spans="1:75" s="62" customFormat="1" ht="21.95" customHeight="1" x14ac:dyDescent="0.2">
      <c r="A28" s="304" t="s">
        <v>3193</v>
      </c>
      <c r="B28" s="305" t="s">
        <v>3194</v>
      </c>
      <c r="C28" s="311" t="s">
        <v>3170</v>
      </c>
      <c r="D28" s="306" t="s">
        <v>3195</v>
      </c>
      <c r="E28" s="307" t="s">
        <v>3196</v>
      </c>
      <c r="F28" s="308" t="s">
        <v>3166</v>
      </c>
      <c r="G28" s="308" t="s">
        <v>3167</v>
      </c>
      <c r="H28" s="309" t="s">
        <v>1473</v>
      </c>
      <c r="I28" s="310" t="s">
        <v>1473</v>
      </c>
      <c r="J28" s="273" t="s">
        <v>3174</v>
      </c>
      <c r="K28" s="275" t="s">
        <v>3172</v>
      </c>
      <c r="L28" s="319">
        <v>0</v>
      </c>
      <c r="M28" s="320">
        <v>0</v>
      </c>
      <c r="N28" s="319">
        <v>0</v>
      </c>
      <c r="O28" s="320">
        <v>0</v>
      </c>
      <c r="P28" s="319">
        <v>0</v>
      </c>
      <c r="Q28" s="320">
        <v>0</v>
      </c>
      <c r="R28" s="319"/>
      <c r="S28" s="320"/>
      <c r="T28" s="319"/>
      <c r="U28" s="320"/>
      <c r="V28" s="319">
        <v>0</v>
      </c>
      <c r="W28" s="320">
        <v>0</v>
      </c>
      <c r="X28" s="319">
        <v>0</v>
      </c>
      <c r="Y28" s="320">
        <v>0</v>
      </c>
      <c r="Z28" s="319">
        <v>0</v>
      </c>
      <c r="AA28" s="320">
        <v>0</v>
      </c>
      <c r="AB28" s="319">
        <v>0</v>
      </c>
      <c r="AC28" s="320">
        <v>0</v>
      </c>
      <c r="AD28" s="319">
        <v>0</v>
      </c>
      <c r="AE28" s="320">
        <v>0</v>
      </c>
      <c r="AF28" s="319"/>
      <c r="AG28" s="320"/>
      <c r="AH28" s="319"/>
      <c r="AI28" s="320"/>
      <c r="AJ28" s="319">
        <v>0</v>
      </c>
      <c r="AK28" s="320">
        <v>0</v>
      </c>
      <c r="AL28" s="319">
        <v>0</v>
      </c>
      <c r="AM28" s="320">
        <v>0</v>
      </c>
      <c r="AN28" s="319">
        <v>0</v>
      </c>
      <c r="AO28" s="320">
        <v>0</v>
      </c>
      <c r="AP28" s="319">
        <v>0</v>
      </c>
      <c r="AQ28" s="320">
        <v>0</v>
      </c>
      <c r="AR28" s="319">
        <v>0</v>
      </c>
      <c r="AS28" s="320">
        <v>0</v>
      </c>
      <c r="AT28" s="319"/>
      <c r="AU28" s="320"/>
      <c r="AV28" s="319"/>
      <c r="AW28" s="320"/>
      <c r="AX28" s="319">
        <v>0</v>
      </c>
      <c r="AY28" s="320">
        <v>0</v>
      </c>
      <c r="AZ28" s="319">
        <v>0</v>
      </c>
      <c r="BA28" s="320">
        <v>0</v>
      </c>
      <c r="BB28" s="319">
        <v>0</v>
      </c>
      <c r="BC28" s="320">
        <v>0</v>
      </c>
      <c r="BD28" s="319">
        <v>0</v>
      </c>
      <c r="BE28" s="320">
        <v>0</v>
      </c>
      <c r="BF28" s="319">
        <v>0</v>
      </c>
      <c r="BG28" s="320">
        <v>0</v>
      </c>
      <c r="BH28" s="319"/>
      <c r="BI28" s="320"/>
      <c r="BJ28" s="319"/>
      <c r="BK28" s="320"/>
      <c r="BL28" s="319">
        <v>0</v>
      </c>
      <c r="BM28" s="320">
        <v>0</v>
      </c>
      <c r="BN28" s="319">
        <v>0</v>
      </c>
      <c r="BO28" s="320">
        <v>0</v>
      </c>
      <c r="BP28" s="319">
        <v>0</v>
      </c>
      <c r="BQ28" s="320">
        <v>0</v>
      </c>
      <c r="BR28" s="319">
        <v>0</v>
      </c>
      <c r="BS28" s="320">
        <v>0</v>
      </c>
      <c r="BT28" s="319"/>
      <c r="BU28" s="320"/>
      <c r="BV28" s="264">
        <f t="shared" si="11"/>
        <v>0</v>
      </c>
      <c r="BW28" s="264">
        <f t="shared" si="12"/>
        <v>0</v>
      </c>
    </row>
    <row r="29" spans="1:75" s="62" customFormat="1" ht="21.95" customHeight="1" x14ac:dyDescent="0.2">
      <c r="A29" s="304" t="s">
        <v>3193</v>
      </c>
      <c r="B29" s="305" t="s">
        <v>3194</v>
      </c>
      <c r="C29" s="311" t="s">
        <v>3170</v>
      </c>
      <c r="D29" s="306" t="s">
        <v>3195</v>
      </c>
      <c r="E29" s="307" t="s">
        <v>3196</v>
      </c>
      <c r="F29" s="308" t="s">
        <v>3166</v>
      </c>
      <c r="G29" s="308" t="s">
        <v>3167</v>
      </c>
      <c r="H29" s="309" t="s">
        <v>1473</v>
      </c>
      <c r="I29" s="310" t="s">
        <v>1473</v>
      </c>
      <c r="J29" s="273" t="s">
        <v>3174</v>
      </c>
      <c r="K29" s="276" t="s">
        <v>3173</v>
      </c>
      <c r="L29" s="319">
        <v>0</v>
      </c>
      <c r="M29" s="320">
        <v>0</v>
      </c>
      <c r="N29" s="319">
        <v>0</v>
      </c>
      <c r="O29" s="320">
        <v>0</v>
      </c>
      <c r="P29" s="319">
        <v>0</v>
      </c>
      <c r="Q29" s="320">
        <v>0</v>
      </c>
      <c r="R29" s="319"/>
      <c r="S29" s="320"/>
      <c r="T29" s="319"/>
      <c r="U29" s="320"/>
      <c r="V29" s="319">
        <v>0</v>
      </c>
      <c r="W29" s="320">
        <v>0</v>
      </c>
      <c r="X29" s="319">
        <v>0</v>
      </c>
      <c r="Y29" s="320">
        <v>0</v>
      </c>
      <c r="Z29" s="319">
        <v>0</v>
      </c>
      <c r="AA29" s="320">
        <v>0</v>
      </c>
      <c r="AB29" s="319">
        <v>0</v>
      </c>
      <c r="AC29" s="320">
        <v>0</v>
      </c>
      <c r="AD29" s="319">
        <v>0</v>
      </c>
      <c r="AE29" s="320">
        <v>0</v>
      </c>
      <c r="AF29" s="319"/>
      <c r="AG29" s="320"/>
      <c r="AH29" s="319"/>
      <c r="AI29" s="320"/>
      <c r="AJ29" s="319">
        <v>0</v>
      </c>
      <c r="AK29" s="320">
        <v>0</v>
      </c>
      <c r="AL29" s="319">
        <v>0</v>
      </c>
      <c r="AM29" s="320">
        <v>0</v>
      </c>
      <c r="AN29" s="319">
        <v>0</v>
      </c>
      <c r="AO29" s="320">
        <v>0</v>
      </c>
      <c r="AP29" s="319">
        <v>0</v>
      </c>
      <c r="AQ29" s="320">
        <v>0</v>
      </c>
      <c r="AR29" s="319">
        <v>0</v>
      </c>
      <c r="AS29" s="320">
        <v>0</v>
      </c>
      <c r="AT29" s="319"/>
      <c r="AU29" s="320"/>
      <c r="AV29" s="319"/>
      <c r="AW29" s="320"/>
      <c r="AX29" s="319">
        <v>0</v>
      </c>
      <c r="AY29" s="320">
        <v>0</v>
      </c>
      <c r="AZ29" s="319">
        <v>0</v>
      </c>
      <c r="BA29" s="320">
        <v>0</v>
      </c>
      <c r="BB29" s="319">
        <v>0</v>
      </c>
      <c r="BC29" s="320">
        <v>0</v>
      </c>
      <c r="BD29" s="319">
        <v>0</v>
      </c>
      <c r="BE29" s="320">
        <v>0</v>
      </c>
      <c r="BF29" s="319">
        <v>0</v>
      </c>
      <c r="BG29" s="320">
        <v>0</v>
      </c>
      <c r="BH29" s="319"/>
      <c r="BI29" s="320"/>
      <c r="BJ29" s="319"/>
      <c r="BK29" s="320"/>
      <c r="BL29" s="319">
        <v>0</v>
      </c>
      <c r="BM29" s="320">
        <v>0</v>
      </c>
      <c r="BN29" s="319">
        <v>0</v>
      </c>
      <c r="BO29" s="320">
        <v>0</v>
      </c>
      <c r="BP29" s="319">
        <v>0</v>
      </c>
      <c r="BQ29" s="320">
        <v>0</v>
      </c>
      <c r="BR29" s="319">
        <v>0</v>
      </c>
      <c r="BS29" s="320">
        <v>0</v>
      </c>
      <c r="BT29" s="319"/>
      <c r="BU29" s="320"/>
      <c r="BV29" s="264">
        <f t="shared" si="11"/>
        <v>0</v>
      </c>
      <c r="BW29" s="264">
        <f t="shared" si="12"/>
        <v>0</v>
      </c>
    </row>
    <row r="30" spans="1:75" s="62" customFormat="1" ht="21.95" customHeight="1" thickBot="1" x14ac:dyDescent="0.25">
      <c r="A30" s="567" t="s">
        <v>3193</v>
      </c>
      <c r="B30" s="312" t="s">
        <v>3194</v>
      </c>
      <c r="C30" s="313" t="s">
        <v>3170</v>
      </c>
      <c r="D30" s="314" t="s">
        <v>3195</v>
      </c>
      <c r="E30" s="330" t="s">
        <v>3196</v>
      </c>
      <c r="F30" s="315" t="s">
        <v>3166</v>
      </c>
      <c r="G30" s="315" t="s">
        <v>3167</v>
      </c>
      <c r="H30" s="316" t="s">
        <v>1473</v>
      </c>
      <c r="I30" s="568" t="s">
        <v>1473</v>
      </c>
      <c r="J30" s="273" t="s">
        <v>3174</v>
      </c>
      <c r="K30" s="277" t="s">
        <v>53</v>
      </c>
      <c r="L30" s="321">
        <v>0</v>
      </c>
      <c r="M30" s="322">
        <v>0</v>
      </c>
      <c r="N30" s="321">
        <v>0</v>
      </c>
      <c r="O30" s="322">
        <v>0</v>
      </c>
      <c r="P30" s="321">
        <v>0</v>
      </c>
      <c r="Q30" s="322">
        <v>0</v>
      </c>
      <c r="R30" s="321"/>
      <c r="S30" s="322"/>
      <c r="T30" s="321"/>
      <c r="U30" s="322"/>
      <c r="V30" s="321">
        <v>0</v>
      </c>
      <c r="W30" s="322">
        <v>0</v>
      </c>
      <c r="X30" s="321">
        <v>0</v>
      </c>
      <c r="Y30" s="322">
        <v>0</v>
      </c>
      <c r="Z30" s="321">
        <v>0</v>
      </c>
      <c r="AA30" s="322">
        <v>0</v>
      </c>
      <c r="AB30" s="321">
        <v>0</v>
      </c>
      <c r="AC30" s="322">
        <v>0</v>
      </c>
      <c r="AD30" s="321">
        <v>0</v>
      </c>
      <c r="AE30" s="322">
        <v>0</v>
      </c>
      <c r="AF30" s="321"/>
      <c r="AG30" s="322"/>
      <c r="AH30" s="321"/>
      <c r="AI30" s="322"/>
      <c r="AJ30" s="321">
        <v>0</v>
      </c>
      <c r="AK30" s="322">
        <v>0</v>
      </c>
      <c r="AL30" s="321">
        <v>0</v>
      </c>
      <c r="AM30" s="322">
        <v>0</v>
      </c>
      <c r="AN30" s="321">
        <v>0</v>
      </c>
      <c r="AO30" s="322">
        <v>0</v>
      </c>
      <c r="AP30" s="321">
        <v>0</v>
      </c>
      <c r="AQ30" s="322">
        <v>0</v>
      </c>
      <c r="AR30" s="321">
        <v>0</v>
      </c>
      <c r="AS30" s="322">
        <v>0</v>
      </c>
      <c r="AT30" s="321"/>
      <c r="AU30" s="322"/>
      <c r="AV30" s="321"/>
      <c r="AW30" s="322"/>
      <c r="AX30" s="321">
        <v>0</v>
      </c>
      <c r="AY30" s="322">
        <v>0</v>
      </c>
      <c r="AZ30" s="321">
        <v>0</v>
      </c>
      <c r="BA30" s="322">
        <v>0</v>
      </c>
      <c r="BB30" s="321">
        <v>0</v>
      </c>
      <c r="BC30" s="322">
        <v>0</v>
      </c>
      <c r="BD30" s="321">
        <v>0</v>
      </c>
      <c r="BE30" s="322">
        <v>0</v>
      </c>
      <c r="BF30" s="321">
        <v>0</v>
      </c>
      <c r="BG30" s="322">
        <v>0</v>
      </c>
      <c r="BH30" s="321"/>
      <c r="BI30" s="322"/>
      <c r="BJ30" s="321"/>
      <c r="BK30" s="322"/>
      <c r="BL30" s="321">
        <v>0</v>
      </c>
      <c r="BM30" s="322">
        <v>0</v>
      </c>
      <c r="BN30" s="321">
        <v>0</v>
      </c>
      <c r="BO30" s="322">
        <v>0</v>
      </c>
      <c r="BP30" s="321">
        <v>0</v>
      </c>
      <c r="BQ30" s="322">
        <v>0</v>
      </c>
      <c r="BR30" s="321">
        <v>0</v>
      </c>
      <c r="BS30" s="322">
        <v>0</v>
      </c>
      <c r="BT30" s="321"/>
      <c r="BU30" s="322"/>
      <c r="BV30" s="264">
        <f t="shared" si="11"/>
        <v>0</v>
      </c>
      <c r="BW30" s="264">
        <f t="shared" si="12"/>
        <v>0</v>
      </c>
    </row>
    <row r="31" spans="1:75" s="62" customFormat="1" ht="21.95" customHeight="1" x14ac:dyDescent="0.25">
      <c r="A31" s="344" t="s">
        <v>3197</v>
      </c>
      <c r="B31" s="433" t="s">
        <v>3198</v>
      </c>
      <c r="C31" s="434">
        <v>2</v>
      </c>
      <c r="D31" s="435" t="s">
        <v>3199</v>
      </c>
      <c r="E31" s="345" t="s">
        <v>3200</v>
      </c>
      <c r="F31" s="436" t="s">
        <v>3166</v>
      </c>
      <c r="G31" s="436" t="s">
        <v>3167</v>
      </c>
      <c r="H31" s="437" t="s">
        <v>1476</v>
      </c>
      <c r="I31" s="303" t="s">
        <v>1476</v>
      </c>
      <c r="J31" s="273" t="s">
        <v>3174</v>
      </c>
      <c r="K31" s="274" t="s">
        <v>3169</v>
      </c>
      <c r="L31" s="321">
        <v>0</v>
      </c>
      <c r="M31" s="322">
        <v>0</v>
      </c>
      <c r="N31" s="321">
        <v>0</v>
      </c>
      <c r="O31" s="322">
        <v>0</v>
      </c>
      <c r="P31" s="321">
        <v>0</v>
      </c>
      <c r="Q31" s="322">
        <v>0</v>
      </c>
      <c r="R31" s="321"/>
      <c r="S31" s="322"/>
      <c r="T31" s="321"/>
      <c r="U31" s="322"/>
      <c r="V31" s="321">
        <v>0</v>
      </c>
      <c r="W31" s="322">
        <v>1</v>
      </c>
      <c r="X31" s="321">
        <v>0</v>
      </c>
      <c r="Y31" s="322">
        <v>0</v>
      </c>
      <c r="Z31" s="321">
        <v>0</v>
      </c>
      <c r="AA31" s="322">
        <v>0</v>
      </c>
      <c r="AB31" s="321">
        <v>0</v>
      </c>
      <c r="AC31" s="322">
        <v>0</v>
      </c>
      <c r="AD31" s="321">
        <v>0</v>
      </c>
      <c r="AE31" s="322">
        <v>0</v>
      </c>
      <c r="AF31" s="321"/>
      <c r="AG31" s="322"/>
      <c r="AH31" s="321"/>
      <c r="AI31" s="322"/>
      <c r="AJ31" s="321">
        <v>0</v>
      </c>
      <c r="AK31" s="322">
        <v>1</v>
      </c>
      <c r="AL31" s="321">
        <v>0</v>
      </c>
      <c r="AM31" s="322">
        <v>0</v>
      </c>
      <c r="AN31" s="321">
        <v>0</v>
      </c>
      <c r="AO31" s="322">
        <v>0</v>
      </c>
      <c r="AP31" s="321">
        <v>0</v>
      </c>
      <c r="AQ31" s="322">
        <v>0</v>
      </c>
      <c r="AR31" s="321">
        <v>0</v>
      </c>
      <c r="AS31" s="322">
        <v>0</v>
      </c>
      <c r="AT31" s="321"/>
      <c r="AU31" s="322"/>
      <c r="AV31" s="321"/>
      <c r="AW31" s="322"/>
      <c r="AX31" s="321">
        <v>0</v>
      </c>
      <c r="AY31" s="322">
        <v>1</v>
      </c>
      <c r="AZ31" s="321">
        <v>0</v>
      </c>
      <c r="BA31" s="322">
        <v>0</v>
      </c>
      <c r="BB31" s="321">
        <v>0</v>
      </c>
      <c r="BC31" s="322">
        <v>0</v>
      </c>
      <c r="BD31" s="321">
        <v>0</v>
      </c>
      <c r="BE31" s="322">
        <v>0</v>
      </c>
      <c r="BF31" s="321">
        <v>0</v>
      </c>
      <c r="BG31" s="322">
        <v>0</v>
      </c>
      <c r="BH31" s="321"/>
      <c r="BI31" s="322"/>
      <c r="BJ31" s="321"/>
      <c r="BK31" s="322"/>
      <c r="BL31" s="321">
        <v>0</v>
      </c>
      <c r="BM31" s="322">
        <v>1</v>
      </c>
      <c r="BN31" s="321">
        <v>0</v>
      </c>
      <c r="BO31" s="322">
        <v>0</v>
      </c>
      <c r="BP31" s="321">
        <v>0</v>
      </c>
      <c r="BQ31" s="322">
        <v>0</v>
      </c>
      <c r="BR31" s="321">
        <v>0</v>
      </c>
      <c r="BS31" s="322">
        <v>0</v>
      </c>
      <c r="BT31" s="321"/>
      <c r="BU31" s="322"/>
      <c r="BV31" s="264">
        <f>L31+N31+P31+R31+T31+V31+X31+Z31+AB31+AD31+AF31+AH31+AJ31+AL31+AN31+AP31+AR31+AT31+AV31+AX31+AZ31+BB31+BD31+BF31+BH31+BJ31+BL31+BN31+BP31+BR31+BT31</f>
        <v>0</v>
      </c>
      <c r="BW31" s="264">
        <f>M31+O31+Q31+S31+U31+W31+Y31+AA31+AC31+AE31+AG31+AI31+AK31+AM31+AO31+AQ31+AS31+AU31+AW31+AY31+BA31+BC31+BE31+BG31+BI31+BK31+BM31+BO31+BQ31+BS31+BU31</f>
        <v>4</v>
      </c>
    </row>
    <row r="32" spans="1:75" s="62" customFormat="1" ht="21.95" customHeight="1" x14ac:dyDescent="0.2">
      <c r="A32" s="304" t="s">
        <v>3197</v>
      </c>
      <c r="B32" s="305" t="s">
        <v>3198</v>
      </c>
      <c r="C32" s="272" t="s">
        <v>3170</v>
      </c>
      <c r="D32" s="306" t="s">
        <v>3199</v>
      </c>
      <c r="E32" s="307" t="s">
        <v>3200</v>
      </c>
      <c r="F32" s="308" t="s">
        <v>3166</v>
      </c>
      <c r="G32" s="308" t="s">
        <v>3167</v>
      </c>
      <c r="H32" s="309" t="s">
        <v>1476</v>
      </c>
      <c r="I32" s="310" t="s">
        <v>1476</v>
      </c>
      <c r="J32" s="273" t="s">
        <v>3174</v>
      </c>
      <c r="K32" s="273" t="s">
        <v>3171</v>
      </c>
      <c r="L32" s="319">
        <v>0</v>
      </c>
      <c r="M32" s="320">
        <v>0</v>
      </c>
      <c r="N32" s="319">
        <v>0</v>
      </c>
      <c r="O32" s="320">
        <v>0</v>
      </c>
      <c r="P32" s="319">
        <v>0</v>
      </c>
      <c r="Q32" s="320">
        <v>0</v>
      </c>
      <c r="R32" s="319"/>
      <c r="S32" s="320"/>
      <c r="T32" s="319"/>
      <c r="U32" s="320"/>
      <c r="V32" s="319">
        <v>3</v>
      </c>
      <c r="W32" s="320">
        <v>0</v>
      </c>
      <c r="X32" s="319">
        <v>0</v>
      </c>
      <c r="Y32" s="320">
        <v>0</v>
      </c>
      <c r="Z32" s="319">
        <v>0</v>
      </c>
      <c r="AA32" s="320">
        <v>0</v>
      </c>
      <c r="AB32" s="319">
        <v>0</v>
      </c>
      <c r="AC32" s="320">
        <v>0</v>
      </c>
      <c r="AD32" s="319">
        <v>0</v>
      </c>
      <c r="AE32" s="320">
        <v>0</v>
      </c>
      <c r="AF32" s="319"/>
      <c r="AG32" s="320"/>
      <c r="AH32" s="319"/>
      <c r="AI32" s="320"/>
      <c r="AJ32" s="319">
        <v>3</v>
      </c>
      <c r="AK32" s="320">
        <v>0</v>
      </c>
      <c r="AL32" s="319">
        <v>0</v>
      </c>
      <c r="AM32" s="320">
        <v>0</v>
      </c>
      <c r="AN32" s="319">
        <v>0</v>
      </c>
      <c r="AO32" s="320">
        <v>0</v>
      </c>
      <c r="AP32" s="319">
        <v>0</v>
      </c>
      <c r="AQ32" s="320">
        <v>0</v>
      </c>
      <c r="AR32" s="319">
        <v>0</v>
      </c>
      <c r="AS32" s="320">
        <v>0</v>
      </c>
      <c r="AT32" s="319"/>
      <c r="AU32" s="320"/>
      <c r="AV32" s="319"/>
      <c r="AW32" s="320"/>
      <c r="AX32" s="319">
        <v>3</v>
      </c>
      <c r="AY32" s="320">
        <v>0</v>
      </c>
      <c r="AZ32" s="319">
        <v>0</v>
      </c>
      <c r="BA32" s="320">
        <v>0</v>
      </c>
      <c r="BB32" s="319">
        <v>0</v>
      </c>
      <c r="BC32" s="320">
        <v>0</v>
      </c>
      <c r="BD32" s="319">
        <v>0</v>
      </c>
      <c r="BE32" s="320">
        <v>0</v>
      </c>
      <c r="BF32" s="319">
        <v>0</v>
      </c>
      <c r="BG32" s="320">
        <v>0</v>
      </c>
      <c r="BH32" s="319"/>
      <c r="BI32" s="320"/>
      <c r="BJ32" s="319"/>
      <c r="BK32" s="320"/>
      <c r="BL32" s="319">
        <v>3</v>
      </c>
      <c r="BM32" s="320">
        <v>0</v>
      </c>
      <c r="BN32" s="319">
        <v>0</v>
      </c>
      <c r="BO32" s="320">
        <v>0</v>
      </c>
      <c r="BP32" s="319">
        <v>0</v>
      </c>
      <c r="BQ32" s="320">
        <v>0</v>
      </c>
      <c r="BR32" s="319">
        <v>0</v>
      </c>
      <c r="BS32" s="320">
        <v>0</v>
      </c>
      <c r="BT32" s="319"/>
      <c r="BU32" s="320"/>
      <c r="BV32" s="264">
        <f t="shared" ref="BV32:BV35" si="13">L32+N32+P32+R32+T32+V32+X32+Z32+AB32+AD32+AF32+AH32+AJ32+AL32+AN32+AP32+AR32+AT32+AV32+AX32+AZ32+BB32+BD32+BF32+BH32+BJ32+BL32+BN32+BP32+BR32+BT32</f>
        <v>12</v>
      </c>
      <c r="BW32" s="264">
        <f t="shared" ref="BW32:BW35" si="14">M32+O32+Q32+S32+U32+W32+Y32+AA32+AC32+AE32+AG32+AI32+AK32+AM32+AO32+AQ32+AS32+AU32+AW32+AY32+BA32+BC32+BE32+BG32+BI32+BK32+BM32+BO32+BQ32+BS32+BU32</f>
        <v>0</v>
      </c>
    </row>
    <row r="33" spans="1:75" s="62" customFormat="1" ht="21.95" customHeight="1" x14ac:dyDescent="0.2">
      <c r="A33" s="304" t="s">
        <v>3197</v>
      </c>
      <c r="B33" s="305" t="s">
        <v>3198</v>
      </c>
      <c r="C33" s="311" t="s">
        <v>3170</v>
      </c>
      <c r="D33" s="306" t="s">
        <v>3199</v>
      </c>
      <c r="E33" s="307" t="s">
        <v>3200</v>
      </c>
      <c r="F33" s="308" t="s">
        <v>3166</v>
      </c>
      <c r="G33" s="308" t="s">
        <v>3167</v>
      </c>
      <c r="H33" s="309" t="s">
        <v>1476</v>
      </c>
      <c r="I33" s="310" t="s">
        <v>1476</v>
      </c>
      <c r="J33" s="273" t="s">
        <v>3174</v>
      </c>
      <c r="K33" s="275" t="s">
        <v>3172</v>
      </c>
      <c r="L33" s="319">
        <v>0</v>
      </c>
      <c r="M33" s="320">
        <v>0</v>
      </c>
      <c r="N33" s="319">
        <v>0</v>
      </c>
      <c r="O33" s="320">
        <v>0</v>
      </c>
      <c r="P33" s="319">
        <v>0</v>
      </c>
      <c r="Q33" s="320">
        <v>0</v>
      </c>
      <c r="R33" s="319"/>
      <c r="S33" s="320"/>
      <c r="T33" s="319"/>
      <c r="U33" s="320"/>
      <c r="V33" s="319">
        <v>0</v>
      </c>
      <c r="W33" s="320">
        <v>0</v>
      </c>
      <c r="X33" s="319">
        <v>0</v>
      </c>
      <c r="Y33" s="320">
        <v>0</v>
      </c>
      <c r="Z33" s="319">
        <v>0</v>
      </c>
      <c r="AA33" s="320">
        <v>0</v>
      </c>
      <c r="AB33" s="319">
        <v>0</v>
      </c>
      <c r="AC33" s="320">
        <v>0</v>
      </c>
      <c r="AD33" s="319">
        <v>0</v>
      </c>
      <c r="AE33" s="320">
        <v>0</v>
      </c>
      <c r="AF33" s="319"/>
      <c r="AG33" s="320"/>
      <c r="AH33" s="319"/>
      <c r="AI33" s="320"/>
      <c r="AJ33" s="319">
        <v>0</v>
      </c>
      <c r="AK33" s="320">
        <v>0</v>
      </c>
      <c r="AL33" s="319">
        <v>0</v>
      </c>
      <c r="AM33" s="320">
        <v>0</v>
      </c>
      <c r="AN33" s="319">
        <v>0</v>
      </c>
      <c r="AO33" s="320">
        <v>0</v>
      </c>
      <c r="AP33" s="319">
        <v>0</v>
      </c>
      <c r="AQ33" s="320">
        <v>0</v>
      </c>
      <c r="AR33" s="319">
        <v>0</v>
      </c>
      <c r="AS33" s="320">
        <v>0</v>
      </c>
      <c r="AT33" s="319"/>
      <c r="AU33" s="320"/>
      <c r="AV33" s="319"/>
      <c r="AW33" s="320"/>
      <c r="AX33" s="319">
        <v>0</v>
      </c>
      <c r="AY33" s="320">
        <v>0</v>
      </c>
      <c r="AZ33" s="319">
        <v>0</v>
      </c>
      <c r="BA33" s="320">
        <v>0</v>
      </c>
      <c r="BB33" s="319">
        <v>0</v>
      </c>
      <c r="BC33" s="320">
        <v>0</v>
      </c>
      <c r="BD33" s="319">
        <v>0</v>
      </c>
      <c r="BE33" s="320">
        <v>0</v>
      </c>
      <c r="BF33" s="319">
        <v>0</v>
      </c>
      <c r="BG33" s="320">
        <v>0</v>
      </c>
      <c r="BH33" s="319"/>
      <c r="BI33" s="320"/>
      <c r="BJ33" s="319"/>
      <c r="BK33" s="320"/>
      <c r="BL33" s="319">
        <v>0</v>
      </c>
      <c r="BM33" s="320">
        <v>0</v>
      </c>
      <c r="BN33" s="319">
        <v>0</v>
      </c>
      <c r="BO33" s="320">
        <v>0</v>
      </c>
      <c r="BP33" s="319">
        <v>0</v>
      </c>
      <c r="BQ33" s="320">
        <v>0</v>
      </c>
      <c r="BR33" s="319">
        <v>0</v>
      </c>
      <c r="BS33" s="320">
        <v>0</v>
      </c>
      <c r="BT33" s="319"/>
      <c r="BU33" s="320"/>
      <c r="BV33" s="264">
        <f t="shared" si="13"/>
        <v>0</v>
      </c>
      <c r="BW33" s="264">
        <f t="shared" si="14"/>
        <v>0</v>
      </c>
    </row>
    <row r="34" spans="1:75" s="62" customFormat="1" ht="21.95" customHeight="1" x14ac:dyDescent="0.2">
      <c r="A34" s="304" t="s">
        <v>3197</v>
      </c>
      <c r="B34" s="305" t="s">
        <v>3198</v>
      </c>
      <c r="C34" s="311" t="s">
        <v>3170</v>
      </c>
      <c r="D34" s="306" t="s">
        <v>3199</v>
      </c>
      <c r="E34" s="307" t="s">
        <v>3200</v>
      </c>
      <c r="F34" s="308" t="s">
        <v>3166</v>
      </c>
      <c r="G34" s="308" t="s">
        <v>3167</v>
      </c>
      <c r="H34" s="309" t="s">
        <v>1476</v>
      </c>
      <c r="I34" s="310" t="s">
        <v>1476</v>
      </c>
      <c r="J34" s="273" t="s">
        <v>3174</v>
      </c>
      <c r="K34" s="276" t="s">
        <v>3173</v>
      </c>
      <c r="L34" s="319">
        <v>0</v>
      </c>
      <c r="M34" s="320">
        <v>0</v>
      </c>
      <c r="N34" s="319">
        <v>0</v>
      </c>
      <c r="O34" s="320">
        <v>0</v>
      </c>
      <c r="P34" s="319">
        <v>0</v>
      </c>
      <c r="Q34" s="320">
        <v>0</v>
      </c>
      <c r="R34" s="319"/>
      <c r="S34" s="320"/>
      <c r="T34" s="319"/>
      <c r="U34" s="320"/>
      <c r="V34" s="319">
        <v>0</v>
      </c>
      <c r="W34" s="320">
        <v>0</v>
      </c>
      <c r="X34" s="319">
        <v>0</v>
      </c>
      <c r="Y34" s="320">
        <v>0</v>
      </c>
      <c r="Z34" s="319">
        <v>0</v>
      </c>
      <c r="AA34" s="320">
        <v>0</v>
      </c>
      <c r="AB34" s="319">
        <v>0</v>
      </c>
      <c r="AC34" s="320">
        <v>0</v>
      </c>
      <c r="AD34" s="319">
        <v>0</v>
      </c>
      <c r="AE34" s="320">
        <v>0</v>
      </c>
      <c r="AF34" s="319"/>
      <c r="AG34" s="320"/>
      <c r="AH34" s="319"/>
      <c r="AI34" s="320"/>
      <c r="AJ34" s="319">
        <v>0</v>
      </c>
      <c r="AK34" s="320">
        <v>0</v>
      </c>
      <c r="AL34" s="319">
        <v>0</v>
      </c>
      <c r="AM34" s="320">
        <v>0</v>
      </c>
      <c r="AN34" s="319">
        <v>0</v>
      </c>
      <c r="AO34" s="320">
        <v>0</v>
      </c>
      <c r="AP34" s="319">
        <v>0</v>
      </c>
      <c r="AQ34" s="320">
        <v>0</v>
      </c>
      <c r="AR34" s="319">
        <v>0</v>
      </c>
      <c r="AS34" s="320">
        <v>0</v>
      </c>
      <c r="AT34" s="319"/>
      <c r="AU34" s="320"/>
      <c r="AV34" s="319"/>
      <c r="AW34" s="320"/>
      <c r="AX34" s="319">
        <v>0</v>
      </c>
      <c r="AY34" s="320">
        <v>0</v>
      </c>
      <c r="AZ34" s="319">
        <v>0</v>
      </c>
      <c r="BA34" s="320">
        <v>0</v>
      </c>
      <c r="BB34" s="319">
        <v>0</v>
      </c>
      <c r="BC34" s="320">
        <v>0</v>
      </c>
      <c r="BD34" s="319">
        <v>0</v>
      </c>
      <c r="BE34" s="320">
        <v>0</v>
      </c>
      <c r="BF34" s="319">
        <v>0</v>
      </c>
      <c r="BG34" s="320">
        <v>0</v>
      </c>
      <c r="BH34" s="319"/>
      <c r="BI34" s="320"/>
      <c r="BJ34" s="319"/>
      <c r="BK34" s="320"/>
      <c r="BL34" s="319">
        <v>0</v>
      </c>
      <c r="BM34" s="320">
        <v>0</v>
      </c>
      <c r="BN34" s="319">
        <v>0</v>
      </c>
      <c r="BO34" s="320">
        <v>0</v>
      </c>
      <c r="BP34" s="319">
        <v>0</v>
      </c>
      <c r="BQ34" s="320">
        <v>0</v>
      </c>
      <c r="BR34" s="319">
        <v>0</v>
      </c>
      <c r="BS34" s="320">
        <v>0</v>
      </c>
      <c r="BT34" s="319"/>
      <c r="BU34" s="320"/>
      <c r="BV34" s="264">
        <f t="shared" si="13"/>
        <v>0</v>
      </c>
      <c r="BW34" s="264">
        <f t="shared" si="14"/>
        <v>0</v>
      </c>
    </row>
    <row r="35" spans="1:75" s="62" customFormat="1" ht="21.95" customHeight="1" thickBot="1" x14ac:dyDescent="0.25">
      <c r="A35" s="567" t="s">
        <v>3197</v>
      </c>
      <c r="B35" s="312" t="s">
        <v>3198</v>
      </c>
      <c r="C35" s="313" t="s">
        <v>3170</v>
      </c>
      <c r="D35" s="314" t="s">
        <v>3199</v>
      </c>
      <c r="E35" s="330" t="s">
        <v>3200</v>
      </c>
      <c r="F35" s="315" t="s">
        <v>3166</v>
      </c>
      <c r="G35" s="315" t="s">
        <v>3167</v>
      </c>
      <c r="H35" s="316" t="s">
        <v>1476</v>
      </c>
      <c r="I35" s="568" t="s">
        <v>1476</v>
      </c>
      <c r="J35" s="273" t="s">
        <v>3174</v>
      </c>
      <c r="K35" s="277" t="s">
        <v>53</v>
      </c>
      <c r="L35" s="321">
        <v>0</v>
      </c>
      <c r="M35" s="322">
        <v>0</v>
      </c>
      <c r="N35" s="321">
        <v>0</v>
      </c>
      <c r="O35" s="322">
        <v>0</v>
      </c>
      <c r="P35" s="321">
        <v>0</v>
      </c>
      <c r="Q35" s="322">
        <v>0</v>
      </c>
      <c r="R35" s="321"/>
      <c r="S35" s="322"/>
      <c r="T35" s="321"/>
      <c r="U35" s="322"/>
      <c r="V35" s="321">
        <v>0</v>
      </c>
      <c r="W35" s="322">
        <v>0</v>
      </c>
      <c r="X35" s="321">
        <v>0</v>
      </c>
      <c r="Y35" s="322">
        <v>0</v>
      </c>
      <c r="Z35" s="321">
        <v>0</v>
      </c>
      <c r="AA35" s="322">
        <v>0</v>
      </c>
      <c r="AB35" s="321">
        <v>0</v>
      </c>
      <c r="AC35" s="322">
        <v>0</v>
      </c>
      <c r="AD35" s="321">
        <v>0</v>
      </c>
      <c r="AE35" s="322">
        <v>0</v>
      </c>
      <c r="AF35" s="321"/>
      <c r="AG35" s="322"/>
      <c r="AH35" s="321"/>
      <c r="AI35" s="322"/>
      <c r="AJ35" s="321">
        <v>0</v>
      </c>
      <c r="AK35" s="322">
        <v>0</v>
      </c>
      <c r="AL35" s="321">
        <v>0</v>
      </c>
      <c r="AM35" s="322">
        <v>0</v>
      </c>
      <c r="AN35" s="321">
        <v>0</v>
      </c>
      <c r="AO35" s="322">
        <v>0</v>
      </c>
      <c r="AP35" s="321">
        <v>0</v>
      </c>
      <c r="AQ35" s="322">
        <v>0</v>
      </c>
      <c r="AR35" s="321">
        <v>0</v>
      </c>
      <c r="AS35" s="322">
        <v>0</v>
      </c>
      <c r="AT35" s="321"/>
      <c r="AU35" s="322"/>
      <c r="AV35" s="321"/>
      <c r="AW35" s="322"/>
      <c r="AX35" s="321">
        <v>0</v>
      </c>
      <c r="AY35" s="322">
        <v>0</v>
      </c>
      <c r="AZ35" s="321">
        <v>0</v>
      </c>
      <c r="BA35" s="322">
        <v>0</v>
      </c>
      <c r="BB35" s="321">
        <v>0</v>
      </c>
      <c r="BC35" s="322">
        <v>0</v>
      </c>
      <c r="BD35" s="321">
        <v>0</v>
      </c>
      <c r="BE35" s="322">
        <v>0</v>
      </c>
      <c r="BF35" s="321">
        <v>0</v>
      </c>
      <c r="BG35" s="322">
        <v>0</v>
      </c>
      <c r="BH35" s="321"/>
      <c r="BI35" s="322"/>
      <c r="BJ35" s="321"/>
      <c r="BK35" s="322"/>
      <c r="BL35" s="321">
        <v>0</v>
      </c>
      <c r="BM35" s="322">
        <v>0</v>
      </c>
      <c r="BN35" s="321">
        <v>0</v>
      </c>
      <c r="BO35" s="322">
        <v>0</v>
      </c>
      <c r="BP35" s="321">
        <v>0</v>
      </c>
      <c r="BQ35" s="322">
        <v>0</v>
      </c>
      <c r="BR35" s="321">
        <v>0</v>
      </c>
      <c r="BS35" s="322">
        <v>0</v>
      </c>
      <c r="BT35" s="321"/>
      <c r="BU35" s="322"/>
      <c r="BV35" s="264">
        <f t="shared" si="13"/>
        <v>0</v>
      </c>
      <c r="BW35" s="264">
        <f t="shared" si="14"/>
        <v>0</v>
      </c>
    </row>
    <row r="36" spans="1:75" s="62" customFormat="1" ht="21.95" customHeight="1" x14ac:dyDescent="0.25">
      <c r="A36" s="344" t="s">
        <v>3201</v>
      </c>
      <c r="B36" s="433" t="s">
        <v>3202</v>
      </c>
      <c r="C36" s="434">
        <v>2</v>
      </c>
      <c r="D36" s="435" t="s">
        <v>3203</v>
      </c>
      <c r="E36" s="345" t="s">
        <v>3204</v>
      </c>
      <c r="F36" s="436" t="s">
        <v>3166</v>
      </c>
      <c r="G36" s="436" t="s">
        <v>3167</v>
      </c>
      <c r="H36" s="437" t="s">
        <v>1477</v>
      </c>
      <c r="I36" s="303" t="s">
        <v>1477</v>
      </c>
      <c r="J36" s="273" t="s">
        <v>3174</v>
      </c>
      <c r="K36" s="274" t="s">
        <v>3169</v>
      </c>
      <c r="L36" s="321">
        <v>0</v>
      </c>
      <c r="M36" s="322">
        <v>0</v>
      </c>
      <c r="N36" s="321">
        <v>0</v>
      </c>
      <c r="O36" s="322">
        <v>0</v>
      </c>
      <c r="P36" s="321">
        <v>0</v>
      </c>
      <c r="Q36" s="322">
        <v>0</v>
      </c>
      <c r="R36" s="321"/>
      <c r="S36" s="322"/>
      <c r="T36" s="321"/>
      <c r="U36" s="322"/>
      <c r="V36" s="321">
        <v>0</v>
      </c>
      <c r="W36" s="322">
        <v>0</v>
      </c>
      <c r="X36" s="321">
        <v>0</v>
      </c>
      <c r="Y36" s="322">
        <v>0</v>
      </c>
      <c r="Z36" s="321">
        <v>0</v>
      </c>
      <c r="AA36" s="322">
        <v>0</v>
      </c>
      <c r="AB36" s="321">
        <v>0</v>
      </c>
      <c r="AC36" s="322">
        <v>0</v>
      </c>
      <c r="AD36" s="321">
        <v>0</v>
      </c>
      <c r="AE36" s="322">
        <v>0</v>
      </c>
      <c r="AF36" s="321"/>
      <c r="AG36" s="322"/>
      <c r="AH36" s="321"/>
      <c r="AI36" s="322"/>
      <c r="AJ36" s="321">
        <v>0</v>
      </c>
      <c r="AK36" s="322">
        <v>0</v>
      </c>
      <c r="AL36" s="321">
        <v>0</v>
      </c>
      <c r="AM36" s="322">
        <v>0</v>
      </c>
      <c r="AN36" s="321">
        <v>0</v>
      </c>
      <c r="AO36" s="322">
        <v>0</v>
      </c>
      <c r="AP36" s="321">
        <v>0</v>
      </c>
      <c r="AQ36" s="322">
        <v>0</v>
      </c>
      <c r="AR36" s="321">
        <v>0</v>
      </c>
      <c r="AS36" s="322">
        <v>0</v>
      </c>
      <c r="AT36" s="321"/>
      <c r="AU36" s="322"/>
      <c r="AV36" s="321"/>
      <c r="AW36" s="322"/>
      <c r="AX36" s="321">
        <v>0</v>
      </c>
      <c r="AY36" s="322">
        <v>0</v>
      </c>
      <c r="AZ36" s="321">
        <v>0</v>
      </c>
      <c r="BA36" s="322">
        <v>0</v>
      </c>
      <c r="BB36" s="321">
        <v>0</v>
      </c>
      <c r="BC36" s="322">
        <v>0</v>
      </c>
      <c r="BD36" s="321">
        <v>0</v>
      </c>
      <c r="BE36" s="322">
        <v>0</v>
      </c>
      <c r="BF36" s="321">
        <v>0</v>
      </c>
      <c r="BG36" s="322">
        <v>0</v>
      </c>
      <c r="BH36" s="321"/>
      <c r="BI36" s="322"/>
      <c r="BJ36" s="321"/>
      <c r="BK36" s="322"/>
      <c r="BL36" s="321">
        <v>0</v>
      </c>
      <c r="BM36" s="322">
        <v>0</v>
      </c>
      <c r="BN36" s="321">
        <v>0</v>
      </c>
      <c r="BO36" s="322">
        <v>0</v>
      </c>
      <c r="BP36" s="321">
        <v>0</v>
      </c>
      <c r="BQ36" s="322">
        <v>0</v>
      </c>
      <c r="BR36" s="321">
        <v>0</v>
      </c>
      <c r="BS36" s="322">
        <v>0</v>
      </c>
      <c r="BT36" s="321"/>
      <c r="BU36" s="322"/>
      <c r="BV36" s="264">
        <f>L36+N36+P36+R36+T36+V36+X36+Z36+AB36+AD36+AF36+AH36+AJ36+AL36+AN36+AP36+AR36+AT36+AV36+AX36+AZ36+BB36+BD36+BF36+BH36+BJ36+BL36+BN36+BP36+BR36+BT36</f>
        <v>0</v>
      </c>
      <c r="BW36" s="264">
        <f>M36+O36+Q36+S36+U36+W36+Y36+AA36+AC36+AE36+AG36+AI36+AK36+AM36+AO36+AQ36+AS36+AU36+AW36+AY36+BA36+BC36+BE36+BG36+BI36+BK36+BM36+BO36+BQ36+BS36+BU36</f>
        <v>0</v>
      </c>
    </row>
    <row r="37" spans="1:75" s="62" customFormat="1" ht="21.95" customHeight="1" x14ac:dyDescent="0.2">
      <c r="A37" s="304" t="s">
        <v>3201</v>
      </c>
      <c r="B37" s="305" t="s">
        <v>3202</v>
      </c>
      <c r="C37" s="272" t="s">
        <v>3170</v>
      </c>
      <c r="D37" s="306" t="s">
        <v>3203</v>
      </c>
      <c r="E37" s="307" t="s">
        <v>3204</v>
      </c>
      <c r="F37" s="308" t="s">
        <v>3166</v>
      </c>
      <c r="G37" s="308" t="s">
        <v>3167</v>
      </c>
      <c r="H37" s="309" t="s">
        <v>1477</v>
      </c>
      <c r="I37" s="310" t="s">
        <v>1477</v>
      </c>
      <c r="J37" s="273" t="s">
        <v>3174</v>
      </c>
      <c r="K37" s="273" t="s">
        <v>3171</v>
      </c>
      <c r="L37" s="319">
        <v>0</v>
      </c>
      <c r="M37" s="320">
        <v>0</v>
      </c>
      <c r="N37" s="319">
        <v>0</v>
      </c>
      <c r="O37" s="320">
        <v>0</v>
      </c>
      <c r="P37" s="319">
        <v>0</v>
      </c>
      <c r="Q37" s="320">
        <v>0</v>
      </c>
      <c r="R37" s="319"/>
      <c r="S37" s="320"/>
      <c r="T37" s="319"/>
      <c r="U37" s="320"/>
      <c r="V37" s="319">
        <v>5</v>
      </c>
      <c r="W37" s="320">
        <v>0</v>
      </c>
      <c r="X37" s="319">
        <v>0</v>
      </c>
      <c r="Y37" s="320">
        <v>0</v>
      </c>
      <c r="Z37" s="319">
        <v>0</v>
      </c>
      <c r="AA37" s="320">
        <v>0</v>
      </c>
      <c r="AB37" s="319">
        <v>0</v>
      </c>
      <c r="AC37" s="320">
        <v>0</v>
      </c>
      <c r="AD37" s="319">
        <v>0</v>
      </c>
      <c r="AE37" s="320">
        <v>0</v>
      </c>
      <c r="AF37" s="319"/>
      <c r="AG37" s="320"/>
      <c r="AH37" s="319"/>
      <c r="AI37" s="320"/>
      <c r="AJ37" s="319">
        <v>5</v>
      </c>
      <c r="AK37" s="320">
        <v>0</v>
      </c>
      <c r="AL37" s="319">
        <v>0</v>
      </c>
      <c r="AM37" s="320">
        <v>0</v>
      </c>
      <c r="AN37" s="319">
        <v>0</v>
      </c>
      <c r="AO37" s="320">
        <v>0</v>
      </c>
      <c r="AP37" s="319">
        <v>0</v>
      </c>
      <c r="AQ37" s="320">
        <v>0</v>
      </c>
      <c r="AR37" s="319">
        <v>0</v>
      </c>
      <c r="AS37" s="320">
        <v>0</v>
      </c>
      <c r="AT37" s="319"/>
      <c r="AU37" s="320"/>
      <c r="AV37" s="319"/>
      <c r="AW37" s="320"/>
      <c r="AX37" s="319">
        <v>5</v>
      </c>
      <c r="AY37" s="320">
        <v>0</v>
      </c>
      <c r="AZ37" s="319">
        <v>0</v>
      </c>
      <c r="BA37" s="320">
        <v>0</v>
      </c>
      <c r="BB37" s="319">
        <v>0</v>
      </c>
      <c r="BC37" s="320">
        <v>0</v>
      </c>
      <c r="BD37" s="319">
        <v>0</v>
      </c>
      <c r="BE37" s="320">
        <v>0</v>
      </c>
      <c r="BF37" s="319">
        <v>0</v>
      </c>
      <c r="BG37" s="320">
        <v>0</v>
      </c>
      <c r="BH37" s="319"/>
      <c r="BI37" s="320"/>
      <c r="BJ37" s="319"/>
      <c r="BK37" s="320"/>
      <c r="BL37" s="319">
        <v>5</v>
      </c>
      <c r="BM37" s="320">
        <v>0</v>
      </c>
      <c r="BN37" s="319">
        <v>0</v>
      </c>
      <c r="BO37" s="320">
        <v>0</v>
      </c>
      <c r="BP37" s="319">
        <v>0</v>
      </c>
      <c r="BQ37" s="320">
        <v>0</v>
      </c>
      <c r="BR37" s="319">
        <v>0</v>
      </c>
      <c r="BS37" s="320">
        <v>0</v>
      </c>
      <c r="BT37" s="319"/>
      <c r="BU37" s="320"/>
      <c r="BV37" s="264">
        <f t="shared" ref="BV37:BV40" si="15">L37+N37+P37+R37+T37+V37+X37+Z37+AB37+AD37+AF37+AH37+AJ37+AL37+AN37+AP37+AR37+AT37+AV37+AX37+AZ37+BB37+BD37+BF37+BH37+BJ37+BL37+BN37+BP37+BR37+BT37</f>
        <v>20</v>
      </c>
      <c r="BW37" s="264">
        <f t="shared" ref="BW37:BW40" si="16">M37+O37+Q37+S37+U37+W37+Y37+AA37+AC37+AE37+AG37+AI37+AK37+AM37+AO37+AQ37+AS37+AU37+AW37+AY37+BA37+BC37+BE37+BG37+BI37+BK37+BM37+BO37+BQ37+BS37+BU37</f>
        <v>0</v>
      </c>
    </row>
    <row r="38" spans="1:75" s="62" customFormat="1" ht="21.95" customHeight="1" x14ac:dyDescent="0.2">
      <c r="A38" s="304" t="s">
        <v>3201</v>
      </c>
      <c r="B38" s="305" t="s">
        <v>3202</v>
      </c>
      <c r="C38" s="311" t="s">
        <v>3170</v>
      </c>
      <c r="D38" s="306" t="s">
        <v>3203</v>
      </c>
      <c r="E38" s="307" t="s">
        <v>3204</v>
      </c>
      <c r="F38" s="308" t="s">
        <v>3166</v>
      </c>
      <c r="G38" s="308" t="s">
        <v>3167</v>
      </c>
      <c r="H38" s="309" t="s">
        <v>1477</v>
      </c>
      <c r="I38" s="310" t="s">
        <v>1477</v>
      </c>
      <c r="J38" s="273" t="s">
        <v>3174</v>
      </c>
      <c r="K38" s="275" t="s">
        <v>3172</v>
      </c>
      <c r="L38" s="319">
        <v>0</v>
      </c>
      <c r="M38" s="320">
        <v>0</v>
      </c>
      <c r="N38" s="319">
        <v>0</v>
      </c>
      <c r="O38" s="320">
        <v>0</v>
      </c>
      <c r="P38" s="319">
        <v>0</v>
      </c>
      <c r="Q38" s="320">
        <v>0</v>
      </c>
      <c r="R38" s="319"/>
      <c r="S38" s="320"/>
      <c r="T38" s="319"/>
      <c r="U38" s="320"/>
      <c r="V38" s="319">
        <v>0</v>
      </c>
      <c r="W38" s="320">
        <v>0</v>
      </c>
      <c r="X38" s="319">
        <v>0</v>
      </c>
      <c r="Y38" s="320">
        <v>0</v>
      </c>
      <c r="Z38" s="319">
        <v>0</v>
      </c>
      <c r="AA38" s="320">
        <v>0</v>
      </c>
      <c r="AB38" s="319">
        <v>0</v>
      </c>
      <c r="AC38" s="320">
        <v>0</v>
      </c>
      <c r="AD38" s="319">
        <v>0</v>
      </c>
      <c r="AE38" s="320">
        <v>0</v>
      </c>
      <c r="AF38" s="319"/>
      <c r="AG38" s="320"/>
      <c r="AH38" s="319"/>
      <c r="AI38" s="320"/>
      <c r="AJ38" s="319">
        <v>0</v>
      </c>
      <c r="AK38" s="320">
        <v>0</v>
      </c>
      <c r="AL38" s="319">
        <v>0</v>
      </c>
      <c r="AM38" s="320">
        <v>0</v>
      </c>
      <c r="AN38" s="319">
        <v>0</v>
      </c>
      <c r="AO38" s="320">
        <v>0</v>
      </c>
      <c r="AP38" s="319">
        <v>0</v>
      </c>
      <c r="AQ38" s="320">
        <v>0</v>
      </c>
      <c r="AR38" s="319">
        <v>0</v>
      </c>
      <c r="AS38" s="320">
        <v>0</v>
      </c>
      <c r="AT38" s="319"/>
      <c r="AU38" s="320"/>
      <c r="AV38" s="319"/>
      <c r="AW38" s="320"/>
      <c r="AX38" s="319">
        <v>0</v>
      </c>
      <c r="AY38" s="320">
        <v>0</v>
      </c>
      <c r="AZ38" s="319">
        <v>0</v>
      </c>
      <c r="BA38" s="320">
        <v>0</v>
      </c>
      <c r="BB38" s="319">
        <v>0</v>
      </c>
      <c r="BC38" s="320">
        <v>0</v>
      </c>
      <c r="BD38" s="319">
        <v>0</v>
      </c>
      <c r="BE38" s="320">
        <v>0</v>
      </c>
      <c r="BF38" s="319">
        <v>0</v>
      </c>
      <c r="BG38" s="320">
        <v>0</v>
      </c>
      <c r="BH38" s="319"/>
      <c r="BI38" s="320"/>
      <c r="BJ38" s="319"/>
      <c r="BK38" s="320"/>
      <c r="BL38" s="319">
        <v>0</v>
      </c>
      <c r="BM38" s="320">
        <v>0</v>
      </c>
      <c r="BN38" s="319">
        <v>0</v>
      </c>
      <c r="BO38" s="320">
        <v>0</v>
      </c>
      <c r="BP38" s="319">
        <v>0</v>
      </c>
      <c r="BQ38" s="320">
        <v>0</v>
      </c>
      <c r="BR38" s="319">
        <v>0</v>
      </c>
      <c r="BS38" s="320">
        <v>0</v>
      </c>
      <c r="BT38" s="319"/>
      <c r="BU38" s="320"/>
      <c r="BV38" s="264">
        <f t="shared" si="15"/>
        <v>0</v>
      </c>
      <c r="BW38" s="264">
        <f t="shared" si="16"/>
        <v>0</v>
      </c>
    </row>
    <row r="39" spans="1:75" s="62" customFormat="1" ht="21.95" customHeight="1" x14ac:dyDescent="0.2">
      <c r="A39" s="304" t="s">
        <v>3201</v>
      </c>
      <c r="B39" s="305" t="s">
        <v>3202</v>
      </c>
      <c r="C39" s="311" t="s">
        <v>3170</v>
      </c>
      <c r="D39" s="306" t="s">
        <v>3203</v>
      </c>
      <c r="E39" s="307" t="s">
        <v>3204</v>
      </c>
      <c r="F39" s="308" t="s">
        <v>3166</v>
      </c>
      <c r="G39" s="308" t="s">
        <v>3167</v>
      </c>
      <c r="H39" s="309" t="s">
        <v>1477</v>
      </c>
      <c r="I39" s="310" t="s">
        <v>1477</v>
      </c>
      <c r="J39" s="273" t="s">
        <v>3174</v>
      </c>
      <c r="K39" s="276" t="s">
        <v>3173</v>
      </c>
      <c r="L39" s="319">
        <v>0</v>
      </c>
      <c r="M39" s="320">
        <v>0</v>
      </c>
      <c r="N39" s="319">
        <v>0</v>
      </c>
      <c r="O39" s="320">
        <v>0</v>
      </c>
      <c r="P39" s="319">
        <v>0</v>
      </c>
      <c r="Q39" s="320">
        <v>0</v>
      </c>
      <c r="R39" s="319"/>
      <c r="S39" s="320"/>
      <c r="T39" s="319"/>
      <c r="U39" s="320"/>
      <c r="V39" s="319">
        <v>0</v>
      </c>
      <c r="W39" s="320">
        <v>0</v>
      </c>
      <c r="X39" s="319">
        <v>0</v>
      </c>
      <c r="Y39" s="320">
        <v>0</v>
      </c>
      <c r="Z39" s="319">
        <v>0</v>
      </c>
      <c r="AA39" s="320">
        <v>0</v>
      </c>
      <c r="AB39" s="319">
        <v>0</v>
      </c>
      <c r="AC39" s="320">
        <v>0</v>
      </c>
      <c r="AD39" s="319">
        <v>0</v>
      </c>
      <c r="AE39" s="320">
        <v>0</v>
      </c>
      <c r="AF39" s="319"/>
      <c r="AG39" s="320"/>
      <c r="AH39" s="319"/>
      <c r="AI39" s="320"/>
      <c r="AJ39" s="319">
        <v>0</v>
      </c>
      <c r="AK39" s="320">
        <v>0</v>
      </c>
      <c r="AL39" s="319">
        <v>0</v>
      </c>
      <c r="AM39" s="320">
        <v>0</v>
      </c>
      <c r="AN39" s="319">
        <v>0</v>
      </c>
      <c r="AO39" s="320">
        <v>0</v>
      </c>
      <c r="AP39" s="319">
        <v>0</v>
      </c>
      <c r="AQ39" s="320">
        <v>0</v>
      </c>
      <c r="AR39" s="319">
        <v>0</v>
      </c>
      <c r="AS39" s="320">
        <v>0</v>
      </c>
      <c r="AT39" s="319"/>
      <c r="AU39" s="320"/>
      <c r="AV39" s="319"/>
      <c r="AW39" s="320"/>
      <c r="AX39" s="319">
        <v>0</v>
      </c>
      <c r="AY39" s="320">
        <v>0</v>
      </c>
      <c r="AZ39" s="319">
        <v>0</v>
      </c>
      <c r="BA39" s="320">
        <v>0</v>
      </c>
      <c r="BB39" s="319">
        <v>0</v>
      </c>
      <c r="BC39" s="320">
        <v>0</v>
      </c>
      <c r="BD39" s="319">
        <v>0</v>
      </c>
      <c r="BE39" s="320">
        <v>0</v>
      </c>
      <c r="BF39" s="319">
        <v>0</v>
      </c>
      <c r="BG39" s="320">
        <v>0</v>
      </c>
      <c r="BH39" s="319"/>
      <c r="BI39" s="320"/>
      <c r="BJ39" s="319"/>
      <c r="BK39" s="320"/>
      <c r="BL39" s="319">
        <v>0</v>
      </c>
      <c r="BM39" s="320">
        <v>0</v>
      </c>
      <c r="BN39" s="319">
        <v>0</v>
      </c>
      <c r="BO39" s="320">
        <v>0</v>
      </c>
      <c r="BP39" s="319">
        <v>0</v>
      </c>
      <c r="BQ39" s="320">
        <v>0</v>
      </c>
      <c r="BR39" s="319">
        <v>0</v>
      </c>
      <c r="BS39" s="320">
        <v>0</v>
      </c>
      <c r="BT39" s="319"/>
      <c r="BU39" s="320"/>
      <c r="BV39" s="264">
        <f t="shared" si="15"/>
        <v>0</v>
      </c>
      <c r="BW39" s="264">
        <f t="shared" si="16"/>
        <v>0</v>
      </c>
    </row>
    <row r="40" spans="1:75" s="62" customFormat="1" ht="21.95" customHeight="1" thickBot="1" x14ac:dyDescent="0.25">
      <c r="A40" s="567" t="s">
        <v>3201</v>
      </c>
      <c r="B40" s="312" t="s">
        <v>3202</v>
      </c>
      <c r="C40" s="313" t="s">
        <v>3170</v>
      </c>
      <c r="D40" s="314" t="s">
        <v>3203</v>
      </c>
      <c r="E40" s="330" t="s">
        <v>3204</v>
      </c>
      <c r="F40" s="315" t="s">
        <v>3166</v>
      </c>
      <c r="G40" s="315" t="s">
        <v>3167</v>
      </c>
      <c r="H40" s="316" t="s">
        <v>1477</v>
      </c>
      <c r="I40" s="568" t="s">
        <v>1477</v>
      </c>
      <c r="J40" s="273" t="s">
        <v>3174</v>
      </c>
      <c r="K40" s="277" t="s">
        <v>53</v>
      </c>
      <c r="L40" s="321">
        <v>0</v>
      </c>
      <c r="M40" s="322">
        <v>0</v>
      </c>
      <c r="N40" s="321">
        <v>0</v>
      </c>
      <c r="O40" s="322">
        <v>0</v>
      </c>
      <c r="P40" s="321">
        <v>0</v>
      </c>
      <c r="Q40" s="322">
        <v>0</v>
      </c>
      <c r="R40" s="321"/>
      <c r="S40" s="322"/>
      <c r="T40" s="321"/>
      <c r="U40" s="322"/>
      <c r="V40" s="321">
        <v>0</v>
      </c>
      <c r="W40" s="322">
        <v>0</v>
      </c>
      <c r="X40" s="321">
        <v>0</v>
      </c>
      <c r="Y40" s="322">
        <v>0</v>
      </c>
      <c r="Z40" s="321">
        <v>0</v>
      </c>
      <c r="AA40" s="322">
        <v>0</v>
      </c>
      <c r="AB40" s="321">
        <v>0</v>
      </c>
      <c r="AC40" s="322">
        <v>0</v>
      </c>
      <c r="AD40" s="321">
        <v>0</v>
      </c>
      <c r="AE40" s="322">
        <v>0</v>
      </c>
      <c r="AF40" s="321"/>
      <c r="AG40" s="322"/>
      <c r="AH40" s="321"/>
      <c r="AI40" s="322"/>
      <c r="AJ40" s="321">
        <v>0</v>
      </c>
      <c r="AK40" s="322">
        <v>0</v>
      </c>
      <c r="AL40" s="321">
        <v>0</v>
      </c>
      <c r="AM40" s="322">
        <v>0</v>
      </c>
      <c r="AN40" s="321">
        <v>0</v>
      </c>
      <c r="AO40" s="322">
        <v>0</v>
      </c>
      <c r="AP40" s="321">
        <v>0</v>
      </c>
      <c r="AQ40" s="322">
        <v>0</v>
      </c>
      <c r="AR40" s="321">
        <v>0</v>
      </c>
      <c r="AS40" s="322">
        <v>0</v>
      </c>
      <c r="AT40" s="321"/>
      <c r="AU40" s="322"/>
      <c r="AV40" s="321"/>
      <c r="AW40" s="322"/>
      <c r="AX40" s="321">
        <v>0</v>
      </c>
      <c r="AY40" s="322">
        <v>0</v>
      </c>
      <c r="AZ40" s="321">
        <v>0</v>
      </c>
      <c r="BA40" s="322">
        <v>0</v>
      </c>
      <c r="BB40" s="321">
        <v>0</v>
      </c>
      <c r="BC40" s="322">
        <v>0</v>
      </c>
      <c r="BD40" s="321">
        <v>0</v>
      </c>
      <c r="BE40" s="322">
        <v>0</v>
      </c>
      <c r="BF40" s="321">
        <v>0</v>
      </c>
      <c r="BG40" s="322">
        <v>0</v>
      </c>
      <c r="BH40" s="321"/>
      <c r="BI40" s="322"/>
      <c r="BJ40" s="321"/>
      <c r="BK40" s="322"/>
      <c r="BL40" s="321">
        <v>0</v>
      </c>
      <c r="BM40" s="322">
        <v>0</v>
      </c>
      <c r="BN40" s="321">
        <v>0</v>
      </c>
      <c r="BO40" s="322">
        <v>0</v>
      </c>
      <c r="BP40" s="321">
        <v>0</v>
      </c>
      <c r="BQ40" s="322">
        <v>0</v>
      </c>
      <c r="BR40" s="321">
        <v>0</v>
      </c>
      <c r="BS40" s="322">
        <v>0</v>
      </c>
      <c r="BT40" s="321"/>
      <c r="BU40" s="322"/>
      <c r="BV40" s="264">
        <f t="shared" si="15"/>
        <v>0</v>
      </c>
      <c r="BW40" s="264">
        <f t="shared" si="16"/>
        <v>0</v>
      </c>
    </row>
    <row r="41" spans="1:75" s="62" customFormat="1" ht="21.95" customHeight="1" x14ac:dyDescent="0.25">
      <c r="A41" s="344" t="s">
        <v>3205</v>
      </c>
      <c r="B41" s="433" t="s">
        <v>3206</v>
      </c>
      <c r="C41" s="434">
        <v>1</v>
      </c>
      <c r="D41" s="435" t="s">
        <v>3207</v>
      </c>
      <c r="E41" s="345" t="s">
        <v>3208</v>
      </c>
      <c r="F41" s="436" t="s">
        <v>3166</v>
      </c>
      <c r="G41" s="436" t="s">
        <v>3167</v>
      </c>
      <c r="H41" s="437" t="s">
        <v>1478</v>
      </c>
      <c r="I41" s="303" t="s">
        <v>1478</v>
      </c>
      <c r="J41" s="273" t="s">
        <v>3168</v>
      </c>
      <c r="K41" s="274" t="s">
        <v>3169</v>
      </c>
      <c r="L41" s="321">
        <v>0</v>
      </c>
      <c r="M41" s="322">
        <v>0</v>
      </c>
      <c r="N41" s="321">
        <v>0</v>
      </c>
      <c r="O41" s="322">
        <v>0</v>
      </c>
      <c r="P41" s="321">
        <v>0</v>
      </c>
      <c r="Q41" s="322">
        <v>0</v>
      </c>
      <c r="R41" s="321"/>
      <c r="S41" s="322"/>
      <c r="T41" s="321"/>
      <c r="U41" s="322"/>
      <c r="V41" s="321">
        <v>0</v>
      </c>
      <c r="W41" s="322">
        <v>0</v>
      </c>
      <c r="X41" s="321">
        <v>0</v>
      </c>
      <c r="Y41" s="322">
        <v>0</v>
      </c>
      <c r="Z41" s="321">
        <v>0</v>
      </c>
      <c r="AA41" s="322">
        <v>0</v>
      </c>
      <c r="AB41" s="321">
        <v>0</v>
      </c>
      <c r="AC41" s="322">
        <v>0</v>
      </c>
      <c r="AD41" s="321">
        <v>0</v>
      </c>
      <c r="AE41" s="322">
        <v>0</v>
      </c>
      <c r="AF41" s="321"/>
      <c r="AG41" s="322"/>
      <c r="AH41" s="321"/>
      <c r="AI41" s="322"/>
      <c r="AJ41" s="321">
        <v>0</v>
      </c>
      <c r="AK41" s="322">
        <v>0</v>
      </c>
      <c r="AL41" s="321">
        <v>0</v>
      </c>
      <c r="AM41" s="322">
        <v>0</v>
      </c>
      <c r="AN41" s="321">
        <v>0</v>
      </c>
      <c r="AO41" s="322">
        <v>0</v>
      </c>
      <c r="AP41" s="321">
        <v>0</v>
      </c>
      <c r="AQ41" s="322">
        <v>0</v>
      </c>
      <c r="AR41" s="321">
        <v>0</v>
      </c>
      <c r="AS41" s="322">
        <v>0</v>
      </c>
      <c r="AT41" s="321"/>
      <c r="AU41" s="322"/>
      <c r="AV41" s="321"/>
      <c r="AW41" s="322"/>
      <c r="AX41" s="321">
        <v>0</v>
      </c>
      <c r="AY41" s="322">
        <v>0</v>
      </c>
      <c r="AZ41" s="321">
        <v>0</v>
      </c>
      <c r="BA41" s="322">
        <v>0</v>
      </c>
      <c r="BB41" s="321">
        <v>0</v>
      </c>
      <c r="BC41" s="322">
        <v>0</v>
      </c>
      <c r="BD41" s="321">
        <v>0</v>
      </c>
      <c r="BE41" s="322">
        <v>0</v>
      </c>
      <c r="BF41" s="321">
        <v>0</v>
      </c>
      <c r="BG41" s="322">
        <v>0</v>
      </c>
      <c r="BH41" s="321"/>
      <c r="BI41" s="322"/>
      <c r="BJ41" s="321"/>
      <c r="BK41" s="322"/>
      <c r="BL41" s="321">
        <v>0</v>
      </c>
      <c r="BM41" s="322">
        <v>0</v>
      </c>
      <c r="BN41" s="321">
        <v>0</v>
      </c>
      <c r="BO41" s="322">
        <v>0</v>
      </c>
      <c r="BP41" s="321">
        <v>0</v>
      </c>
      <c r="BQ41" s="322">
        <v>0</v>
      </c>
      <c r="BR41" s="321">
        <v>0</v>
      </c>
      <c r="BS41" s="322">
        <v>0</v>
      </c>
      <c r="BT41" s="321"/>
      <c r="BU41" s="322"/>
      <c r="BV41" s="264">
        <f>L41+N41+P41+R41+T41+V41+X41+Z41+AB41+AD41+AF41+AH41+AJ41+AL41+AN41+AP41+AR41+AT41+AV41+AX41+AZ41+BB41+BD41+BF41+BH41+BJ41+BL41+BN41+BP41+BR41+BT41</f>
        <v>0</v>
      </c>
      <c r="BW41" s="264">
        <f>M41+O41+Q41+S41+U41+W41+Y41+AA41+AC41+AE41+AG41+AI41+AK41+AM41+AO41+AQ41+AS41+AU41+AW41+AY41+BA41+BC41+BE41+BG41+BI41+BK41+BM41+BO41+BQ41+BS41+BU41</f>
        <v>0</v>
      </c>
    </row>
    <row r="42" spans="1:75" s="62" customFormat="1" ht="21.95" customHeight="1" x14ac:dyDescent="0.2">
      <c r="A42" s="304" t="s">
        <v>3205</v>
      </c>
      <c r="B42" s="305" t="s">
        <v>3206</v>
      </c>
      <c r="C42" s="272" t="s">
        <v>3170</v>
      </c>
      <c r="D42" s="306" t="s">
        <v>3207</v>
      </c>
      <c r="E42" s="307" t="s">
        <v>3208</v>
      </c>
      <c r="F42" s="308" t="s">
        <v>3166</v>
      </c>
      <c r="G42" s="308" t="s">
        <v>3167</v>
      </c>
      <c r="H42" s="309" t="s">
        <v>1478</v>
      </c>
      <c r="I42" s="310" t="s">
        <v>1478</v>
      </c>
      <c r="J42" s="273" t="s">
        <v>3168</v>
      </c>
      <c r="K42" s="273" t="s">
        <v>3171</v>
      </c>
      <c r="L42" s="319">
        <v>0</v>
      </c>
      <c r="M42" s="320">
        <v>0</v>
      </c>
      <c r="N42" s="319">
        <v>0</v>
      </c>
      <c r="O42" s="320">
        <v>0</v>
      </c>
      <c r="P42" s="319">
        <v>0</v>
      </c>
      <c r="Q42" s="320">
        <v>0</v>
      </c>
      <c r="R42" s="319"/>
      <c r="S42" s="320"/>
      <c r="T42" s="319"/>
      <c r="U42" s="320"/>
      <c r="V42" s="319">
        <v>0</v>
      </c>
      <c r="W42" s="320">
        <v>0</v>
      </c>
      <c r="X42" s="319">
        <v>0</v>
      </c>
      <c r="Y42" s="320">
        <v>0</v>
      </c>
      <c r="Z42" s="319">
        <v>0</v>
      </c>
      <c r="AA42" s="320">
        <v>0</v>
      </c>
      <c r="AB42" s="319">
        <v>0</v>
      </c>
      <c r="AC42" s="320">
        <v>0</v>
      </c>
      <c r="AD42" s="319">
        <v>0</v>
      </c>
      <c r="AE42" s="320">
        <v>0</v>
      </c>
      <c r="AF42" s="319"/>
      <c r="AG42" s="320"/>
      <c r="AH42" s="319"/>
      <c r="AI42" s="320"/>
      <c r="AJ42" s="319">
        <v>0</v>
      </c>
      <c r="AK42" s="320">
        <v>0</v>
      </c>
      <c r="AL42" s="319">
        <v>0</v>
      </c>
      <c r="AM42" s="320">
        <v>0</v>
      </c>
      <c r="AN42" s="319">
        <v>0</v>
      </c>
      <c r="AO42" s="320">
        <v>0</v>
      </c>
      <c r="AP42" s="319">
        <v>0</v>
      </c>
      <c r="AQ42" s="320">
        <v>0</v>
      </c>
      <c r="AR42" s="319">
        <v>0</v>
      </c>
      <c r="AS42" s="320">
        <v>0</v>
      </c>
      <c r="AT42" s="319"/>
      <c r="AU42" s="320"/>
      <c r="AV42" s="319"/>
      <c r="AW42" s="320"/>
      <c r="AX42" s="319">
        <v>0</v>
      </c>
      <c r="AY42" s="320">
        <v>0</v>
      </c>
      <c r="AZ42" s="319">
        <v>0</v>
      </c>
      <c r="BA42" s="320">
        <v>0</v>
      </c>
      <c r="BB42" s="319">
        <v>0</v>
      </c>
      <c r="BC42" s="320">
        <v>0</v>
      </c>
      <c r="BD42" s="319">
        <v>0</v>
      </c>
      <c r="BE42" s="320">
        <v>0</v>
      </c>
      <c r="BF42" s="319">
        <v>0</v>
      </c>
      <c r="BG42" s="320">
        <v>0</v>
      </c>
      <c r="BH42" s="319"/>
      <c r="BI42" s="320"/>
      <c r="BJ42" s="319"/>
      <c r="BK42" s="320"/>
      <c r="BL42" s="319">
        <v>0</v>
      </c>
      <c r="BM42" s="320">
        <v>0</v>
      </c>
      <c r="BN42" s="319">
        <v>0</v>
      </c>
      <c r="BO42" s="320">
        <v>0</v>
      </c>
      <c r="BP42" s="319">
        <v>0</v>
      </c>
      <c r="BQ42" s="320">
        <v>0</v>
      </c>
      <c r="BR42" s="319">
        <v>0</v>
      </c>
      <c r="BS42" s="320">
        <v>0</v>
      </c>
      <c r="BT42" s="319"/>
      <c r="BU42" s="320"/>
      <c r="BV42" s="264">
        <f t="shared" ref="BV42:BV45" si="17">L42+N42+P42+R42+T42+V42+X42+Z42+AB42+AD42+AF42+AH42+AJ42+AL42+AN42+AP42+AR42+AT42+AV42+AX42+AZ42+BB42+BD42+BF42+BH42+BJ42+BL42+BN42+BP42+BR42+BT42</f>
        <v>0</v>
      </c>
      <c r="BW42" s="264">
        <f t="shared" ref="BW42:BW45" si="18">M42+O42+Q42+S42+U42+W42+Y42+AA42+AC42+AE42+AG42+AI42+AK42+AM42+AO42+AQ42+AS42+AU42+AW42+AY42+BA42+BC42+BE42+BG42+BI42+BK42+BM42+BO42+BQ42+BS42+BU42</f>
        <v>0</v>
      </c>
    </row>
    <row r="43" spans="1:75" s="62" customFormat="1" ht="21.95" customHeight="1" x14ac:dyDescent="0.2">
      <c r="A43" s="304" t="s">
        <v>3205</v>
      </c>
      <c r="B43" s="305" t="s">
        <v>3206</v>
      </c>
      <c r="C43" s="311" t="s">
        <v>3170</v>
      </c>
      <c r="D43" s="306" t="s">
        <v>3207</v>
      </c>
      <c r="E43" s="307" t="s">
        <v>3208</v>
      </c>
      <c r="F43" s="308" t="s">
        <v>3166</v>
      </c>
      <c r="G43" s="308" t="s">
        <v>3167</v>
      </c>
      <c r="H43" s="309" t="s">
        <v>1478</v>
      </c>
      <c r="I43" s="310" t="s">
        <v>1478</v>
      </c>
      <c r="J43" s="273" t="s">
        <v>3168</v>
      </c>
      <c r="K43" s="275" t="s">
        <v>3172</v>
      </c>
      <c r="L43" s="319">
        <v>0</v>
      </c>
      <c r="M43" s="320">
        <v>0</v>
      </c>
      <c r="N43" s="319">
        <v>0</v>
      </c>
      <c r="O43" s="320">
        <v>0</v>
      </c>
      <c r="P43" s="319">
        <v>0</v>
      </c>
      <c r="Q43" s="320">
        <v>0</v>
      </c>
      <c r="R43" s="319"/>
      <c r="S43" s="320"/>
      <c r="T43" s="319"/>
      <c r="U43" s="320"/>
      <c r="V43" s="319">
        <v>0</v>
      </c>
      <c r="W43" s="320">
        <v>0</v>
      </c>
      <c r="X43" s="319">
        <v>0</v>
      </c>
      <c r="Y43" s="320">
        <v>0</v>
      </c>
      <c r="Z43" s="319">
        <v>0</v>
      </c>
      <c r="AA43" s="320">
        <v>0</v>
      </c>
      <c r="AB43" s="319">
        <v>0</v>
      </c>
      <c r="AC43" s="320">
        <v>0</v>
      </c>
      <c r="AD43" s="319">
        <v>0</v>
      </c>
      <c r="AE43" s="320">
        <v>0</v>
      </c>
      <c r="AF43" s="319"/>
      <c r="AG43" s="320"/>
      <c r="AH43" s="319"/>
      <c r="AI43" s="320"/>
      <c r="AJ43" s="319">
        <v>0</v>
      </c>
      <c r="AK43" s="320">
        <v>0</v>
      </c>
      <c r="AL43" s="319">
        <v>0</v>
      </c>
      <c r="AM43" s="320">
        <v>0</v>
      </c>
      <c r="AN43" s="319">
        <v>0</v>
      </c>
      <c r="AO43" s="320">
        <v>0</v>
      </c>
      <c r="AP43" s="319">
        <v>0</v>
      </c>
      <c r="AQ43" s="320">
        <v>0</v>
      </c>
      <c r="AR43" s="319">
        <v>0</v>
      </c>
      <c r="AS43" s="320">
        <v>0</v>
      </c>
      <c r="AT43" s="319"/>
      <c r="AU43" s="320"/>
      <c r="AV43" s="319"/>
      <c r="AW43" s="320"/>
      <c r="AX43" s="319">
        <v>0</v>
      </c>
      <c r="AY43" s="320">
        <v>0</v>
      </c>
      <c r="AZ43" s="319">
        <v>0</v>
      </c>
      <c r="BA43" s="320">
        <v>0</v>
      </c>
      <c r="BB43" s="319">
        <v>0</v>
      </c>
      <c r="BC43" s="320">
        <v>0</v>
      </c>
      <c r="BD43" s="319">
        <v>0</v>
      </c>
      <c r="BE43" s="320">
        <v>0</v>
      </c>
      <c r="BF43" s="319">
        <v>0</v>
      </c>
      <c r="BG43" s="320">
        <v>0</v>
      </c>
      <c r="BH43" s="319"/>
      <c r="BI43" s="320"/>
      <c r="BJ43" s="319"/>
      <c r="BK43" s="320"/>
      <c r="BL43" s="319">
        <v>0</v>
      </c>
      <c r="BM43" s="320">
        <v>0</v>
      </c>
      <c r="BN43" s="319">
        <v>0</v>
      </c>
      <c r="BO43" s="320">
        <v>0</v>
      </c>
      <c r="BP43" s="319">
        <v>0</v>
      </c>
      <c r="BQ43" s="320">
        <v>0</v>
      </c>
      <c r="BR43" s="319">
        <v>0</v>
      </c>
      <c r="BS43" s="320">
        <v>0</v>
      </c>
      <c r="BT43" s="319"/>
      <c r="BU43" s="320"/>
      <c r="BV43" s="264">
        <f t="shared" si="17"/>
        <v>0</v>
      </c>
      <c r="BW43" s="264">
        <f t="shared" si="18"/>
        <v>0</v>
      </c>
    </row>
    <row r="44" spans="1:75" s="62" customFormat="1" ht="21.95" customHeight="1" x14ac:dyDescent="0.2">
      <c r="A44" s="304" t="s">
        <v>3205</v>
      </c>
      <c r="B44" s="305" t="s">
        <v>3206</v>
      </c>
      <c r="C44" s="311" t="s">
        <v>3170</v>
      </c>
      <c r="D44" s="306" t="s">
        <v>3207</v>
      </c>
      <c r="E44" s="307" t="s">
        <v>3208</v>
      </c>
      <c r="F44" s="308" t="s">
        <v>3166</v>
      </c>
      <c r="G44" s="308" t="s">
        <v>3167</v>
      </c>
      <c r="H44" s="309" t="s">
        <v>1478</v>
      </c>
      <c r="I44" s="310" t="s">
        <v>1478</v>
      </c>
      <c r="J44" s="273" t="s">
        <v>3168</v>
      </c>
      <c r="K44" s="276" t="s">
        <v>3173</v>
      </c>
      <c r="L44" s="319">
        <v>0</v>
      </c>
      <c r="M44" s="320">
        <v>0</v>
      </c>
      <c r="N44" s="319">
        <v>0</v>
      </c>
      <c r="O44" s="320">
        <v>0</v>
      </c>
      <c r="P44" s="319">
        <v>0</v>
      </c>
      <c r="Q44" s="320">
        <v>0</v>
      </c>
      <c r="R44" s="319"/>
      <c r="S44" s="320"/>
      <c r="T44" s="319"/>
      <c r="U44" s="320"/>
      <c r="V44" s="319">
        <v>0</v>
      </c>
      <c r="W44" s="320">
        <v>0</v>
      </c>
      <c r="X44" s="319">
        <v>0</v>
      </c>
      <c r="Y44" s="320">
        <v>0</v>
      </c>
      <c r="Z44" s="319">
        <v>0</v>
      </c>
      <c r="AA44" s="320">
        <v>0</v>
      </c>
      <c r="AB44" s="319">
        <v>0</v>
      </c>
      <c r="AC44" s="320">
        <v>0</v>
      </c>
      <c r="AD44" s="319">
        <v>0</v>
      </c>
      <c r="AE44" s="320">
        <v>0</v>
      </c>
      <c r="AF44" s="319"/>
      <c r="AG44" s="320"/>
      <c r="AH44" s="319"/>
      <c r="AI44" s="320"/>
      <c r="AJ44" s="319">
        <v>0</v>
      </c>
      <c r="AK44" s="320">
        <v>0</v>
      </c>
      <c r="AL44" s="319">
        <v>0</v>
      </c>
      <c r="AM44" s="320">
        <v>0</v>
      </c>
      <c r="AN44" s="319">
        <v>0</v>
      </c>
      <c r="AO44" s="320">
        <v>0</v>
      </c>
      <c r="AP44" s="319">
        <v>0</v>
      </c>
      <c r="AQ44" s="320">
        <v>0</v>
      </c>
      <c r="AR44" s="319">
        <v>0</v>
      </c>
      <c r="AS44" s="320">
        <v>0</v>
      </c>
      <c r="AT44" s="319"/>
      <c r="AU44" s="320"/>
      <c r="AV44" s="319"/>
      <c r="AW44" s="320"/>
      <c r="AX44" s="319">
        <v>0</v>
      </c>
      <c r="AY44" s="320">
        <v>0</v>
      </c>
      <c r="AZ44" s="319">
        <v>0</v>
      </c>
      <c r="BA44" s="320">
        <v>0</v>
      </c>
      <c r="BB44" s="319">
        <v>0</v>
      </c>
      <c r="BC44" s="320">
        <v>0</v>
      </c>
      <c r="BD44" s="319">
        <v>0</v>
      </c>
      <c r="BE44" s="320">
        <v>0</v>
      </c>
      <c r="BF44" s="319">
        <v>0</v>
      </c>
      <c r="BG44" s="320">
        <v>0</v>
      </c>
      <c r="BH44" s="319"/>
      <c r="BI44" s="320"/>
      <c r="BJ44" s="319"/>
      <c r="BK44" s="320"/>
      <c r="BL44" s="319">
        <v>0</v>
      </c>
      <c r="BM44" s="320">
        <v>0</v>
      </c>
      <c r="BN44" s="319">
        <v>0</v>
      </c>
      <c r="BO44" s="320">
        <v>0</v>
      </c>
      <c r="BP44" s="319">
        <v>0</v>
      </c>
      <c r="BQ44" s="320">
        <v>0</v>
      </c>
      <c r="BR44" s="319">
        <v>0</v>
      </c>
      <c r="BS44" s="320">
        <v>0</v>
      </c>
      <c r="BT44" s="319"/>
      <c r="BU44" s="320"/>
      <c r="BV44" s="264">
        <f t="shared" si="17"/>
        <v>0</v>
      </c>
      <c r="BW44" s="264">
        <f t="shared" si="18"/>
        <v>0</v>
      </c>
    </row>
    <row r="45" spans="1:75" s="62" customFormat="1" ht="21.95" customHeight="1" thickBot="1" x14ac:dyDescent="0.25">
      <c r="A45" s="567" t="s">
        <v>3205</v>
      </c>
      <c r="B45" s="312" t="s">
        <v>3206</v>
      </c>
      <c r="C45" s="313" t="s">
        <v>3170</v>
      </c>
      <c r="D45" s="314" t="s">
        <v>3207</v>
      </c>
      <c r="E45" s="330" t="s">
        <v>3208</v>
      </c>
      <c r="F45" s="315" t="s">
        <v>3166</v>
      </c>
      <c r="G45" s="315" t="s">
        <v>3167</v>
      </c>
      <c r="H45" s="316" t="s">
        <v>1478</v>
      </c>
      <c r="I45" s="568" t="s">
        <v>1478</v>
      </c>
      <c r="J45" s="273" t="s">
        <v>3168</v>
      </c>
      <c r="K45" s="277" t="s">
        <v>53</v>
      </c>
      <c r="L45" s="321">
        <v>0</v>
      </c>
      <c r="M45" s="322">
        <v>0</v>
      </c>
      <c r="N45" s="321">
        <v>0</v>
      </c>
      <c r="O45" s="322">
        <v>0</v>
      </c>
      <c r="P45" s="321">
        <v>0</v>
      </c>
      <c r="Q45" s="322">
        <v>0</v>
      </c>
      <c r="R45" s="321"/>
      <c r="S45" s="322"/>
      <c r="T45" s="321"/>
      <c r="U45" s="322"/>
      <c r="V45" s="321">
        <v>0</v>
      </c>
      <c r="W45" s="322">
        <v>0</v>
      </c>
      <c r="X45" s="321">
        <v>0</v>
      </c>
      <c r="Y45" s="322">
        <v>0</v>
      </c>
      <c r="Z45" s="321">
        <v>0</v>
      </c>
      <c r="AA45" s="322">
        <v>0</v>
      </c>
      <c r="AB45" s="321">
        <v>0</v>
      </c>
      <c r="AC45" s="322">
        <v>0</v>
      </c>
      <c r="AD45" s="321">
        <v>0</v>
      </c>
      <c r="AE45" s="322">
        <v>0</v>
      </c>
      <c r="AF45" s="321"/>
      <c r="AG45" s="322"/>
      <c r="AH45" s="321"/>
      <c r="AI45" s="322"/>
      <c r="AJ45" s="321">
        <v>0</v>
      </c>
      <c r="AK45" s="322">
        <v>0</v>
      </c>
      <c r="AL45" s="321">
        <v>0</v>
      </c>
      <c r="AM45" s="322">
        <v>0</v>
      </c>
      <c r="AN45" s="321">
        <v>0</v>
      </c>
      <c r="AO45" s="322">
        <v>0</v>
      </c>
      <c r="AP45" s="321">
        <v>0</v>
      </c>
      <c r="AQ45" s="322">
        <v>0</v>
      </c>
      <c r="AR45" s="321">
        <v>0</v>
      </c>
      <c r="AS45" s="322">
        <v>0</v>
      </c>
      <c r="AT45" s="321"/>
      <c r="AU45" s="322"/>
      <c r="AV45" s="321"/>
      <c r="AW45" s="322"/>
      <c r="AX45" s="321">
        <v>0</v>
      </c>
      <c r="AY45" s="322">
        <v>0</v>
      </c>
      <c r="AZ45" s="321">
        <v>0</v>
      </c>
      <c r="BA45" s="322">
        <v>0</v>
      </c>
      <c r="BB45" s="321">
        <v>0</v>
      </c>
      <c r="BC45" s="322">
        <v>0</v>
      </c>
      <c r="BD45" s="321">
        <v>0</v>
      </c>
      <c r="BE45" s="322">
        <v>0</v>
      </c>
      <c r="BF45" s="321">
        <v>0</v>
      </c>
      <c r="BG45" s="322">
        <v>0</v>
      </c>
      <c r="BH45" s="321"/>
      <c r="BI45" s="322"/>
      <c r="BJ45" s="321"/>
      <c r="BK45" s="322"/>
      <c r="BL45" s="321">
        <v>0</v>
      </c>
      <c r="BM45" s="322">
        <v>0</v>
      </c>
      <c r="BN45" s="321">
        <v>0</v>
      </c>
      <c r="BO45" s="322">
        <v>0</v>
      </c>
      <c r="BP45" s="321">
        <v>0</v>
      </c>
      <c r="BQ45" s="322">
        <v>0</v>
      </c>
      <c r="BR45" s="321">
        <v>0</v>
      </c>
      <c r="BS45" s="322">
        <v>0</v>
      </c>
      <c r="BT45" s="321"/>
      <c r="BU45" s="322"/>
      <c r="BV45" s="264">
        <f t="shared" si="17"/>
        <v>0</v>
      </c>
      <c r="BW45" s="264">
        <f t="shared" si="18"/>
        <v>0</v>
      </c>
    </row>
    <row r="46" spans="1:75" s="62" customFormat="1" ht="21.95" customHeight="1" x14ac:dyDescent="0.25">
      <c r="A46" s="344" t="s">
        <v>3209</v>
      </c>
      <c r="B46" s="433" t="s">
        <v>3210</v>
      </c>
      <c r="C46" s="434">
        <v>1</v>
      </c>
      <c r="D46" s="435" t="s">
        <v>3211</v>
      </c>
      <c r="E46" s="345" t="s">
        <v>3212</v>
      </c>
      <c r="F46" s="436" t="s">
        <v>3166</v>
      </c>
      <c r="G46" s="436" t="s">
        <v>3167</v>
      </c>
      <c r="H46" s="437" t="s">
        <v>1480</v>
      </c>
      <c r="I46" s="303" t="s">
        <v>1480</v>
      </c>
      <c r="J46" s="273" t="s">
        <v>3168</v>
      </c>
      <c r="K46" s="274" t="s">
        <v>3169</v>
      </c>
      <c r="L46" s="321">
        <v>0</v>
      </c>
      <c r="M46" s="322">
        <v>0</v>
      </c>
      <c r="N46" s="321">
        <v>0</v>
      </c>
      <c r="O46" s="322">
        <v>0</v>
      </c>
      <c r="P46" s="321">
        <v>0</v>
      </c>
      <c r="Q46" s="322">
        <v>0</v>
      </c>
      <c r="R46" s="321"/>
      <c r="S46" s="322"/>
      <c r="T46" s="321"/>
      <c r="U46" s="322"/>
      <c r="V46" s="321">
        <v>0</v>
      </c>
      <c r="W46" s="322">
        <v>0</v>
      </c>
      <c r="X46" s="321">
        <v>0</v>
      </c>
      <c r="Y46" s="322">
        <v>0</v>
      </c>
      <c r="Z46" s="321">
        <v>0</v>
      </c>
      <c r="AA46" s="322">
        <v>0</v>
      </c>
      <c r="AB46" s="321">
        <v>0</v>
      </c>
      <c r="AC46" s="322">
        <v>0</v>
      </c>
      <c r="AD46" s="321">
        <v>0</v>
      </c>
      <c r="AE46" s="322">
        <v>0</v>
      </c>
      <c r="AF46" s="321"/>
      <c r="AG46" s="322"/>
      <c r="AH46" s="321"/>
      <c r="AI46" s="322"/>
      <c r="AJ46" s="321">
        <v>0</v>
      </c>
      <c r="AK46" s="322">
        <v>0</v>
      </c>
      <c r="AL46" s="321">
        <v>0</v>
      </c>
      <c r="AM46" s="322">
        <v>0</v>
      </c>
      <c r="AN46" s="321">
        <v>0</v>
      </c>
      <c r="AO46" s="322">
        <v>0</v>
      </c>
      <c r="AP46" s="321">
        <v>0</v>
      </c>
      <c r="AQ46" s="322">
        <v>0</v>
      </c>
      <c r="AR46" s="321">
        <v>0</v>
      </c>
      <c r="AS46" s="322">
        <v>0</v>
      </c>
      <c r="AT46" s="321"/>
      <c r="AU46" s="322"/>
      <c r="AV46" s="321"/>
      <c r="AW46" s="322"/>
      <c r="AX46" s="321">
        <v>0</v>
      </c>
      <c r="AY46" s="322">
        <v>0</v>
      </c>
      <c r="AZ46" s="321">
        <v>0</v>
      </c>
      <c r="BA46" s="322">
        <v>0</v>
      </c>
      <c r="BB46" s="321">
        <v>0</v>
      </c>
      <c r="BC46" s="322">
        <v>0</v>
      </c>
      <c r="BD46" s="321">
        <v>0</v>
      </c>
      <c r="BE46" s="322">
        <v>0</v>
      </c>
      <c r="BF46" s="321">
        <v>0</v>
      </c>
      <c r="BG46" s="322">
        <v>0</v>
      </c>
      <c r="BH46" s="321"/>
      <c r="BI46" s="322"/>
      <c r="BJ46" s="321"/>
      <c r="BK46" s="322"/>
      <c r="BL46" s="321">
        <v>0</v>
      </c>
      <c r="BM46" s="322">
        <v>0</v>
      </c>
      <c r="BN46" s="321">
        <v>0</v>
      </c>
      <c r="BO46" s="322">
        <v>0</v>
      </c>
      <c r="BP46" s="321">
        <v>0</v>
      </c>
      <c r="BQ46" s="322">
        <v>0</v>
      </c>
      <c r="BR46" s="321">
        <v>0</v>
      </c>
      <c r="BS46" s="322">
        <v>0</v>
      </c>
      <c r="BT46" s="321"/>
      <c r="BU46" s="322"/>
      <c r="BV46" s="264">
        <f>L46+N46+P46+R46+T46+V46+X46+Z46+AB46+AD46+AF46+AH46+AJ46+AL46+AN46+AP46+AR46+AT46+AV46+AX46+AZ46+BB46+BD46+BF46+BH46+BJ46+BL46+BN46+BP46+BR46+BT46</f>
        <v>0</v>
      </c>
      <c r="BW46" s="264">
        <f>M46+O46+Q46+S46+U46+W46+Y46+AA46+AC46+AE46+AG46+AI46+AK46+AM46+AO46+AQ46+AS46+AU46+AW46+AY46+BA46+BC46+BE46+BG46+BI46+BK46+BM46+BO46+BQ46+BS46+BU46</f>
        <v>0</v>
      </c>
    </row>
    <row r="47" spans="1:75" s="62" customFormat="1" ht="21.95" customHeight="1" x14ac:dyDescent="0.2">
      <c r="A47" s="304" t="s">
        <v>3209</v>
      </c>
      <c r="B47" s="305" t="s">
        <v>3210</v>
      </c>
      <c r="C47" s="272" t="s">
        <v>3170</v>
      </c>
      <c r="D47" s="306" t="s">
        <v>3211</v>
      </c>
      <c r="E47" s="307" t="s">
        <v>3212</v>
      </c>
      <c r="F47" s="308" t="s">
        <v>3166</v>
      </c>
      <c r="G47" s="308" t="s">
        <v>3167</v>
      </c>
      <c r="H47" s="309" t="s">
        <v>1480</v>
      </c>
      <c r="I47" s="310" t="s">
        <v>1480</v>
      </c>
      <c r="J47" s="273" t="s">
        <v>3168</v>
      </c>
      <c r="K47" s="273" t="s">
        <v>3171</v>
      </c>
      <c r="L47" s="319">
        <v>0</v>
      </c>
      <c r="M47" s="320">
        <v>0</v>
      </c>
      <c r="N47" s="319">
        <v>0</v>
      </c>
      <c r="O47" s="320">
        <v>0</v>
      </c>
      <c r="P47" s="319">
        <v>0</v>
      </c>
      <c r="Q47" s="320">
        <v>0</v>
      </c>
      <c r="R47" s="319"/>
      <c r="S47" s="320"/>
      <c r="T47" s="319"/>
      <c r="U47" s="320"/>
      <c r="V47" s="319">
        <v>0</v>
      </c>
      <c r="W47" s="320">
        <v>0</v>
      </c>
      <c r="X47" s="319">
        <v>0</v>
      </c>
      <c r="Y47" s="320">
        <v>0</v>
      </c>
      <c r="Z47" s="319">
        <v>0</v>
      </c>
      <c r="AA47" s="320">
        <v>0</v>
      </c>
      <c r="AB47" s="319">
        <v>0</v>
      </c>
      <c r="AC47" s="320">
        <v>0</v>
      </c>
      <c r="AD47" s="319">
        <v>0</v>
      </c>
      <c r="AE47" s="320">
        <v>0</v>
      </c>
      <c r="AF47" s="319"/>
      <c r="AG47" s="320"/>
      <c r="AH47" s="319"/>
      <c r="AI47" s="320"/>
      <c r="AJ47" s="319">
        <v>0</v>
      </c>
      <c r="AK47" s="320">
        <v>0</v>
      </c>
      <c r="AL47" s="319">
        <v>0</v>
      </c>
      <c r="AM47" s="320">
        <v>0</v>
      </c>
      <c r="AN47" s="319">
        <v>0</v>
      </c>
      <c r="AO47" s="320">
        <v>0</v>
      </c>
      <c r="AP47" s="319">
        <v>0</v>
      </c>
      <c r="AQ47" s="320">
        <v>0</v>
      </c>
      <c r="AR47" s="319">
        <v>0</v>
      </c>
      <c r="AS47" s="320">
        <v>0</v>
      </c>
      <c r="AT47" s="319"/>
      <c r="AU47" s="320"/>
      <c r="AV47" s="319"/>
      <c r="AW47" s="320"/>
      <c r="AX47" s="319">
        <v>0</v>
      </c>
      <c r="AY47" s="320">
        <v>0</v>
      </c>
      <c r="AZ47" s="319">
        <v>0</v>
      </c>
      <c r="BA47" s="320">
        <v>0</v>
      </c>
      <c r="BB47" s="319">
        <v>0</v>
      </c>
      <c r="BC47" s="320">
        <v>0</v>
      </c>
      <c r="BD47" s="319">
        <v>0</v>
      </c>
      <c r="BE47" s="320">
        <v>0</v>
      </c>
      <c r="BF47" s="319">
        <v>0</v>
      </c>
      <c r="BG47" s="320">
        <v>0</v>
      </c>
      <c r="BH47" s="319"/>
      <c r="BI47" s="320"/>
      <c r="BJ47" s="319"/>
      <c r="BK47" s="320"/>
      <c r="BL47" s="319">
        <v>0</v>
      </c>
      <c r="BM47" s="320">
        <v>0</v>
      </c>
      <c r="BN47" s="319">
        <v>0</v>
      </c>
      <c r="BO47" s="320">
        <v>0</v>
      </c>
      <c r="BP47" s="319">
        <v>0</v>
      </c>
      <c r="BQ47" s="320">
        <v>0</v>
      </c>
      <c r="BR47" s="319">
        <v>0</v>
      </c>
      <c r="BS47" s="320">
        <v>0</v>
      </c>
      <c r="BT47" s="319"/>
      <c r="BU47" s="320"/>
      <c r="BV47" s="264">
        <f t="shared" ref="BV47:BV50" si="19">L47+N47+P47+R47+T47+V47+X47+Z47+AB47+AD47+AF47+AH47+AJ47+AL47+AN47+AP47+AR47+AT47+AV47+AX47+AZ47+BB47+BD47+BF47+BH47+BJ47+BL47+BN47+BP47+BR47+BT47</f>
        <v>0</v>
      </c>
      <c r="BW47" s="264">
        <f t="shared" ref="BW47:BW50" si="20">M47+O47+Q47+S47+U47+W47+Y47+AA47+AC47+AE47+AG47+AI47+AK47+AM47+AO47+AQ47+AS47+AU47+AW47+AY47+BA47+BC47+BE47+BG47+BI47+BK47+BM47+BO47+BQ47+BS47+BU47</f>
        <v>0</v>
      </c>
    </row>
    <row r="48" spans="1:75" s="62" customFormat="1" ht="21.95" customHeight="1" x14ac:dyDescent="0.2">
      <c r="A48" s="304" t="s">
        <v>3209</v>
      </c>
      <c r="B48" s="305" t="s">
        <v>3210</v>
      </c>
      <c r="C48" s="311" t="s">
        <v>3170</v>
      </c>
      <c r="D48" s="306" t="s">
        <v>3211</v>
      </c>
      <c r="E48" s="307" t="s">
        <v>3212</v>
      </c>
      <c r="F48" s="308" t="s">
        <v>3166</v>
      </c>
      <c r="G48" s="308" t="s">
        <v>3167</v>
      </c>
      <c r="H48" s="309" t="s">
        <v>1480</v>
      </c>
      <c r="I48" s="310" t="s">
        <v>1480</v>
      </c>
      <c r="J48" s="273" t="s">
        <v>3168</v>
      </c>
      <c r="K48" s="275" t="s">
        <v>3172</v>
      </c>
      <c r="L48" s="319">
        <v>0</v>
      </c>
      <c r="M48" s="320">
        <v>0</v>
      </c>
      <c r="N48" s="319">
        <v>0</v>
      </c>
      <c r="O48" s="320">
        <v>0</v>
      </c>
      <c r="P48" s="319">
        <v>0</v>
      </c>
      <c r="Q48" s="320">
        <v>0</v>
      </c>
      <c r="R48" s="319"/>
      <c r="S48" s="320"/>
      <c r="T48" s="319"/>
      <c r="U48" s="320"/>
      <c r="V48" s="319">
        <v>0</v>
      </c>
      <c r="W48" s="320">
        <v>0</v>
      </c>
      <c r="X48" s="319">
        <v>0</v>
      </c>
      <c r="Y48" s="320">
        <v>0</v>
      </c>
      <c r="Z48" s="319">
        <v>0</v>
      </c>
      <c r="AA48" s="320">
        <v>0</v>
      </c>
      <c r="AB48" s="319">
        <v>0</v>
      </c>
      <c r="AC48" s="320">
        <v>0</v>
      </c>
      <c r="AD48" s="319">
        <v>0</v>
      </c>
      <c r="AE48" s="320">
        <v>0</v>
      </c>
      <c r="AF48" s="319"/>
      <c r="AG48" s="320"/>
      <c r="AH48" s="319"/>
      <c r="AI48" s="320"/>
      <c r="AJ48" s="319">
        <v>0</v>
      </c>
      <c r="AK48" s="320">
        <v>0</v>
      </c>
      <c r="AL48" s="319">
        <v>0</v>
      </c>
      <c r="AM48" s="320">
        <v>0</v>
      </c>
      <c r="AN48" s="319">
        <v>0</v>
      </c>
      <c r="AO48" s="320">
        <v>0</v>
      </c>
      <c r="AP48" s="319">
        <v>0</v>
      </c>
      <c r="AQ48" s="320">
        <v>0</v>
      </c>
      <c r="AR48" s="319">
        <v>0</v>
      </c>
      <c r="AS48" s="320">
        <v>0</v>
      </c>
      <c r="AT48" s="319"/>
      <c r="AU48" s="320"/>
      <c r="AV48" s="319"/>
      <c r="AW48" s="320"/>
      <c r="AX48" s="319">
        <v>0</v>
      </c>
      <c r="AY48" s="320">
        <v>0</v>
      </c>
      <c r="AZ48" s="319">
        <v>0</v>
      </c>
      <c r="BA48" s="320">
        <v>0</v>
      </c>
      <c r="BB48" s="319">
        <v>0</v>
      </c>
      <c r="BC48" s="320">
        <v>0</v>
      </c>
      <c r="BD48" s="319">
        <v>0</v>
      </c>
      <c r="BE48" s="320">
        <v>0</v>
      </c>
      <c r="BF48" s="319">
        <v>0</v>
      </c>
      <c r="BG48" s="320">
        <v>0</v>
      </c>
      <c r="BH48" s="319"/>
      <c r="BI48" s="320"/>
      <c r="BJ48" s="319"/>
      <c r="BK48" s="320"/>
      <c r="BL48" s="319">
        <v>0</v>
      </c>
      <c r="BM48" s="320">
        <v>0</v>
      </c>
      <c r="BN48" s="319">
        <v>0</v>
      </c>
      <c r="BO48" s="320">
        <v>0</v>
      </c>
      <c r="BP48" s="319">
        <v>0</v>
      </c>
      <c r="BQ48" s="320">
        <v>0</v>
      </c>
      <c r="BR48" s="319">
        <v>0</v>
      </c>
      <c r="BS48" s="320">
        <v>0</v>
      </c>
      <c r="BT48" s="319"/>
      <c r="BU48" s="320"/>
      <c r="BV48" s="264">
        <f t="shared" si="19"/>
        <v>0</v>
      </c>
      <c r="BW48" s="264">
        <f t="shared" si="20"/>
        <v>0</v>
      </c>
    </row>
    <row r="49" spans="1:75" s="62" customFormat="1" ht="21.95" customHeight="1" x14ac:dyDescent="0.2">
      <c r="A49" s="304" t="s">
        <v>3209</v>
      </c>
      <c r="B49" s="305" t="s">
        <v>3210</v>
      </c>
      <c r="C49" s="311" t="s">
        <v>3170</v>
      </c>
      <c r="D49" s="306" t="s">
        <v>3211</v>
      </c>
      <c r="E49" s="307" t="s">
        <v>3212</v>
      </c>
      <c r="F49" s="308" t="s">
        <v>3166</v>
      </c>
      <c r="G49" s="308" t="s">
        <v>3167</v>
      </c>
      <c r="H49" s="309" t="s">
        <v>1480</v>
      </c>
      <c r="I49" s="310" t="s">
        <v>1480</v>
      </c>
      <c r="J49" s="273" t="s">
        <v>3168</v>
      </c>
      <c r="K49" s="276" t="s">
        <v>3173</v>
      </c>
      <c r="L49" s="319">
        <v>0</v>
      </c>
      <c r="M49" s="320">
        <v>0</v>
      </c>
      <c r="N49" s="319">
        <v>0</v>
      </c>
      <c r="O49" s="320">
        <v>0</v>
      </c>
      <c r="P49" s="319">
        <v>0</v>
      </c>
      <c r="Q49" s="320">
        <v>0</v>
      </c>
      <c r="R49" s="319"/>
      <c r="S49" s="320"/>
      <c r="T49" s="319"/>
      <c r="U49" s="320"/>
      <c r="V49" s="319">
        <v>0</v>
      </c>
      <c r="W49" s="320">
        <v>0</v>
      </c>
      <c r="X49" s="319">
        <v>0</v>
      </c>
      <c r="Y49" s="320">
        <v>0</v>
      </c>
      <c r="Z49" s="319">
        <v>0</v>
      </c>
      <c r="AA49" s="320">
        <v>0</v>
      </c>
      <c r="AB49" s="319">
        <v>0</v>
      </c>
      <c r="AC49" s="320">
        <v>0</v>
      </c>
      <c r="AD49" s="319">
        <v>0</v>
      </c>
      <c r="AE49" s="320">
        <v>0</v>
      </c>
      <c r="AF49" s="319"/>
      <c r="AG49" s="320"/>
      <c r="AH49" s="319"/>
      <c r="AI49" s="320"/>
      <c r="AJ49" s="319">
        <v>0</v>
      </c>
      <c r="AK49" s="320">
        <v>0</v>
      </c>
      <c r="AL49" s="319">
        <v>0</v>
      </c>
      <c r="AM49" s="320">
        <v>0</v>
      </c>
      <c r="AN49" s="319">
        <v>0</v>
      </c>
      <c r="AO49" s="320">
        <v>0</v>
      </c>
      <c r="AP49" s="319">
        <v>0</v>
      </c>
      <c r="AQ49" s="320">
        <v>0</v>
      </c>
      <c r="AR49" s="319">
        <v>0</v>
      </c>
      <c r="AS49" s="320">
        <v>0</v>
      </c>
      <c r="AT49" s="319"/>
      <c r="AU49" s="320"/>
      <c r="AV49" s="319"/>
      <c r="AW49" s="320"/>
      <c r="AX49" s="319">
        <v>0</v>
      </c>
      <c r="AY49" s="320">
        <v>0</v>
      </c>
      <c r="AZ49" s="319">
        <v>0</v>
      </c>
      <c r="BA49" s="320">
        <v>0</v>
      </c>
      <c r="BB49" s="319">
        <v>0</v>
      </c>
      <c r="BC49" s="320">
        <v>0</v>
      </c>
      <c r="BD49" s="319">
        <v>0</v>
      </c>
      <c r="BE49" s="320">
        <v>0</v>
      </c>
      <c r="BF49" s="319">
        <v>0</v>
      </c>
      <c r="BG49" s="320">
        <v>0</v>
      </c>
      <c r="BH49" s="319"/>
      <c r="BI49" s="320"/>
      <c r="BJ49" s="319"/>
      <c r="BK49" s="320"/>
      <c r="BL49" s="319">
        <v>0</v>
      </c>
      <c r="BM49" s="320">
        <v>0</v>
      </c>
      <c r="BN49" s="319">
        <v>0</v>
      </c>
      <c r="BO49" s="320">
        <v>0</v>
      </c>
      <c r="BP49" s="319">
        <v>0</v>
      </c>
      <c r="BQ49" s="320">
        <v>0</v>
      </c>
      <c r="BR49" s="319">
        <v>0</v>
      </c>
      <c r="BS49" s="320">
        <v>0</v>
      </c>
      <c r="BT49" s="319"/>
      <c r="BU49" s="320"/>
      <c r="BV49" s="264">
        <f t="shared" si="19"/>
        <v>0</v>
      </c>
      <c r="BW49" s="264">
        <f t="shared" si="20"/>
        <v>0</v>
      </c>
    </row>
    <row r="50" spans="1:75" s="62" customFormat="1" ht="21.95" customHeight="1" thickBot="1" x14ac:dyDescent="0.25">
      <c r="A50" s="567" t="s">
        <v>3209</v>
      </c>
      <c r="B50" s="312" t="s">
        <v>3210</v>
      </c>
      <c r="C50" s="313" t="s">
        <v>3170</v>
      </c>
      <c r="D50" s="314" t="s">
        <v>3211</v>
      </c>
      <c r="E50" s="330" t="s">
        <v>3212</v>
      </c>
      <c r="F50" s="315" t="s">
        <v>3166</v>
      </c>
      <c r="G50" s="315" t="s">
        <v>3167</v>
      </c>
      <c r="H50" s="316" t="s">
        <v>1480</v>
      </c>
      <c r="I50" s="568" t="s">
        <v>1480</v>
      </c>
      <c r="J50" s="273" t="s">
        <v>3168</v>
      </c>
      <c r="K50" s="277" t="s">
        <v>53</v>
      </c>
      <c r="L50" s="321">
        <v>0</v>
      </c>
      <c r="M50" s="322">
        <v>0</v>
      </c>
      <c r="N50" s="321">
        <v>0</v>
      </c>
      <c r="O50" s="322">
        <v>0</v>
      </c>
      <c r="P50" s="321">
        <v>0</v>
      </c>
      <c r="Q50" s="322">
        <v>0</v>
      </c>
      <c r="R50" s="321"/>
      <c r="S50" s="322"/>
      <c r="T50" s="321"/>
      <c r="U50" s="322"/>
      <c r="V50" s="321">
        <v>0</v>
      </c>
      <c r="W50" s="322">
        <v>0</v>
      </c>
      <c r="X50" s="321">
        <v>0</v>
      </c>
      <c r="Y50" s="322">
        <v>0</v>
      </c>
      <c r="Z50" s="321">
        <v>0</v>
      </c>
      <c r="AA50" s="322">
        <v>0</v>
      </c>
      <c r="AB50" s="321">
        <v>0</v>
      </c>
      <c r="AC50" s="322">
        <v>0</v>
      </c>
      <c r="AD50" s="321">
        <v>0</v>
      </c>
      <c r="AE50" s="322">
        <v>0</v>
      </c>
      <c r="AF50" s="321"/>
      <c r="AG50" s="322"/>
      <c r="AH50" s="321"/>
      <c r="AI50" s="322"/>
      <c r="AJ50" s="321">
        <v>0</v>
      </c>
      <c r="AK50" s="322">
        <v>0</v>
      </c>
      <c r="AL50" s="321">
        <v>0</v>
      </c>
      <c r="AM50" s="322">
        <v>0</v>
      </c>
      <c r="AN50" s="321">
        <v>0</v>
      </c>
      <c r="AO50" s="322">
        <v>0</v>
      </c>
      <c r="AP50" s="321">
        <v>0</v>
      </c>
      <c r="AQ50" s="322">
        <v>0</v>
      </c>
      <c r="AR50" s="321">
        <v>0</v>
      </c>
      <c r="AS50" s="322">
        <v>0</v>
      </c>
      <c r="AT50" s="321"/>
      <c r="AU50" s="322"/>
      <c r="AV50" s="321"/>
      <c r="AW50" s="322"/>
      <c r="AX50" s="321">
        <v>0</v>
      </c>
      <c r="AY50" s="322">
        <v>0</v>
      </c>
      <c r="AZ50" s="321">
        <v>0</v>
      </c>
      <c r="BA50" s="322">
        <v>0</v>
      </c>
      <c r="BB50" s="321">
        <v>0</v>
      </c>
      <c r="BC50" s="322">
        <v>0</v>
      </c>
      <c r="BD50" s="321">
        <v>0</v>
      </c>
      <c r="BE50" s="322">
        <v>0</v>
      </c>
      <c r="BF50" s="321">
        <v>0</v>
      </c>
      <c r="BG50" s="322">
        <v>0</v>
      </c>
      <c r="BH50" s="321"/>
      <c r="BI50" s="322"/>
      <c r="BJ50" s="321"/>
      <c r="BK50" s="322"/>
      <c r="BL50" s="321">
        <v>0</v>
      </c>
      <c r="BM50" s="322">
        <v>0</v>
      </c>
      <c r="BN50" s="321">
        <v>0</v>
      </c>
      <c r="BO50" s="322">
        <v>0</v>
      </c>
      <c r="BP50" s="321">
        <v>0</v>
      </c>
      <c r="BQ50" s="322">
        <v>0</v>
      </c>
      <c r="BR50" s="321">
        <v>0</v>
      </c>
      <c r="BS50" s="322">
        <v>0</v>
      </c>
      <c r="BT50" s="321"/>
      <c r="BU50" s="322"/>
      <c r="BV50" s="264">
        <f t="shared" si="19"/>
        <v>0</v>
      </c>
      <c r="BW50" s="264">
        <f t="shared" si="20"/>
        <v>0</v>
      </c>
    </row>
    <row r="51" spans="1:75" s="62" customFormat="1" ht="21.95" customHeight="1" x14ac:dyDescent="0.25">
      <c r="A51" s="344" t="s">
        <v>3213</v>
      </c>
      <c r="B51" s="433" t="s">
        <v>3214</v>
      </c>
      <c r="C51" s="434">
        <v>1</v>
      </c>
      <c r="D51" s="435" t="s">
        <v>3215</v>
      </c>
      <c r="E51" s="345" t="s">
        <v>3216</v>
      </c>
      <c r="F51" s="436" t="s">
        <v>3166</v>
      </c>
      <c r="G51" s="436" t="s">
        <v>3167</v>
      </c>
      <c r="H51" s="437" t="s">
        <v>1481</v>
      </c>
      <c r="I51" s="303" t="s">
        <v>1481</v>
      </c>
      <c r="J51" s="273" t="s">
        <v>3168</v>
      </c>
      <c r="K51" s="274" t="s">
        <v>3169</v>
      </c>
      <c r="L51" s="321">
        <v>0</v>
      </c>
      <c r="M51" s="322">
        <v>0</v>
      </c>
      <c r="N51" s="321">
        <v>0</v>
      </c>
      <c r="O51" s="322">
        <v>0</v>
      </c>
      <c r="P51" s="321">
        <v>0</v>
      </c>
      <c r="Q51" s="322">
        <v>0</v>
      </c>
      <c r="R51" s="321"/>
      <c r="S51" s="322"/>
      <c r="T51" s="321"/>
      <c r="U51" s="322"/>
      <c r="V51" s="321">
        <v>0</v>
      </c>
      <c r="W51" s="322">
        <v>0</v>
      </c>
      <c r="X51" s="321">
        <v>0</v>
      </c>
      <c r="Y51" s="322">
        <v>0</v>
      </c>
      <c r="Z51" s="321">
        <v>0</v>
      </c>
      <c r="AA51" s="322">
        <v>0</v>
      </c>
      <c r="AB51" s="321">
        <v>0</v>
      </c>
      <c r="AC51" s="322">
        <v>0</v>
      </c>
      <c r="AD51" s="321">
        <v>0</v>
      </c>
      <c r="AE51" s="322">
        <v>0</v>
      </c>
      <c r="AF51" s="321"/>
      <c r="AG51" s="322"/>
      <c r="AH51" s="321"/>
      <c r="AI51" s="322"/>
      <c r="AJ51" s="321">
        <v>0</v>
      </c>
      <c r="AK51" s="322">
        <v>0</v>
      </c>
      <c r="AL51" s="321">
        <v>0</v>
      </c>
      <c r="AM51" s="322">
        <v>0</v>
      </c>
      <c r="AN51" s="321">
        <v>0</v>
      </c>
      <c r="AO51" s="322">
        <v>0</v>
      </c>
      <c r="AP51" s="321">
        <v>0</v>
      </c>
      <c r="AQ51" s="322">
        <v>0</v>
      </c>
      <c r="AR51" s="321">
        <v>0</v>
      </c>
      <c r="AS51" s="322">
        <v>0</v>
      </c>
      <c r="AT51" s="321"/>
      <c r="AU51" s="322"/>
      <c r="AV51" s="321"/>
      <c r="AW51" s="322"/>
      <c r="AX51" s="321">
        <v>0</v>
      </c>
      <c r="AY51" s="322">
        <v>0</v>
      </c>
      <c r="AZ51" s="321">
        <v>0</v>
      </c>
      <c r="BA51" s="322">
        <v>0</v>
      </c>
      <c r="BB51" s="321">
        <v>0</v>
      </c>
      <c r="BC51" s="322">
        <v>0</v>
      </c>
      <c r="BD51" s="321">
        <v>0</v>
      </c>
      <c r="BE51" s="322">
        <v>0</v>
      </c>
      <c r="BF51" s="321">
        <v>0</v>
      </c>
      <c r="BG51" s="322">
        <v>0</v>
      </c>
      <c r="BH51" s="321"/>
      <c r="BI51" s="322"/>
      <c r="BJ51" s="321"/>
      <c r="BK51" s="322"/>
      <c r="BL51" s="321">
        <v>0</v>
      </c>
      <c r="BM51" s="322">
        <v>0</v>
      </c>
      <c r="BN51" s="321">
        <v>0</v>
      </c>
      <c r="BO51" s="322">
        <v>0</v>
      </c>
      <c r="BP51" s="321">
        <v>0</v>
      </c>
      <c r="BQ51" s="322">
        <v>0</v>
      </c>
      <c r="BR51" s="321">
        <v>0</v>
      </c>
      <c r="BS51" s="322">
        <v>0</v>
      </c>
      <c r="BT51" s="321"/>
      <c r="BU51" s="322"/>
      <c r="BV51" s="264">
        <f>L51+N51+P51+R51+T51+V51+X51+Z51+AB51+AD51+AF51+AH51+AJ51+AL51+AN51+AP51+AR51+AT51+AV51+AX51+AZ51+BB51+BD51+BF51+BH51+BJ51+BL51+BN51+BP51+BR51+BT51</f>
        <v>0</v>
      </c>
      <c r="BW51" s="264">
        <f>M51+O51+Q51+S51+U51+W51+Y51+AA51+AC51+AE51+AG51+AI51+AK51+AM51+AO51+AQ51+AS51+AU51+AW51+AY51+BA51+BC51+BE51+BG51+BI51+BK51+BM51+BO51+BQ51+BS51+BU51</f>
        <v>0</v>
      </c>
    </row>
    <row r="52" spans="1:75" s="62" customFormat="1" ht="21.95" customHeight="1" x14ac:dyDescent="0.2">
      <c r="A52" s="304" t="s">
        <v>3213</v>
      </c>
      <c r="B52" s="305" t="s">
        <v>3214</v>
      </c>
      <c r="C52" s="272" t="s">
        <v>3170</v>
      </c>
      <c r="D52" s="306" t="s">
        <v>3215</v>
      </c>
      <c r="E52" s="307" t="s">
        <v>3216</v>
      </c>
      <c r="F52" s="308" t="s">
        <v>3166</v>
      </c>
      <c r="G52" s="308" t="s">
        <v>3167</v>
      </c>
      <c r="H52" s="309" t="s">
        <v>1481</v>
      </c>
      <c r="I52" s="310" t="s">
        <v>1481</v>
      </c>
      <c r="J52" s="273" t="s">
        <v>3168</v>
      </c>
      <c r="K52" s="273" t="s">
        <v>3171</v>
      </c>
      <c r="L52" s="319">
        <v>0</v>
      </c>
      <c r="M52" s="320">
        <v>0</v>
      </c>
      <c r="N52" s="319">
        <v>0</v>
      </c>
      <c r="O52" s="320">
        <v>0</v>
      </c>
      <c r="P52" s="319">
        <v>0</v>
      </c>
      <c r="Q52" s="320">
        <v>0</v>
      </c>
      <c r="R52" s="319"/>
      <c r="S52" s="320"/>
      <c r="T52" s="319"/>
      <c r="U52" s="320"/>
      <c r="V52" s="319">
        <v>0</v>
      </c>
      <c r="W52" s="320">
        <v>0</v>
      </c>
      <c r="X52" s="319">
        <v>0</v>
      </c>
      <c r="Y52" s="320">
        <v>0</v>
      </c>
      <c r="Z52" s="319">
        <v>0</v>
      </c>
      <c r="AA52" s="320">
        <v>0</v>
      </c>
      <c r="AB52" s="319">
        <v>0</v>
      </c>
      <c r="AC52" s="320">
        <v>0</v>
      </c>
      <c r="AD52" s="319">
        <v>0</v>
      </c>
      <c r="AE52" s="320">
        <v>0</v>
      </c>
      <c r="AF52" s="319"/>
      <c r="AG52" s="320"/>
      <c r="AH52" s="319"/>
      <c r="AI52" s="320"/>
      <c r="AJ52" s="319">
        <v>0</v>
      </c>
      <c r="AK52" s="320">
        <v>0</v>
      </c>
      <c r="AL52" s="319">
        <v>0</v>
      </c>
      <c r="AM52" s="320">
        <v>0</v>
      </c>
      <c r="AN52" s="319">
        <v>0</v>
      </c>
      <c r="AO52" s="320">
        <v>0</v>
      </c>
      <c r="AP52" s="319">
        <v>0</v>
      </c>
      <c r="AQ52" s="320">
        <v>0</v>
      </c>
      <c r="AR52" s="319">
        <v>0</v>
      </c>
      <c r="AS52" s="320">
        <v>0</v>
      </c>
      <c r="AT52" s="319"/>
      <c r="AU52" s="320"/>
      <c r="AV52" s="319"/>
      <c r="AW52" s="320"/>
      <c r="AX52" s="319">
        <v>0</v>
      </c>
      <c r="AY52" s="320">
        <v>0</v>
      </c>
      <c r="AZ52" s="319">
        <v>0</v>
      </c>
      <c r="BA52" s="320">
        <v>0</v>
      </c>
      <c r="BB52" s="319">
        <v>0</v>
      </c>
      <c r="BC52" s="320">
        <v>0</v>
      </c>
      <c r="BD52" s="319">
        <v>0</v>
      </c>
      <c r="BE52" s="320">
        <v>0</v>
      </c>
      <c r="BF52" s="319">
        <v>0</v>
      </c>
      <c r="BG52" s="320">
        <v>0</v>
      </c>
      <c r="BH52" s="319"/>
      <c r="BI52" s="320"/>
      <c r="BJ52" s="319"/>
      <c r="BK52" s="320"/>
      <c r="BL52" s="319">
        <v>0</v>
      </c>
      <c r="BM52" s="320">
        <v>0</v>
      </c>
      <c r="BN52" s="319">
        <v>0</v>
      </c>
      <c r="BO52" s="320">
        <v>0</v>
      </c>
      <c r="BP52" s="319">
        <v>0</v>
      </c>
      <c r="BQ52" s="320">
        <v>0</v>
      </c>
      <c r="BR52" s="319">
        <v>0</v>
      </c>
      <c r="BS52" s="320">
        <v>0</v>
      </c>
      <c r="BT52" s="319"/>
      <c r="BU52" s="320"/>
      <c r="BV52" s="264">
        <f t="shared" ref="BV52:BV55" si="21">L52+N52+P52+R52+T52+V52+X52+Z52+AB52+AD52+AF52+AH52+AJ52+AL52+AN52+AP52+AR52+AT52+AV52+AX52+AZ52+BB52+BD52+BF52+BH52+BJ52+BL52+BN52+BP52+BR52+BT52</f>
        <v>0</v>
      </c>
      <c r="BW52" s="264">
        <f t="shared" ref="BW52:BW55" si="22">M52+O52+Q52+S52+U52+W52+Y52+AA52+AC52+AE52+AG52+AI52+AK52+AM52+AO52+AQ52+AS52+AU52+AW52+AY52+BA52+BC52+BE52+BG52+BI52+BK52+BM52+BO52+BQ52+BS52+BU52</f>
        <v>0</v>
      </c>
    </row>
    <row r="53" spans="1:75" s="62" customFormat="1" ht="21.95" customHeight="1" x14ac:dyDescent="0.2">
      <c r="A53" s="304" t="s">
        <v>3213</v>
      </c>
      <c r="B53" s="305" t="s">
        <v>3214</v>
      </c>
      <c r="C53" s="311" t="s">
        <v>3170</v>
      </c>
      <c r="D53" s="306" t="s">
        <v>3215</v>
      </c>
      <c r="E53" s="307" t="s">
        <v>3216</v>
      </c>
      <c r="F53" s="308" t="s">
        <v>3166</v>
      </c>
      <c r="G53" s="308" t="s">
        <v>3167</v>
      </c>
      <c r="H53" s="309" t="s">
        <v>1481</v>
      </c>
      <c r="I53" s="310" t="s">
        <v>1481</v>
      </c>
      <c r="J53" s="273" t="s">
        <v>3168</v>
      </c>
      <c r="K53" s="275" t="s">
        <v>3172</v>
      </c>
      <c r="L53" s="319">
        <v>0</v>
      </c>
      <c r="M53" s="320">
        <v>0</v>
      </c>
      <c r="N53" s="319">
        <v>0</v>
      </c>
      <c r="O53" s="320">
        <v>0</v>
      </c>
      <c r="P53" s="319">
        <v>0</v>
      </c>
      <c r="Q53" s="320">
        <v>0</v>
      </c>
      <c r="R53" s="319"/>
      <c r="S53" s="320"/>
      <c r="T53" s="319"/>
      <c r="U53" s="320"/>
      <c r="V53" s="319">
        <v>0</v>
      </c>
      <c r="W53" s="320">
        <v>0</v>
      </c>
      <c r="X53" s="319">
        <v>0</v>
      </c>
      <c r="Y53" s="320">
        <v>0</v>
      </c>
      <c r="Z53" s="319">
        <v>0</v>
      </c>
      <c r="AA53" s="320">
        <v>0</v>
      </c>
      <c r="AB53" s="319">
        <v>0</v>
      </c>
      <c r="AC53" s="320">
        <v>0</v>
      </c>
      <c r="AD53" s="319">
        <v>0</v>
      </c>
      <c r="AE53" s="320">
        <v>0</v>
      </c>
      <c r="AF53" s="319"/>
      <c r="AG53" s="320"/>
      <c r="AH53" s="319"/>
      <c r="AI53" s="320"/>
      <c r="AJ53" s="319">
        <v>0</v>
      </c>
      <c r="AK53" s="320">
        <v>0</v>
      </c>
      <c r="AL53" s="319">
        <v>0</v>
      </c>
      <c r="AM53" s="320">
        <v>0</v>
      </c>
      <c r="AN53" s="319">
        <v>0</v>
      </c>
      <c r="AO53" s="320">
        <v>0</v>
      </c>
      <c r="AP53" s="319">
        <v>0</v>
      </c>
      <c r="AQ53" s="320">
        <v>0</v>
      </c>
      <c r="AR53" s="319">
        <v>0</v>
      </c>
      <c r="AS53" s="320">
        <v>0</v>
      </c>
      <c r="AT53" s="319"/>
      <c r="AU53" s="320"/>
      <c r="AV53" s="319"/>
      <c r="AW53" s="320"/>
      <c r="AX53" s="319">
        <v>0</v>
      </c>
      <c r="AY53" s="320">
        <v>0</v>
      </c>
      <c r="AZ53" s="319">
        <v>0</v>
      </c>
      <c r="BA53" s="320">
        <v>0</v>
      </c>
      <c r="BB53" s="319">
        <v>0</v>
      </c>
      <c r="BC53" s="320">
        <v>0</v>
      </c>
      <c r="BD53" s="319">
        <v>0</v>
      </c>
      <c r="BE53" s="320">
        <v>0</v>
      </c>
      <c r="BF53" s="319">
        <v>0</v>
      </c>
      <c r="BG53" s="320">
        <v>0</v>
      </c>
      <c r="BH53" s="319"/>
      <c r="BI53" s="320"/>
      <c r="BJ53" s="319"/>
      <c r="BK53" s="320"/>
      <c r="BL53" s="319">
        <v>0</v>
      </c>
      <c r="BM53" s="320">
        <v>0</v>
      </c>
      <c r="BN53" s="319">
        <v>0</v>
      </c>
      <c r="BO53" s="320">
        <v>0</v>
      </c>
      <c r="BP53" s="319">
        <v>0</v>
      </c>
      <c r="BQ53" s="320">
        <v>0</v>
      </c>
      <c r="BR53" s="319">
        <v>0</v>
      </c>
      <c r="BS53" s="320">
        <v>0</v>
      </c>
      <c r="BT53" s="319"/>
      <c r="BU53" s="320"/>
      <c r="BV53" s="264">
        <f t="shared" si="21"/>
        <v>0</v>
      </c>
      <c r="BW53" s="264">
        <f t="shared" si="22"/>
        <v>0</v>
      </c>
    </row>
    <row r="54" spans="1:75" s="62" customFormat="1" ht="21.95" customHeight="1" x14ac:dyDescent="0.2">
      <c r="A54" s="304" t="s">
        <v>3213</v>
      </c>
      <c r="B54" s="305" t="s">
        <v>3214</v>
      </c>
      <c r="C54" s="311" t="s">
        <v>3170</v>
      </c>
      <c r="D54" s="306" t="s">
        <v>3215</v>
      </c>
      <c r="E54" s="307" t="s">
        <v>3216</v>
      </c>
      <c r="F54" s="308" t="s">
        <v>3166</v>
      </c>
      <c r="G54" s="308" t="s">
        <v>3167</v>
      </c>
      <c r="H54" s="309" t="s">
        <v>1481</v>
      </c>
      <c r="I54" s="310" t="s">
        <v>1481</v>
      </c>
      <c r="J54" s="273" t="s">
        <v>3168</v>
      </c>
      <c r="K54" s="276" t="s">
        <v>3173</v>
      </c>
      <c r="L54" s="319">
        <v>0</v>
      </c>
      <c r="M54" s="320">
        <v>0</v>
      </c>
      <c r="N54" s="319">
        <v>0</v>
      </c>
      <c r="O54" s="320">
        <v>0</v>
      </c>
      <c r="P54" s="319">
        <v>0</v>
      </c>
      <c r="Q54" s="320">
        <v>0</v>
      </c>
      <c r="R54" s="319"/>
      <c r="S54" s="320"/>
      <c r="T54" s="319"/>
      <c r="U54" s="320"/>
      <c r="V54" s="319">
        <v>0</v>
      </c>
      <c r="W54" s="320">
        <v>0</v>
      </c>
      <c r="X54" s="319">
        <v>0</v>
      </c>
      <c r="Y54" s="320">
        <v>0</v>
      </c>
      <c r="Z54" s="319">
        <v>0</v>
      </c>
      <c r="AA54" s="320">
        <v>0</v>
      </c>
      <c r="AB54" s="319">
        <v>0</v>
      </c>
      <c r="AC54" s="320">
        <v>0</v>
      </c>
      <c r="AD54" s="319">
        <v>0</v>
      </c>
      <c r="AE54" s="320">
        <v>0</v>
      </c>
      <c r="AF54" s="319"/>
      <c r="AG54" s="320"/>
      <c r="AH54" s="319"/>
      <c r="AI54" s="320"/>
      <c r="AJ54" s="319">
        <v>0</v>
      </c>
      <c r="AK54" s="320">
        <v>0</v>
      </c>
      <c r="AL54" s="319">
        <v>0</v>
      </c>
      <c r="AM54" s="320">
        <v>0</v>
      </c>
      <c r="AN54" s="319">
        <v>0</v>
      </c>
      <c r="AO54" s="320">
        <v>0</v>
      </c>
      <c r="AP54" s="319">
        <v>0</v>
      </c>
      <c r="AQ54" s="320">
        <v>0</v>
      </c>
      <c r="AR54" s="319">
        <v>0</v>
      </c>
      <c r="AS54" s="320">
        <v>0</v>
      </c>
      <c r="AT54" s="319"/>
      <c r="AU54" s="320"/>
      <c r="AV54" s="319"/>
      <c r="AW54" s="320"/>
      <c r="AX54" s="319">
        <v>0</v>
      </c>
      <c r="AY54" s="320">
        <v>0</v>
      </c>
      <c r="AZ54" s="319">
        <v>0</v>
      </c>
      <c r="BA54" s="320">
        <v>0</v>
      </c>
      <c r="BB54" s="319">
        <v>0</v>
      </c>
      <c r="BC54" s="320">
        <v>0</v>
      </c>
      <c r="BD54" s="319">
        <v>0</v>
      </c>
      <c r="BE54" s="320">
        <v>0</v>
      </c>
      <c r="BF54" s="319">
        <v>0</v>
      </c>
      <c r="BG54" s="320">
        <v>0</v>
      </c>
      <c r="BH54" s="319"/>
      <c r="BI54" s="320"/>
      <c r="BJ54" s="319"/>
      <c r="BK54" s="320"/>
      <c r="BL54" s="319">
        <v>0</v>
      </c>
      <c r="BM54" s="320">
        <v>0</v>
      </c>
      <c r="BN54" s="319">
        <v>0</v>
      </c>
      <c r="BO54" s="320">
        <v>0</v>
      </c>
      <c r="BP54" s="319">
        <v>0</v>
      </c>
      <c r="BQ54" s="320">
        <v>0</v>
      </c>
      <c r="BR54" s="319">
        <v>0</v>
      </c>
      <c r="BS54" s="320">
        <v>0</v>
      </c>
      <c r="BT54" s="319"/>
      <c r="BU54" s="320"/>
      <c r="BV54" s="264">
        <f t="shared" si="21"/>
        <v>0</v>
      </c>
      <c r="BW54" s="264">
        <f t="shared" si="22"/>
        <v>0</v>
      </c>
    </row>
    <row r="55" spans="1:75" s="62" customFormat="1" ht="21.95" customHeight="1" thickBot="1" x14ac:dyDescent="0.25">
      <c r="A55" s="567" t="s">
        <v>3213</v>
      </c>
      <c r="B55" s="312" t="s">
        <v>3214</v>
      </c>
      <c r="C55" s="313" t="s">
        <v>3170</v>
      </c>
      <c r="D55" s="314" t="s">
        <v>3215</v>
      </c>
      <c r="E55" s="330" t="s">
        <v>3216</v>
      </c>
      <c r="F55" s="315" t="s">
        <v>3166</v>
      </c>
      <c r="G55" s="315" t="s">
        <v>3167</v>
      </c>
      <c r="H55" s="316" t="s">
        <v>1481</v>
      </c>
      <c r="I55" s="568" t="s">
        <v>1481</v>
      </c>
      <c r="J55" s="273" t="s">
        <v>3168</v>
      </c>
      <c r="K55" s="277" t="s">
        <v>53</v>
      </c>
      <c r="L55" s="321">
        <v>0</v>
      </c>
      <c r="M55" s="322">
        <v>0</v>
      </c>
      <c r="N55" s="321">
        <v>0</v>
      </c>
      <c r="O55" s="322">
        <v>0</v>
      </c>
      <c r="P55" s="321">
        <v>0</v>
      </c>
      <c r="Q55" s="322">
        <v>0</v>
      </c>
      <c r="R55" s="321"/>
      <c r="S55" s="322"/>
      <c r="T55" s="321"/>
      <c r="U55" s="322"/>
      <c r="V55" s="321">
        <v>0</v>
      </c>
      <c r="W55" s="322">
        <v>0</v>
      </c>
      <c r="X55" s="321">
        <v>0</v>
      </c>
      <c r="Y55" s="322">
        <v>0</v>
      </c>
      <c r="Z55" s="321">
        <v>0</v>
      </c>
      <c r="AA55" s="322">
        <v>0</v>
      </c>
      <c r="AB55" s="321">
        <v>0</v>
      </c>
      <c r="AC55" s="322">
        <v>0</v>
      </c>
      <c r="AD55" s="321">
        <v>0</v>
      </c>
      <c r="AE55" s="322">
        <v>0</v>
      </c>
      <c r="AF55" s="321"/>
      <c r="AG55" s="322"/>
      <c r="AH55" s="321"/>
      <c r="AI55" s="322"/>
      <c r="AJ55" s="321">
        <v>0</v>
      </c>
      <c r="AK55" s="322">
        <v>0</v>
      </c>
      <c r="AL55" s="321">
        <v>0</v>
      </c>
      <c r="AM55" s="322">
        <v>0</v>
      </c>
      <c r="AN55" s="321">
        <v>0</v>
      </c>
      <c r="AO55" s="322">
        <v>0</v>
      </c>
      <c r="AP55" s="321">
        <v>0</v>
      </c>
      <c r="AQ55" s="322">
        <v>0</v>
      </c>
      <c r="AR55" s="321">
        <v>0</v>
      </c>
      <c r="AS55" s="322">
        <v>0</v>
      </c>
      <c r="AT55" s="321"/>
      <c r="AU55" s="322"/>
      <c r="AV55" s="321"/>
      <c r="AW55" s="322"/>
      <c r="AX55" s="321">
        <v>0</v>
      </c>
      <c r="AY55" s="322">
        <v>0</v>
      </c>
      <c r="AZ55" s="321">
        <v>0</v>
      </c>
      <c r="BA55" s="322">
        <v>0</v>
      </c>
      <c r="BB55" s="321">
        <v>0</v>
      </c>
      <c r="BC55" s="322">
        <v>0</v>
      </c>
      <c r="BD55" s="321">
        <v>0</v>
      </c>
      <c r="BE55" s="322">
        <v>0</v>
      </c>
      <c r="BF55" s="321">
        <v>0</v>
      </c>
      <c r="BG55" s="322">
        <v>0</v>
      </c>
      <c r="BH55" s="321"/>
      <c r="BI55" s="322"/>
      <c r="BJ55" s="321"/>
      <c r="BK55" s="322"/>
      <c r="BL55" s="321">
        <v>0</v>
      </c>
      <c r="BM55" s="322">
        <v>0</v>
      </c>
      <c r="BN55" s="321">
        <v>0</v>
      </c>
      <c r="BO55" s="322">
        <v>0</v>
      </c>
      <c r="BP55" s="321">
        <v>0</v>
      </c>
      <c r="BQ55" s="322">
        <v>0</v>
      </c>
      <c r="BR55" s="321">
        <v>0</v>
      </c>
      <c r="BS55" s="322">
        <v>0</v>
      </c>
      <c r="BT55" s="321"/>
      <c r="BU55" s="322"/>
      <c r="BV55" s="264">
        <f t="shared" si="21"/>
        <v>0</v>
      </c>
      <c r="BW55" s="264">
        <f t="shared" si="22"/>
        <v>0</v>
      </c>
    </row>
    <row r="56" spans="1:75" s="62" customFormat="1" ht="21.95" customHeight="1" x14ac:dyDescent="0.25">
      <c r="A56" s="344" t="s">
        <v>3217</v>
      </c>
      <c r="B56" s="433" t="s">
        <v>3218</v>
      </c>
      <c r="C56" s="434">
        <v>1</v>
      </c>
      <c r="D56" s="435" t="s">
        <v>3219</v>
      </c>
      <c r="E56" s="345" t="s">
        <v>3220</v>
      </c>
      <c r="F56" s="436" t="s">
        <v>3166</v>
      </c>
      <c r="G56" s="436" t="s">
        <v>3167</v>
      </c>
      <c r="H56" s="437" t="s">
        <v>1484</v>
      </c>
      <c r="I56" s="303" t="s">
        <v>1484</v>
      </c>
      <c r="J56" s="273" t="s">
        <v>3168</v>
      </c>
      <c r="K56" s="274" t="s">
        <v>3169</v>
      </c>
      <c r="L56" s="321">
        <v>0</v>
      </c>
      <c r="M56" s="322">
        <v>0</v>
      </c>
      <c r="N56" s="321">
        <v>0</v>
      </c>
      <c r="O56" s="322">
        <v>0</v>
      </c>
      <c r="P56" s="321">
        <v>0</v>
      </c>
      <c r="Q56" s="322">
        <v>0</v>
      </c>
      <c r="R56" s="321"/>
      <c r="S56" s="322"/>
      <c r="T56" s="321"/>
      <c r="U56" s="322"/>
      <c r="V56" s="321">
        <v>0</v>
      </c>
      <c r="W56" s="322">
        <v>0</v>
      </c>
      <c r="X56" s="321">
        <v>0</v>
      </c>
      <c r="Y56" s="322">
        <v>0</v>
      </c>
      <c r="Z56" s="321">
        <v>0</v>
      </c>
      <c r="AA56" s="322">
        <v>0</v>
      </c>
      <c r="AB56" s="321">
        <v>0</v>
      </c>
      <c r="AC56" s="322">
        <v>0</v>
      </c>
      <c r="AD56" s="321">
        <v>0</v>
      </c>
      <c r="AE56" s="322">
        <v>0</v>
      </c>
      <c r="AF56" s="321"/>
      <c r="AG56" s="322"/>
      <c r="AH56" s="321"/>
      <c r="AI56" s="322"/>
      <c r="AJ56" s="321">
        <v>0</v>
      </c>
      <c r="AK56" s="322">
        <v>0</v>
      </c>
      <c r="AL56" s="321">
        <v>0</v>
      </c>
      <c r="AM56" s="322">
        <v>0</v>
      </c>
      <c r="AN56" s="321">
        <v>0</v>
      </c>
      <c r="AO56" s="322">
        <v>0</v>
      </c>
      <c r="AP56" s="321">
        <v>0</v>
      </c>
      <c r="AQ56" s="322">
        <v>0</v>
      </c>
      <c r="AR56" s="321">
        <v>0</v>
      </c>
      <c r="AS56" s="322">
        <v>0</v>
      </c>
      <c r="AT56" s="321"/>
      <c r="AU56" s="322"/>
      <c r="AV56" s="321"/>
      <c r="AW56" s="322"/>
      <c r="AX56" s="321">
        <v>0</v>
      </c>
      <c r="AY56" s="322">
        <v>0</v>
      </c>
      <c r="AZ56" s="321">
        <v>0</v>
      </c>
      <c r="BA56" s="322">
        <v>0</v>
      </c>
      <c r="BB56" s="321">
        <v>0</v>
      </c>
      <c r="BC56" s="322">
        <v>0</v>
      </c>
      <c r="BD56" s="321">
        <v>0</v>
      </c>
      <c r="BE56" s="322">
        <v>0</v>
      </c>
      <c r="BF56" s="321">
        <v>0</v>
      </c>
      <c r="BG56" s="322">
        <v>0</v>
      </c>
      <c r="BH56" s="321"/>
      <c r="BI56" s="322"/>
      <c r="BJ56" s="321"/>
      <c r="BK56" s="322"/>
      <c r="BL56" s="321">
        <v>0</v>
      </c>
      <c r="BM56" s="322">
        <v>0</v>
      </c>
      <c r="BN56" s="321">
        <v>0</v>
      </c>
      <c r="BO56" s="322">
        <v>0</v>
      </c>
      <c r="BP56" s="321">
        <v>0</v>
      </c>
      <c r="BQ56" s="322">
        <v>0</v>
      </c>
      <c r="BR56" s="321">
        <v>0</v>
      </c>
      <c r="BS56" s="322">
        <v>0</v>
      </c>
      <c r="BT56" s="321"/>
      <c r="BU56" s="322"/>
      <c r="BV56" s="264">
        <f>L56+N56+P56+R56+T56+V56+X56+Z56+AB56+AD56+AF56+AH56+AJ56+AL56+AN56+AP56+AR56+AT56+AV56+AX56+AZ56+BB56+BD56+BF56+BH56+BJ56+BL56+BN56+BP56+BR56+BT56</f>
        <v>0</v>
      </c>
      <c r="BW56" s="264">
        <f>M56+O56+Q56+S56+U56+W56+Y56+AA56+AC56+AE56+AG56+AI56+AK56+AM56+AO56+AQ56+AS56+AU56+AW56+AY56+BA56+BC56+BE56+BG56+BI56+BK56+BM56+BO56+BQ56+BS56+BU56</f>
        <v>0</v>
      </c>
    </row>
    <row r="57" spans="1:75" s="62" customFormat="1" ht="21.95" customHeight="1" x14ac:dyDescent="0.2">
      <c r="A57" s="304" t="s">
        <v>3217</v>
      </c>
      <c r="B57" s="305" t="s">
        <v>3218</v>
      </c>
      <c r="C57" s="272" t="s">
        <v>3170</v>
      </c>
      <c r="D57" s="306" t="s">
        <v>3219</v>
      </c>
      <c r="E57" s="307" t="s">
        <v>3220</v>
      </c>
      <c r="F57" s="308" t="s">
        <v>3166</v>
      </c>
      <c r="G57" s="308" t="s">
        <v>3167</v>
      </c>
      <c r="H57" s="309" t="s">
        <v>1484</v>
      </c>
      <c r="I57" s="310" t="s">
        <v>1484</v>
      </c>
      <c r="J57" s="273" t="s">
        <v>3168</v>
      </c>
      <c r="K57" s="273" t="s">
        <v>3171</v>
      </c>
      <c r="L57" s="319">
        <v>0</v>
      </c>
      <c r="M57" s="320">
        <v>0</v>
      </c>
      <c r="N57" s="319">
        <v>0</v>
      </c>
      <c r="O57" s="320">
        <v>0</v>
      </c>
      <c r="P57" s="319">
        <v>0</v>
      </c>
      <c r="Q57" s="320">
        <v>0</v>
      </c>
      <c r="R57" s="319"/>
      <c r="S57" s="320"/>
      <c r="T57" s="319"/>
      <c r="U57" s="320"/>
      <c r="V57" s="319">
        <v>11</v>
      </c>
      <c r="W57" s="320">
        <v>0</v>
      </c>
      <c r="X57" s="319">
        <v>0</v>
      </c>
      <c r="Y57" s="320">
        <v>0</v>
      </c>
      <c r="Z57" s="319">
        <v>0</v>
      </c>
      <c r="AA57" s="320">
        <v>0</v>
      </c>
      <c r="AB57" s="319">
        <v>0</v>
      </c>
      <c r="AC57" s="320">
        <v>0</v>
      </c>
      <c r="AD57" s="319">
        <v>0</v>
      </c>
      <c r="AE57" s="320">
        <v>0</v>
      </c>
      <c r="AF57" s="319"/>
      <c r="AG57" s="320"/>
      <c r="AH57" s="319"/>
      <c r="AI57" s="320"/>
      <c r="AJ57" s="319">
        <v>11</v>
      </c>
      <c r="AK57" s="320">
        <v>0</v>
      </c>
      <c r="AL57" s="319">
        <v>0</v>
      </c>
      <c r="AM57" s="320">
        <v>0</v>
      </c>
      <c r="AN57" s="319">
        <v>0</v>
      </c>
      <c r="AO57" s="320">
        <v>0</v>
      </c>
      <c r="AP57" s="319">
        <v>0</v>
      </c>
      <c r="AQ57" s="320">
        <v>0</v>
      </c>
      <c r="AR57" s="319">
        <v>0</v>
      </c>
      <c r="AS57" s="320">
        <v>0</v>
      </c>
      <c r="AT57" s="319"/>
      <c r="AU57" s="320"/>
      <c r="AV57" s="319"/>
      <c r="AW57" s="320"/>
      <c r="AX57" s="319">
        <v>11</v>
      </c>
      <c r="AY57" s="320">
        <v>0</v>
      </c>
      <c r="AZ57" s="319">
        <v>0</v>
      </c>
      <c r="BA57" s="320">
        <v>0</v>
      </c>
      <c r="BB57" s="319">
        <v>0</v>
      </c>
      <c r="BC57" s="320">
        <v>0</v>
      </c>
      <c r="BD57" s="319">
        <v>0</v>
      </c>
      <c r="BE57" s="320">
        <v>0</v>
      </c>
      <c r="BF57" s="319">
        <v>0</v>
      </c>
      <c r="BG57" s="320">
        <v>0</v>
      </c>
      <c r="BH57" s="319"/>
      <c r="BI57" s="320"/>
      <c r="BJ57" s="319"/>
      <c r="BK57" s="320"/>
      <c r="BL57" s="319">
        <v>11</v>
      </c>
      <c r="BM57" s="320">
        <v>0</v>
      </c>
      <c r="BN57" s="319">
        <v>0</v>
      </c>
      <c r="BO57" s="320">
        <v>0</v>
      </c>
      <c r="BP57" s="319">
        <v>0</v>
      </c>
      <c r="BQ57" s="320">
        <v>0</v>
      </c>
      <c r="BR57" s="319">
        <v>0</v>
      </c>
      <c r="BS57" s="320">
        <v>0</v>
      </c>
      <c r="BT57" s="319"/>
      <c r="BU57" s="320"/>
      <c r="BV57" s="264">
        <f t="shared" ref="BV57:BV60" si="23">L57+N57+P57+R57+T57+V57+X57+Z57+AB57+AD57+AF57+AH57+AJ57+AL57+AN57+AP57+AR57+AT57+AV57+AX57+AZ57+BB57+BD57+BF57+BH57+BJ57+BL57+BN57+BP57+BR57+BT57</f>
        <v>44</v>
      </c>
      <c r="BW57" s="264">
        <f t="shared" ref="BW57:BW60" si="24">M57+O57+Q57+S57+U57+W57+Y57+AA57+AC57+AE57+AG57+AI57+AK57+AM57+AO57+AQ57+AS57+AU57+AW57+AY57+BA57+BC57+BE57+BG57+BI57+BK57+BM57+BO57+BQ57+BS57+BU57</f>
        <v>0</v>
      </c>
    </row>
    <row r="58" spans="1:75" s="62" customFormat="1" ht="21.95" customHeight="1" x14ac:dyDescent="0.2">
      <c r="A58" s="304" t="s">
        <v>3217</v>
      </c>
      <c r="B58" s="305" t="s">
        <v>3218</v>
      </c>
      <c r="C58" s="311" t="s">
        <v>3170</v>
      </c>
      <c r="D58" s="306" t="s">
        <v>3219</v>
      </c>
      <c r="E58" s="307" t="s">
        <v>3220</v>
      </c>
      <c r="F58" s="308" t="s">
        <v>3166</v>
      </c>
      <c r="G58" s="308" t="s">
        <v>3167</v>
      </c>
      <c r="H58" s="309" t="s">
        <v>1484</v>
      </c>
      <c r="I58" s="310" t="s">
        <v>1484</v>
      </c>
      <c r="J58" s="273" t="s">
        <v>3168</v>
      </c>
      <c r="K58" s="275" t="s">
        <v>3172</v>
      </c>
      <c r="L58" s="319">
        <v>0</v>
      </c>
      <c r="M58" s="320">
        <v>0</v>
      </c>
      <c r="N58" s="319">
        <v>0</v>
      </c>
      <c r="O58" s="320">
        <v>0</v>
      </c>
      <c r="P58" s="319">
        <v>0</v>
      </c>
      <c r="Q58" s="320">
        <v>0</v>
      </c>
      <c r="R58" s="319"/>
      <c r="S58" s="320"/>
      <c r="T58" s="319"/>
      <c r="U58" s="320"/>
      <c r="V58" s="319">
        <v>0</v>
      </c>
      <c r="W58" s="320">
        <v>0</v>
      </c>
      <c r="X58" s="319">
        <v>0</v>
      </c>
      <c r="Y58" s="320">
        <v>0</v>
      </c>
      <c r="Z58" s="319">
        <v>0</v>
      </c>
      <c r="AA58" s="320">
        <v>0</v>
      </c>
      <c r="AB58" s="319">
        <v>0</v>
      </c>
      <c r="AC58" s="320">
        <v>0</v>
      </c>
      <c r="AD58" s="319">
        <v>0</v>
      </c>
      <c r="AE58" s="320">
        <v>0</v>
      </c>
      <c r="AF58" s="319"/>
      <c r="AG58" s="320"/>
      <c r="AH58" s="319"/>
      <c r="AI58" s="320"/>
      <c r="AJ58" s="319">
        <v>0</v>
      </c>
      <c r="AK58" s="320">
        <v>0</v>
      </c>
      <c r="AL58" s="319">
        <v>0</v>
      </c>
      <c r="AM58" s="320">
        <v>0</v>
      </c>
      <c r="AN58" s="319">
        <v>0</v>
      </c>
      <c r="AO58" s="320">
        <v>0</v>
      </c>
      <c r="AP58" s="319">
        <v>0</v>
      </c>
      <c r="AQ58" s="320">
        <v>0</v>
      </c>
      <c r="AR58" s="319">
        <v>0</v>
      </c>
      <c r="AS58" s="320">
        <v>0</v>
      </c>
      <c r="AT58" s="319"/>
      <c r="AU58" s="320"/>
      <c r="AV58" s="319"/>
      <c r="AW58" s="320"/>
      <c r="AX58" s="319">
        <v>0</v>
      </c>
      <c r="AY58" s="320">
        <v>0</v>
      </c>
      <c r="AZ58" s="319">
        <v>0</v>
      </c>
      <c r="BA58" s="320">
        <v>0</v>
      </c>
      <c r="BB58" s="319">
        <v>0</v>
      </c>
      <c r="BC58" s="320">
        <v>0</v>
      </c>
      <c r="BD58" s="319">
        <v>0</v>
      </c>
      <c r="BE58" s="320">
        <v>0</v>
      </c>
      <c r="BF58" s="319">
        <v>0</v>
      </c>
      <c r="BG58" s="320">
        <v>0</v>
      </c>
      <c r="BH58" s="319"/>
      <c r="BI58" s="320"/>
      <c r="BJ58" s="319"/>
      <c r="BK58" s="320"/>
      <c r="BL58" s="319">
        <v>0</v>
      </c>
      <c r="BM58" s="320">
        <v>0</v>
      </c>
      <c r="BN58" s="319">
        <v>0</v>
      </c>
      <c r="BO58" s="320">
        <v>0</v>
      </c>
      <c r="BP58" s="319">
        <v>0</v>
      </c>
      <c r="BQ58" s="320">
        <v>0</v>
      </c>
      <c r="BR58" s="319">
        <v>0</v>
      </c>
      <c r="BS58" s="320">
        <v>0</v>
      </c>
      <c r="BT58" s="319"/>
      <c r="BU58" s="320"/>
      <c r="BV58" s="264">
        <f t="shared" si="23"/>
        <v>0</v>
      </c>
      <c r="BW58" s="264">
        <f t="shared" si="24"/>
        <v>0</v>
      </c>
    </row>
    <row r="59" spans="1:75" s="62" customFormat="1" ht="21.95" customHeight="1" x14ac:dyDescent="0.2">
      <c r="A59" s="304" t="s">
        <v>3217</v>
      </c>
      <c r="B59" s="305" t="s">
        <v>3218</v>
      </c>
      <c r="C59" s="311" t="s">
        <v>3170</v>
      </c>
      <c r="D59" s="306" t="s">
        <v>3219</v>
      </c>
      <c r="E59" s="307" t="s">
        <v>3220</v>
      </c>
      <c r="F59" s="308" t="s">
        <v>3166</v>
      </c>
      <c r="G59" s="308" t="s">
        <v>3167</v>
      </c>
      <c r="H59" s="309" t="s">
        <v>1484</v>
      </c>
      <c r="I59" s="310" t="s">
        <v>1484</v>
      </c>
      <c r="J59" s="273" t="s">
        <v>3168</v>
      </c>
      <c r="K59" s="276" t="s">
        <v>3173</v>
      </c>
      <c r="L59" s="319">
        <v>0</v>
      </c>
      <c r="M59" s="320">
        <v>0</v>
      </c>
      <c r="N59" s="319">
        <v>0</v>
      </c>
      <c r="O59" s="320">
        <v>0</v>
      </c>
      <c r="P59" s="319">
        <v>0</v>
      </c>
      <c r="Q59" s="320">
        <v>0</v>
      </c>
      <c r="R59" s="319"/>
      <c r="S59" s="320"/>
      <c r="T59" s="319"/>
      <c r="U59" s="320"/>
      <c r="V59" s="319">
        <v>0</v>
      </c>
      <c r="W59" s="320">
        <v>0</v>
      </c>
      <c r="X59" s="319">
        <v>0</v>
      </c>
      <c r="Y59" s="320">
        <v>0</v>
      </c>
      <c r="Z59" s="319">
        <v>0</v>
      </c>
      <c r="AA59" s="320">
        <v>0</v>
      </c>
      <c r="AB59" s="319">
        <v>0</v>
      </c>
      <c r="AC59" s="320">
        <v>0</v>
      </c>
      <c r="AD59" s="319">
        <v>0</v>
      </c>
      <c r="AE59" s="320">
        <v>0</v>
      </c>
      <c r="AF59" s="319"/>
      <c r="AG59" s="320"/>
      <c r="AH59" s="319"/>
      <c r="AI59" s="320"/>
      <c r="AJ59" s="319">
        <v>0</v>
      </c>
      <c r="AK59" s="320">
        <v>0</v>
      </c>
      <c r="AL59" s="319">
        <v>0</v>
      </c>
      <c r="AM59" s="320">
        <v>0</v>
      </c>
      <c r="AN59" s="319">
        <v>0</v>
      </c>
      <c r="AO59" s="320">
        <v>0</v>
      </c>
      <c r="AP59" s="319">
        <v>0</v>
      </c>
      <c r="AQ59" s="320">
        <v>0</v>
      </c>
      <c r="AR59" s="319">
        <v>0</v>
      </c>
      <c r="AS59" s="320">
        <v>0</v>
      </c>
      <c r="AT59" s="319"/>
      <c r="AU59" s="320"/>
      <c r="AV59" s="319"/>
      <c r="AW59" s="320"/>
      <c r="AX59" s="319">
        <v>0</v>
      </c>
      <c r="AY59" s="320">
        <v>0</v>
      </c>
      <c r="AZ59" s="319">
        <v>0</v>
      </c>
      <c r="BA59" s="320">
        <v>0</v>
      </c>
      <c r="BB59" s="319">
        <v>0</v>
      </c>
      <c r="BC59" s="320">
        <v>0</v>
      </c>
      <c r="BD59" s="319">
        <v>0</v>
      </c>
      <c r="BE59" s="320">
        <v>0</v>
      </c>
      <c r="BF59" s="319">
        <v>0</v>
      </c>
      <c r="BG59" s="320">
        <v>0</v>
      </c>
      <c r="BH59" s="319"/>
      <c r="BI59" s="320"/>
      <c r="BJ59" s="319"/>
      <c r="BK59" s="320"/>
      <c r="BL59" s="319">
        <v>0</v>
      </c>
      <c r="BM59" s="320">
        <v>0</v>
      </c>
      <c r="BN59" s="319">
        <v>0</v>
      </c>
      <c r="BO59" s="320">
        <v>0</v>
      </c>
      <c r="BP59" s="319">
        <v>0</v>
      </c>
      <c r="BQ59" s="320">
        <v>0</v>
      </c>
      <c r="BR59" s="319">
        <v>0</v>
      </c>
      <c r="BS59" s="320">
        <v>0</v>
      </c>
      <c r="BT59" s="319"/>
      <c r="BU59" s="320"/>
      <c r="BV59" s="264">
        <f t="shared" si="23"/>
        <v>0</v>
      </c>
      <c r="BW59" s="264">
        <f t="shared" si="24"/>
        <v>0</v>
      </c>
    </row>
    <row r="60" spans="1:75" s="62" customFormat="1" ht="21.95" customHeight="1" thickBot="1" x14ac:dyDescent="0.25">
      <c r="A60" s="567" t="s">
        <v>3217</v>
      </c>
      <c r="B60" s="312" t="s">
        <v>3218</v>
      </c>
      <c r="C60" s="313" t="s">
        <v>3170</v>
      </c>
      <c r="D60" s="314" t="s">
        <v>3219</v>
      </c>
      <c r="E60" s="330" t="s">
        <v>3220</v>
      </c>
      <c r="F60" s="315" t="s">
        <v>3166</v>
      </c>
      <c r="G60" s="315" t="s">
        <v>3167</v>
      </c>
      <c r="H60" s="316" t="s">
        <v>1484</v>
      </c>
      <c r="I60" s="568" t="s">
        <v>1484</v>
      </c>
      <c r="J60" s="273" t="s">
        <v>3168</v>
      </c>
      <c r="K60" s="277" t="s">
        <v>53</v>
      </c>
      <c r="L60" s="321">
        <v>0</v>
      </c>
      <c r="M60" s="322">
        <v>0</v>
      </c>
      <c r="N60" s="321">
        <v>0</v>
      </c>
      <c r="O60" s="322">
        <v>0</v>
      </c>
      <c r="P60" s="321">
        <v>0</v>
      </c>
      <c r="Q60" s="322">
        <v>0</v>
      </c>
      <c r="R60" s="321"/>
      <c r="S60" s="322"/>
      <c r="T60" s="321"/>
      <c r="U60" s="322"/>
      <c r="V60" s="321">
        <v>0</v>
      </c>
      <c r="W60" s="322">
        <v>0</v>
      </c>
      <c r="X60" s="321">
        <v>0</v>
      </c>
      <c r="Y60" s="322">
        <v>0</v>
      </c>
      <c r="Z60" s="321">
        <v>0</v>
      </c>
      <c r="AA60" s="322">
        <v>0</v>
      </c>
      <c r="AB60" s="321">
        <v>0</v>
      </c>
      <c r="AC60" s="322">
        <v>0</v>
      </c>
      <c r="AD60" s="321">
        <v>0</v>
      </c>
      <c r="AE60" s="322">
        <v>0</v>
      </c>
      <c r="AF60" s="321"/>
      <c r="AG60" s="322"/>
      <c r="AH60" s="321"/>
      <c r="AI60" s="322"/>
      <c r="AJ60" s="321">
        <v>0</v>
      </c>
      <c r="AK60" s="322">
        <v>0</v>
      </c>
      <c r="AL60" s="321">
        <v>0</v>
      </c>
      <c r="AM60" s="322">
        <v>0</v>
      </c>
      <c r="AN60" s="321">
        <v>0</v>
      </c>
      <c r="AO60" s="322">
        <v>0</v>
      </c>
      <c r="AP60" s="321">
        <v>0</v>
      </c>
      <c r="AQ60" s="322">
        <v>0</v>
      </c>
      <c r="AR60" s="321">
        <v>0</v>
      </c>
      <c r="AS60" s="322">
        <v>0</v>
      </c>
      <c r="AT60" s="321"/>
      <c r="AU60" s="322"/>
      <c r="AV60" s="321"/>
      <c r="AW60" s="322"/>
      <c r="AX60" s="321">
        <v>0</v>
      </c>
      <c r="AY60" s="322">
        <v>0</v>
      </c>
      <c r="AZ60" s="321">
        <v>0</v>
      </c>
      <c r="BA60" s="322">
        <v>0</v>
      </c>
      <c r="BB60" s="321">
        <v>0</v>
      </c>
      <c r="BC60" s="322">
        <v>0</v>
      </c>
      <c r="BD60" s="321">
        <v>0</v>
      </c>
      <c r="BE60" s="322">
        <v>0</v>
      </c>
      <c r="BF60" s="321">
        <v>0</v>
      </c>
      <c r="BG60" s="322">
        <v>0</v>
      </c>
      <c r="BH60" s="321"/>
      <c r="BI60" s="322"/>
      <c r="BJ60" s="321"/>
      <c r="BK60" s="322"/>
      <c r="BL60" s="321">
        <v>0</v>
      </c>
      <c r="BM60" s="322">
        <v>0</v>
      </c>
      <c r="BN60" s="321">
        <v>0</v>
      </c>
      <c r="BO60" s="322">
        <v>0</v>
      </c>
      <c r="BP60" s="321">
        <v>0</v>
      </c>
      <c r="BQ60" s="322">
        <v>0</v>
      </c>
      <c r="BR60" s="321">
        <v>0</v>
      </c>
      <c r="BS60" s="322">
        <v>0</v>
      </c>
      <c r="BT60" s="321"/>
      <c r="BU60" s="322"/>
      <c r="BV60" s="264">
        <f t="shared" si="23"/>
        <v>0</v>
      </c>
      <c r="BW60" s="264">
        <f t="shared" si="24"/>
        <v>0</v>
      </c>
    </row>
    <row r="61" spans="1:75" s="62" customFormat="1" ht="21.95" customHeight="1" x14ac:dyDescent="0.25">
      <c r="A61" s="344" t="s">
        <v>3221</v>
      </c>
      <c r="B61" s="433" t="s">
        <v>3222</v>
      </c>
      <c r="C61" s="434">
        <v>1</v>
      </c>
      <c r="D61" s="435" t="s">
        <v>3223</v>
      </c>
      <c r="E61" s="345" t="s">
        <v>3224</v>
      </c>
      <c r="F61" s="436" t="s">
        <v>3166</v>
      </c>
      <c r="G61" s="436" t="s">
        <v>3167</v>
      </c>
      <c r="H61" s="437" t="s">
        <v>1485</v>
      </c>
      <c r="I61" s="303" t="s">
        <v>1485</v>
      </c>
      <c r="J61" s="273" t="s">
        <v>3168</v>
      </c>
      <c r="K61" s="274" t="s">
        <v>3169</v>
      </c>
      <c r="L61" s="321">
        <v>0</v>
      </c>
      <c r="M61" s="322">
        <v>0</v>
      </c>
      <c r="N61" s="321">
        <v>0</v>
      </c>
      <c r="O61" s="322">
        <v>0</v>
      </c>
      <c r="P61" s="321">
        <v>0</v>
      </c>
      <c r="Q61" s="322">
        <v>0</v>
      </c>
      <c r="R61" s="321"/>
      <c r="S61" s="322"/>
      <c r="T61" s="321"/>
      <c r="U61" s="322"/>
      <c r="V61" s="321">
        <v>0</v>
      </c>
      <c r="W61" s="322">
        <v>0</v>
      </c>
      <c r="X61" s="321">
        <v>0</v>
      </c>
      <c r="Y61" s="322">
        <v>0</v>
      </c>
      <c r="Z61" s="321">
        <v>0</v>
      </c>
      <c r="AA61" s="322">
        <v>0</v>
      </c>
      <c r="AB61" s="321">
        <v>0</v>
      </c>
      <c r="AC61" s="322">
        <v>0</v>
      </c>
      <c r="AD61" s="321">
        <v>0</v>
      </c>
      <c r="AE61" s="322">
        <v>0</v>
      </c>
      <c r="AF61" s="321"/>
      <c r="AG61" s="322"/>
      <c r="AH61" s="321"/>
      <c r="AI61" s="322"/>
      <c r="AJ61" s="321">
        <v>0</v>
      </c>
      <c r="AK61" s="322">
        <v>0</v>
      </c>
      <c r="AL61" s="321">
        <v>0</v>
      </c>
      <c r="AM61" s="322">
        <v>0</v>
      </c>
      <c r="AN61" s="321">
        <v>0</v>
      </c>
      <c r="AO61" s="322">
        <v>0</v>
      </c>
      <c r="AP61" s="321">
        <v>0</v>
      </c>
      <c r="AQ61" s="322">
        <v>0</v>
      </c>
      <c r="AR61" s="321">
        <v>0</v>
      </c>
      <c r="AS61" s="322">
        <v>0</v>
      </c>
      <c r="AT61" s="321"/>
      <c r="AU61" s="322"/>
      <c r="AV61" s="321"/>
      <c r="AW61" s="322"/>
      <c r="AX61" s="321">
        <v>0</v>
      </c>
      <c r="AY61" s="322">
        <v>0</v>
      </c>
      <c r="AZ61" s="321">
        <v>0</v>
      </c>
      <c r="BA61" s="322">
        <v>0</v>
      </c>
      <c r="BB61" s="321">
        <v>0</v>
      </c>
      <c r="BC61" s="322">
        <v>0</v>
      </c>
      <c r="BD61" s="321">
        <v>0</v>
      </c>
      <c r="BE61" s="322">
        <v>0</v>
      </c>
      <c r="BF61" s="321">
        <v>0</v>
      </c>
      <c r="BG61" s="322">
        <v>0</v>
      </c>
      <c r="BH61" s="321"/>
      <c r="BI61" s="322"/>
      <c r="BJ61" s="321"/>
      <c r="BK61" s="322"/>
      <c r="BL61" s="321">
        <v>0</v>
      </c>
      <c r="BM61" s="322">
        <v>0</v>
      </c>
      <c r="BN61" s="321">
        <v>0</v>
      </c>
      <c r="BO61" s="322">
        <v>0</v>
      </c>
      <c r="BP61" s="321">
        <v>0</v>
      </c>
      <c r="BQ61" s="322">
        <v>0</v>
      </c>
      <c r="BR61" s="321">
        <v>0</v>
      </c>
      <c r="BS61" s="322">
        <v>0</v>
      </c>
      <c r="BT61" s="321"/>
      <c r="BU61" s="322"/>
      <c r="BV61" s="264">
        <f>L61+N61+P61+R61+T61+V61+X61+Z61+AB61+AD61+AF61+AH61+AJ61+AL61+AN61+AP61+AR61+AT61+AV61+AX61+AZ61+BB61+BD61+BF61+BH61+BJ61+BL61+BN61+BP61+BR61+BT61</f>
        <v>0</v>
      </c>
      <c r="BW61" s="264">
        <f>M61+O61+Q61+S61+U61+W61+Y61+AA61+AC61+AE61+AG61+AI61+AK61+AM61+AO61+AQ61+AS61+AU61+AW61+AY61+BA61+BC61+BE61+BG61+BI61+BK61+BM61+BO61+BQ61+BS61+BU61</f>
        <v>0</v>
      </c>
    </row>
    <row r="62" spans="1:75" s="62" customFormat="1" ht="21.95" customHeight="1" x14ac:dyDescent="0.2">
      <c r="A62" s="304" t="s">
        <v>3221</v>
      </c>
      <c r="B62" s="305" t="s">
        <v>3222</v>
      </c>
      <c r="C62" s="272" t="s">
        <v>3170</v>
      </c>
      <c r="D62" s="306" t="s">
        <v>3223</v>
      </c>
      <c r="E62" s="307" t="s">
        <v>3224</v>
      </c>
      <c r="F62" s="308" t="s">
        <v>3166</v>
      </c>
      <c r="G62" s="308" t="s">
        <v>3167</v>
      </c>
      <c r="H62" s="309" t="s">
        <v>1485</v>
      </c>
      <c r="I62" s="310" t="s">
        <v>1485</v>
      </c>
      <c r="J62" s="273" t="s">
        <v>3168</v>
      </c>
      <c r="K62" s="273" t="s">
        <v>3171</v>
      </c>
      <c r="L62" s="319">
        <v>0</v>
      </c>
      <c r="M62" s="320">
        <v>0</v>
      </c>
      <c r="N62" s="319">
        <v>0</v>
      </c>
      <c r="O62" s="320">
        <v>0</v>
      </c>
      <c r="P62" s="319">
        <v>0</v>
      </c>
      <c r="Q62" s="320">
        <v>0</v>
      </c>
      <c r="R62" s="319"/>
      <c r="S62" s="320"/>
      <c r="T62" s="319"/>
      <c r="U62" s="320"/>
      <c r="V62" s="319">
        <v>0</v>
      </c>
      <c r="W62" s="320">
        <v>0</v>
      </c>
      <c r="X62" s="319">
        <v>0</v>
      </c>
      <c r="Y62" s="320">
        <v>0</v>
      </c>
      <c r="Z62" s="319">
        <v>0</v>
      </c>
      <c r="AA62" s="320">
        <v>0</v>
      </c>
      <c r="AB62" s="319">
        <v>0</v>
      </c>
      <c r="AC62" s="320">
        <v>0</v>
      </c>
      <c r="AD62" s="319">
        <v>0</v>
      </c>
      <c r="AE62" s="320">
        <v>0</v>
      </c>
      <c r="AF62" s="319"/>
      <c r="AG62" s="320"/>
      <c r="AH62" s="319"/>
      <c r="AI62" s="320"/>
      <c r="AJ62" s="319">
        <v>0</v>
      </c>
      <c r="AK62" s="320">
        <v>0</v>
      </c>
      <c r="AL62" s="319">
        <v>0</v>
      </c>
      <c r="AM62" s="320">
        <v>0</v>
      </c>
      <c r="AN62" s="319">
        <v>0</v>
      </c>
      <c r="AO62" s="320">
        <v>0</v>
      </c>
      <c r="AP62" s="319">
        <v>0</v>
      </c>
      <c r="AQ62" s="320">
        <v>0</v>
      </c>
      <c r="AR62" s="319">
        <v>0</v>
      </c>
      <c r="AS62" s="320">
        <v>0</v>
      </c>
      <c r="AT62" s="319"/>
      <c r="AU62" s="320"/>
      <c r="AV62" s="319"/>
      <c r="AW62" s="320"/>
      <c r="AX62" s="319">
        <v>0</v>
      </c>
      <c r="AY62" s="320">
        <v>0</v>
      </c>
      <c r="AZ62" s="319">
        <v>0</v>
      </c>
      <c r="BA62" s="320">
        <v>0</v>
      </c>
      <c r="BB62" s="319">
        <v>0</v>
      </c>
      <c r="BC62" s="320">
        <v>0</v>
      </c>
      <c r="BD62" s="319">
        <v>0</v>
      </c>
      <c r="BE62" s="320">
        <v>0</v>
      </c>
      <c r="BF62" s="319">
        <v>0</v>
      </c>
      <c r="BG62" s="320">
        <v>0</v>
      </c>
      <c r="BH62" s="319"/>
      <c r="BI62" s="320"/>
      <c r="BJ62" s="319"/>
      <c r="BK62" s="320"/>
      <c r="BL62" s="319">
        <v>0</v>
      </c>
      <c r="BM62" s="320">
        <v>0</v>
      </c>
      <c r="BN62" s="319">
        <v>0</v>
      </c>
      <c r="BO62" s="320">
        <v>0</v>
      </c>
      <c r="BP62" s="319">
        <v>0</v>
      </c>
      <c r="BQ62" s="320">
        <v>0</v>
      </c>
      <c r="BR62" s="319">
        <v>0</v>
      </c>
      <c r="BS62" s="320">
        <v>0</v>
      </c>
      <c r="BT62" s="319"/>
      <c r="BU62" s="320"/>
      <c r="BV62" s="264">
        <f t="shared" ref="BV62:BV65" si="25">L62+N62+P62+R62+T62+V62+X62+Z62+AB62+AD62+AF62+AH62+AJ62+AL62+AN62+AP62+AR62+AT62+AV62+AX62+AZ62+BB62+BD62+BF62+BH62+BJ62+BL62+BN62+BP62+BR62+BT62</f>
        <v>0</v>
      </c>
      <c r="BW62" s="264">
        <f t="shared" ref="BW62:BW65" si="26">M62+O62+Q62+S62+U62+W62+Y62+AA62+AC62+AE62+AG62+AI62+AK62+AM62+AO62+AQ62+AS62+AU62+AW62+AY62+BA62+BC62+BE62+BG62+BI62+BK62+BM62+BO62+BQ62+BS62+BU62</f>
        <v>0</v>
      </c>
    </row>
    <row r="63" spans="1:75" s="62" customFormat="1" ht="21.95" customHeight="1" x14ac:dyDescent="0.2">
      <c r="A63" s="304" t="s">
        <v>3221</v>
      </c>
      <c r="B63" s="305" t="s">
        <v>3222</v>
      </c>
      <c r="C63" s="311" t="s">
        <v>3170</v>
      </c>
      <c r="D63" s="306" t="s">
        <v>3223</v>
      </c>
      <c r="E63" s="307" t="s">
        <v>3224</v>
      </c>
      <c r="F63" s="308" t="s">
        <v>3166</v>
      </c>
      <c r="G63" s="308" t="s">
        <v>3167</v>
      </c>
      <c r="H63" s="309" t="s">
        <v>1485</v>
      </c>
      <c r="I63" s="310" t="s">
        <v>1485</v>
      </c>
      <c r="J63" s="273" t="s">
        <v>3168</v>
      </c>
      <c r="K63" s="275" t="s">
        <v>3172</v>
      </c>
      <c r="L63" s="319">
        <v>0</v>
      </c>
      <c r="M63" s="320">
        <v>0</v>
      </c>
      <c r="N63" s="319">
        <v>0</v>
      </c>
      <c r="O63" s="320">
        <v>0</v>
      </c>
      <c r="P63" s="319">
        <v>0</v>
      </c>
      <c r="Q63" s="320">
        <v>0</v>
      </c>
      <c r="R63" s="319"/>
      <c r="S63" s="320"/>
      <c r="T63" s="319"/>
      <c r="U63" s="320"/>
      <c r="V63" s="319">
        <v>0</v>
      </c>
      <c r="W63" s="320">
        <v>0</v>
      </c>
      <c r="X63" s="319">
        <v>0</v>
      </c>
      <c r="Y63" s="320">
        <v>0</v>
      </c>
      <c r="Z63" s="319">
        <v>0</v>
      </c>
      <c r="AA63" s="320">
        <v>0</v>
      </c>
      <c r="AB63" s="319">
        <v>0</v>
      </c>
      <c r="AC63" s="320">
        <v>0</v>
      </c>
      <c r="AD63" s="319">
        <v>0</v>
      </c>
      <c r="AE63" s="320">
        <v>0</v>
      </c>
      <c r="AF63" s="319"/>
      <c r="AG63" s="320"/>
      <c r="AH63" s="319"/>
      <c r="AI63" s="320"/>
      <c r="AJ63" s="319">
        <v>0</v>
      </c>
      <c r="AK63" s="320">
        <v>0</v>
      </c>
      <c r="AL63" s="319">
        <v>0</v>
      </c>
      <c r="AM63" s="320">
        <v>0</v>
      </c>
      <c r="AN63" s="319">
        <v>0</v>
      </c>
      <c r="AO63" s="320">
        <v>0</v>
      </c>
      <c r="AP63" s="319">
        <v>0</v>
      </c>
      <c r="AQ63" s="320">
        <v>0</v>
      </c>
      <c r="AR63" s="319">
        <v>0</v>
      </c>
      <c r="AS63" s="320">
        <v>0</v>
      </c>
      <c r="AT63" s="319"/>
      <c r="AU63" s="320"/>
      <c r="AV63" s="319"/>
      <c r="AW63" s="320"/>
      <c r="AX63" s="319">
        <v>0</v>
      </c>
      <c r="AY63" s="320">
        <v>0</v>
      </c>
      <c r="AZ63" s="319">
        <v>0</v>
      </c>
      <c r="BA63" s="320">
        <v>0</v>
      </c>
      <c r="BB63" s="319">
        <v>0</v>
      </c>
      <c r="BC63" s="320">
        <v>0</v>
      </c>
      <c r="BD63" s="319">
        <v>0</v>
      </c>
      <c r="BE63" s="320">
        <v>0</v>
      </c>
      <c r="BF63" s="319">
        <v>0</v>
      </c>
      <c r="BG63" s="320">
        <v>0</v>
      </c>
      <c r="BH63" s="319"/>
      <c r="BI63" s="320"/>
      <c r="BJ63" s="319"/>
      <c r="BK63" s="320"/>
      <c r="BL63" s="319">
        <v>0</v>
      </c>
      <c r="BM63" s="320">
        <v>0</v>
      </c>
      <c r="BN63" s="319">
        <v>0</v>
      </c>
      <c r="BO63" s="320">
        <v>0</v>
      </c>
      <c r="BP63" s="319">
        <v>0</v>
      </c>
      <c r="BQ63" s="320">
        <v>0</v>
      </c>
      <c r="BR63" s="319">
        <v>0</v>
      </c>
      <c r="BS63" s="320">
        <v>0</v>
      </c>
      <c r="BT63" s="319"/>
      <c r="BU63" s="320"/>
      <c r="BV63" s="264">
        <f t="shared" si="25"/>
        <v>0</v>
      </c>
      <c r="BW63" s="264">
        <f t="shared" si="26"/>
        <v>0</v>
      </c>
    </row>
    <row r="64" spans="1:75" s="62" customFormat="1" ht="21.95" customHeight="1" x14ac:dyDescent="0.2">
      <c r="A64" s="304" t="s">
        <v>3221</v>
      </c>
      <c r="B64" s="305" t="s">
        <v>3222</v>
      </c>
      <c r="C64" s="311" t="s">
        <v>3170</v>
      </c>
      <c r="D64" s="306" t="s">
        <v>3223</v>
      </c>
      <c r="E64" s="307" t="s">
        <v>3224</v>
      </c>
      <c r="F64" s="308" t="s">
        <v>3166</v>
      </c>
      <c r="G64" s="308" t="s">
        <v>3167</v>
      </c>
      <c r="H64" s="309" t="s">
        <v>1485</v>
      </c>
      <c r="I64" s="310" t="s">
        <v>1485</v>
      </c>
      <c r="J64" s="273" t="s">
        <v>3168</v>
      </c>
      <c r="K64" s="276" t="s">
        <v>3173</v>
      </c>
      <c r="L64" s="319">
        <v>0</v>
      </c>
      <c r="M64" s="320">
        <v>0</v>
      </c>
      <c r="N64" s="319">
        <v>0</v>
      </c>
      <c r="O64" s="320">
        <v>0</v>
      </c>
      <c r="P64" s="319">
        <v>0</v>
      </c>
      <c r="Q64" s="320">
        <v>0</v>
      </c>
      <c r="R64" s="319"/>
      <c r="S64" s="320"/>
      <c r="T64" s="319"/>
      <c r="U64" s="320"/>
      <c r="V64" s="319">
        <v>0</v>
      </c>
      <c r="W64" s="320">
        <v>0</v>
      </c>
      <c r="X64" s="319">
        <v>0</v>
      </c>
      <c r="Y64" s="320">
        <v>0</v>
      </c>
      <c r="Z64" s="319">
        <v>0</v>
      </c>
      <c r="AA64" s="320">
        <v>0</v>
      </c>
      <c r="AB64" s="319">
        <v>0</v>
      </c>
      <c r="AC64" s="320">
        <v>0</v>
      </c>
      <c r="AD64" s="319">
        <v>0</v>
      </c>
      <c r="AE64" s="320">
        <v>0</v>
      </c>
      <c r="AF64" s="319"/>
      <c r="AG64" s="320"/>
      <c r="AH64" s="319"/>
      <c r="AI64" s="320"/>
      <c r="AJ64" s="319">
        <v>0</v>
      </c>
      <c r="AK64" s="320">
        <v>0</v>
      </c>
      <c r="AL64" s="319">
        <v>0</v>
      </c>
      <c r="AM64" s="320">
        <v>0</v>
      </c>
      <c r="AN64" s="319">
        <v>0</v>
      </c>
      <c r="AO64" s="320">
        <v>0</v>
      </c>
      <c r="AP64" s="319">
        <v>0</v>
      </c>
      <c r="AQ64" s="320">
        <v>0</v>
      </c>
      <c r="AR64" s="319">
        <v>0</v>
      </c>
      <c r="AS64" s="320">
        <v>0</v>
      </c>
      <c r="AT64" s="319"/>
      <c r="AU64" s="320"/>
      <c r="AV64" s="319"/>
      <c r="AW64" s="320"/>
      <c r="AX64" s="319">
        <v>0</v>
      </c>
      <c r="AY64" s="320">
        <v>0</v>
      </c>
      <c r="AZ64" s="319">
        <v>0</v>
      </c>
      <c r="BA64" s="320">
        <v>0</v>
      </c>
      <c r="BB64" s="319">
        <v>0</v>
      </c>
      <c r="BC64" s="320">
        <v>0</v>
      </c>
      <c r="BD64" s="319">
        <v>0</v>
      </c>
      <c r="BE64" s="320">
        <v>0</v>
      </c>
      <c r="BF64" s="319">
        <v>0</v>
      </c>
      <c r="BG64" s="320">
        <v>0</v>
      </c>
      <c r="BH64" s="319"/>
      <c r="BI64" s="320"/>
      <c r="BJ64" s="319"/>
      <c r="BK64" s="320"/>
      <c r="BL64" s="319">
        <v>0</v>
      </c>
      <c r="BM64" s="320">
        <v>0</v>
      </c>
      <c r="BN64" s="319">
        <v>0</v>
      </c>
      <c r="BO64" s="320">
        <v>0</v>
      </c>
      <c r="BP64" s="319">
        <v>0</v>
      </c>
      <c r="BQ64" s="320">
        <v>0</v>
      </c>
      <c r="BR64" s="319">
        <v>0</v>
      </c>
      <c r="BS64" s="320">
        <v>0</v>
      </c>
      <c r="BT64" s="319"/>
      <c r="BU64" s="320"/>
      <c r="BV64" s="264">
        <f t="shared" si="25"/>
        <v>0</v>
      </c>
      <c r="BW64" s="264">
        <f t="shared" si="26"/>
        <v>0</v>
      </c>
    </row>
    <row r="65" spans="1:75" s="62" customFormat="1" ht="21.95" customHeight="1" thickBot="1" x14ac:dyDescent="0.25">
      <c r="A65" s="567" t="s">
        <v>3221</v>
      </c>
      <c r="B65" s="312" t="s">
        <v>3222</v>
      </c>
      <c r="C65" s="313" t="s">
        <v>3170</v>
      </c>
      <c r="D65" s="314" t="s">
        <v>3223</v>
      </c>
      <c r="E65" s="330" t="s">
        <v>3224</v>
      </c>
      <c r="F65" s="315" t="s">
        <v>3166</v>
      </c>
      <c r="G65" s="315" t="s">
        <v>3167</v>
      </c>
      <c r="H65" s="316" t="s">
        <v>1485</v>
      </c>
      <c r="I65" s="568" t="s">
        <v>1485</v>
      </c>
      <c r="J65" s="273" t="s">
        <v>3168</v>
      </c>
      <c r="K65" s="277" t="s">
        <v>53</v>
      </c>
      <c r="L65" s="321">
        <v>0</v>
      </c>
      <c r="M65" s="322">
        <v>0</v>
      </c>
      <c r="N65" s="321">
        <v>0</v>
      </c>
      <c r="O65" s="322">
        <v>0</v>
      </c>
      <c r="P65" s="321">
        <v>0</v>
      </c>
      <c r="Q65" s="322">
        <v>0</v>
      </c>
      <c r="R65" s="321"/>
      <c r="S65" s="322"/>
      <c r="T65" s="321"/>
      <c r="U65" s="322"/>
      <c r="V65" s="321">
        <v>0</v>
      </c>
      <c r="W65" s="322">
        <v>0</v>
      </c>
      <c r="X65" s="321">
        <v>0</v>
      </c>
      <c r="Y65" s="322">
        <v>0</v>
      </c>
      <c r="Z65" s="321">
        <v>0</v>
      </c>
      <c r="AA65" s="322">
        <v>0</v>
      </c>
      <c r="AB65" s="321">
        <v>0</v>
      </c>
      <c r="AC65" s="322">
        <v>0</v>
      </c>
      <c r="AD65" s="321">
        <v>0</v>
      </c>
      <c r="AE65" s="322">
        <v>0</v>
      </c>
      <c r="AF65" s="321"/>
      <c r="AG65" s="322"/>
      <c r="AH65" s="321"/>
      <c r="AI65" s="322"/>
      <c r="AJ65" s="321">
        <v>0</v>
      </c>
      <c r="AK65" s="322">
        <v>0</v>
      </c>
      <c r="AL65" s="321">
        <v>0</v>
      </c>
      <c r="AM65" s="322">
        <v>0</v>
      </c>
      <c r="AN65" s="321">
        <v>0</v>
      </c>
      <c r="AO65" s="322">
        <v>0</v>
      </c>
      <c r="AP65" s="321">
        <v>0</v>
      </c>
      <c r="AQ65" s="322">
        <v>0</v>
      </c>
      <c r="AR65" s="321">
        <v>0</v>
      </c>
      <c r="AS65" s="322">
        <v>0</v>
      </c>
      <c r="AT65" s="321"/>
      <c r="AU65" s="322"/>
      <c r="AV65" s="321"/>
      <c r="AW65" s="322"/>
      <c r="AX65" s="321">
        <v>0</v>
      </c>
      <c r="AY65" s="322">
        <v>0</v>
      </c>
      <c r="AZ65" s="321">
        <v>0</v>
      </c>
      <c r="BA65" s="322">
        <v>0</v>
      </c>
      <c r="BB65" s="321">
        <v>0</v>
      </c>
      <c r="BC65" s="322">
        <v>0</v>
      </c>
      <c r="BD65" s="321">
        <v>0</v>
      </c>
      <c r="BE65" s="322">
        <v>0</v>
      </c>
      <c r="BF65" s="321">
        <v>0</v>
      </c>
      <c r="BG65" s="322">
        <v>0</v>
      </c>
      <c r="BH65" s="321"/>
      <c r="BI65" s="322"/>
      <c r="BJ65" s="321"/>
      <c r="BK65" s="322"/>
      <c r="BL65" s="321">
        <v>0</v>
      </c>
      <c r="BM65" s="322">
        <v>0</v>
      </c>
      <c r="BN65" s="321">
        <v>0</v>
      </c>
      <c r="BO65" s="322">
        <v>0</v>
      </c>
      <c r="BP65" s="321">
        <v>0</v>
      </c>
      <c r="BQ65" s="322">
        <v>0</v>
      </c>
      <c r="BR65" s="321">
        <v>0</v>
      </c>
      <c r="BS65" s="322">
        <v>0</v>
      </c>
      <c r="BT65" s="321"/>
      <c r="BU65" s="322"/>
      <c r="BV65" s="264">
        <f t="shared" si="25"/>
        <v>0</v>
      </c>
      <c r="BW65" s="264">
        <f t="shared" si="26"/>
        <v>0</v>
      </c>
    </row>
    <row r="66" spans="1:75" s="62" customFormat="1" ht="21.95" customHeight="1" x14ac:dyDescent="0.25">
      <c r="A66" s="344" t="s">
        <v>3225</v>
      </c>
      <c r="B66" s="433" t="s">
        <v>3226</v>
      </c>
      <c r="C66" s="434">
        <v>1</v>
      </c>
      <c r="D66" s="435" t="s">
        <v>3227</v>
      </c>
      <c r="E66" s="345" t="s">
        <v>3228</v>
      </c>
      <c r="F66" s="436" t="s">
        <v>3166</v>
      </c>
      <c r="G66" s="436" t="s">
        <v>3167</v>
      </c>
      <c r="H66" s="437" t="s">
        <v>1486</v>
      </c>
      <c r="I66" s="303" t="s">
        <v>1486</v>
      </c>
      <c r="J66" s="273" t="s">
        <v>3168</v>
      </c>
      <c r="K66" s="274" t="s">
        <v>3169</v>
      </c>
      <c r="L66" s="321">
        <v>0</v>
      </c>
      <c r="M66" s="322">
        <v>0</v>
      </c>
      <c r="N66" s="321">
        <v>0</v>
      </c>
      <c r="O66" s="322">
        <v>0</v>
      </c>
      <c r="P66" s="321">
        <v>0</v>
      </c>
      <c r="Q66" s="322">
        <v>0</v>
      </c>
      <c r="R66" s="321"/>
      <c r="S66" s="322"/>
      <c r="T66" s="321"/>
      <c r="U66" s="322"/>
      <c r="V66" s="321">
        <v>0</v>
      </c>
      <c r="W66" s="322">
        <v>0</v>
      </c>
      <c r="X66" s="321">
        <v>0</v>
      </c>
      <c r="Y66" s="322">
        <v>0</v>
      </c>
      <c r="Z66" s="321">
        <v>0</v>
      </c>
      <c r="AA66" s="322">
        <v>0</v>
      </c>
      <c r="AB66" s="321">
        <v>0</v>
      </c>
      <c r="AC66" s="322">
        <v>0</v>
      </c>
      <c r="AD66" s="321">
        <v>0</v>
      </c>
      <c r="AE66" s="322">
        <v>0</v>
      </c>
      <c r="AF66" s="321"/>
      <c r="AG66" s="322"/>
      <c r="AH66" s="321"/>
      <c r="AI66" s="322"/>
      <c r="AJ66" s="321">
        <v>0</v>
      </c>
      <c r="AK66" s="322">
        <v>0</v>
      </c>
      <c r="AL66" s="321">
        <v>0</v>
      </c>
      <c r="AM66" s="322">
        <v>0</v>
      </c>
      <c r="AN66" s="321">
        <v>0</v>
      </c>
      <c r="AO66" s="322">
        <v>0</v>
      </c>
      <c r="AP66" s="321">
        <v>0</v>
      </c>
      <c r="AQ66" s="322">
        <v>0</v>
      </c>
      <c r="AR66" s="321">
        <v>0</v>
      </c>
      <c r="AS66" s="322">
        <v>0</v>
      </c>
      <c r="AT66" s="321"/>
      <c r="AU66" s="322"/>
      <c r="AV66" s="321"/>
      <c r="AW66" s="322"/>
      <c r="AX66" s="321">
        <v>0</v>
      </c>
      <c r="AY66" s="322">
        <v>0</v>
      </c>
      <c r="AZ66" s="321">
        <v>0</v>
      </c>
      <c r="BA66" s="322">
        <v>0</v>
      </c>
      <c r="BB66" s="321">
        <v>0</v>
      </c>
      <c r="BC66" s="322">
        <v>0</v>
      </c>
      <c r="BD66" s="321">
        <v>0</v>
      </c>
      <c r="BE66" s="322">
        <v>0</v>
      </c>
      <c r="BF66" s="321">
        <v>0</v>
      </c>
      <c r="BG66" s="322">
        <v>0</v>
      </c>
      <c r="BH66" s="321"/>
      <c r="BI66" s="322"/>
      <c r="BJ66" s="321"/>
      <c r="BK66" s="322"/>
      <c r="BL66" s="321">
        <v>0</v>
      </c>
      <c r="BM66" s="322">
        <v>0</v>
      </c>
      <c r="BN66" s="321">
        <v>0</v>
      </c>
      <c r="BO66" s="322">
        <v>0</v>
      </c>
      <c r="BP66" s="321">
        <v>0</v>
      </c>
      <c r="BQ66" s="322">
        <v>0</v>
      </c>
      <c r="BR66" s="321">
        <v>0</v>
      </c>
      <c r="BS66" s="322">
        <v>0</v>
      </c>
      <c r="BT66" s="321"/>
      <c r="BU66" s="322"/>
      <c r="BV66" s="264">
        <f>L66+N66+P66+R66+T66+V66+X66+Z66+AB66+AD66+AF66+AH66+AJ66+AL66+AN66+AP66+AR66+AT66+AV66+AX66+AZ66+BB66+BD66+BF66+BH66+BJ66+BL66+BN66+BP66+BR66+BT66</f>
        <v>0</v>
      </c>
      <c r="BW66" s="264">
        <f>M66+O66+Q66+S66+U66+W66+Y66+AA66+AC66+AE66+AG66+AI66+AK66+AM66+AO66+AQ66+AS66+AU66+AW66+AY66+BA66+BC66+BE66+BG66+BI66+BK66+BM66+BO66+BQ66+BS66+BU66</f>
        <v>0</v>
      </c>
    </row>
    <row r="67" spans="1:75" s="62" customFormat="1" ht="21.95" customHeight="1" x14ac:dyDescent="0.2">
      <c r="A67" s="304" t="s">
        <v>3225</v>
      </c>
      <c r="B67" s="305" t="s">
        <v>3226</v>
      </c>
      <c r="C67" s="272" t="s">
        <v>3170</v>
      </c>
      <c r="D67" s="306" t="s">
        <v>3227</v>
      </c>
      <c r="E67" s="307" t="s">
        <v>3228</v>
      </c>
      <c r="F67" s="308" t="s">
        <v>3166</v>
      </c>
      <c r="G67" s="308" t="s">
        <v>3167</v>
      </c>
      <c r="H67" s="309" t="s">
        <v>1486</v>
      </c>
      <c r="I67" s="310" t="s">
        <v>1486</v>
      </c>
      <c r="J67" s="273" t="s">
        <v>3168</v>
      </c>
      <c r="K67" s="273" t="s">
        <v>3171</v>
      </c>
      <c r="L67" s="319">
        <v>0</v>
      </c>
      <c r="M67" s="320">
        <v>0</v>
      </c>
      <c r="N67" s="319">
        <v>0</v>
      </c>
      <c r="O67" s="320">
        <v>0</v>
      </c>
      <c r="P67" s="319">
        <v>0</v>
      </c>
      <c r="Q67" s="320">
        <v>0</v>
      </c>
      <c r="R67" s="319"/>
      <c r="S67" s="320"/>
      <c r="T67" s="319"/>
      <c r="U67" s="320"/>
      <c r="V67" s="319">
        <v>0</v>
      </c>
      <c r="W67" s="320">
        <v>0</v>
      </c>
      <c r="X67" s="319">
        <v>0</v>
      </c>
      <c r="Y67" s="320">
        <v>0</v>
      </c>
      <c r="Z67" s="319">
        <v>0</v>
      </c>
      <c r="AA67" s="320">
        <v>0</v>
      </c>
      <c r="AB67" s="319">
        <v>0</v>
      </c>
      <c r="AC67" s="320">
        <v>0</v>
      </c>
      <c r="AD67" s="319">
        <v>0</v>
      </c>
      <c r="AE67" s="320">
        <v>0</v>
      </c>
      <c r="AF67" s="319"/>
      <c r="AG67" s="320"/>
      <c r="AH67" s="319"/>
      <c r="AI67" s="320"/>
      <c r="AJ67" s="319">
        <v>0</v>
      </c>
      <c r="AK67" s="320">
        <v>0</v>
      </c>
      <c r="AL67" s="319">
        <v>0</v>
      </c>
      <c r="AM67" s="320">
        <v>0</v>
      </c>
      <c r="AN67" s="319">
        <v>0</v>
      </c>
      <c r="AO67" s="320">
        <v>0</v>
      </c>
      <c r="AP67" s="319">
        <v>0</v>
      </c>
      <c r="AQ67" s="320">
        <v>0</v>
      </c>
      <c r="AR67" s="319">
        <v>0</v>
      </c>
      <c r="AS67" s="320">
        <v>0</v>
      </c>
      <c r="AT67" s="319"/>
      <c r="AU67" s="320"/>
      <c r="AV67" s="319"/>
      <c r="AW67" s="320"/>
      <c r="AX67" s="319">
        <v>0</v>
      </c>
      <c r="AY67" s="320">
        <v>0</v>
      </c>
      <c r="AZ67" s="319">
        <v>0</v>
      </c>
      <c r="BA67" s="320">
        <v>0</v>
      </c>
      <c r="BB67" s="319">
        <v>0</v>
      </c>
      <c r="BC67" s="320">
        <v>0</v>
      </c>
      <c r="BD67" s="319">
        <v>0</v>
      </c>
      <c r="BE67" s="320">
        <v>0</v>
      </c>
      <c r="BF67" s="319">
        <v>0</v>
      </c>
      <c r="BG67" s="320">
        <v>0</v>
      </c>
      <c r="BH67" s="319"/>
      <c r="BI67" s="320"/>
      <c r="BJ67" s="319"/>
      <c r="BK67" s="320"/>
      <c r="BL67" s="319">
        <v>0</v>
      </c>
      <c r="BM67" s="320">
        <v>0</v>
      </c>
      <c r="BN67" s="319">
        <v>0</v>
      </c>
      <c r="BO67" s="320">
        <v>0</v>
      </c>
      <c r="BP67" s="319">
        <v>0</v>
      </c>
      <c r="BQ67" s="320">
        <v>0</v>
      </c>
      <c r="BR67" s="319">
        <v>0</v>
      </c>
      <c r="BS67" s="320">
        <v>0</v>
      </c>
      <c r="BT67" s="319"/>
      <c r="BU67" s="320"/>
      <c r="BV67" s="264">
        <f t="shared" ref="BV67:BV70" si="27">L67+N67+P67+R67+T67+V67+X67+Z67+AB67+AD67+AF67+AH67+AJ67+AL67+AN67+AP67+AR67+AT67+AV67+AX67+AZ67+BB67+BD67+BF67+BH67+BJ67+BL67+BN67+BP67+BR67+BT67</f>
        <v>0</v>
      </c>
      <c r="BW67" s="264">
        <f t="shared" ref="BW67:BW70" si="28">M67+O67+Q67+S67+U67+W67+Y67+AA67+AC67+AE67+AG67+AI67+AK67+AM67+AO67+AQ67+AS67+AU67+AW67+AY67+BA67+BC67+BE67+BG67+BI67+BK67+BM67+BO67+BQ67+BS67+BU67</f>
        <v>0</v>
      </c>
    </row>
    <row r="68" spans="1:75" s="62" customFormat="1" ht="21.95" customHeight="1" x14ac:dyDescent="0.2">
      <c r="A68" s="304" t="s">
        <v>3225</v>
      </c>
      <c r="B68" s="305" t="s">
        <v>3226</v>
      </c>
      <c r="C68" s="311" t="s">
        <v>3170</v>
      </c>
      <c r="D68" s="306" t="s">
        <v>3227</v>
      </c>
      <c r="E68" s="307" t="s">
        <v>3228</v>
      </c>
      <c r="F68" s="308" t="s">
        <v>3166</v>
      </c>
      <c r="G68" s="308" t="s">
        <v>3167</v>
      </c>
      <c r="H68" s="309" t="s">
        <v>1486</v>
      </c>
      <c r="I68" s="310" t="s">
        <v>1486</v>
      </c>
      <c r="J68" s="273" t="s">
        <v>3168</v>
      </c>
      <c r="K68" s="275" t="s">
        <v>3172</v>
      </c>
      <c r="L68" s="319">
        <v>0</v>
      </c>
      <c r="M68" s="320">
        <v>0</v>
      </c>
      <c r="N68" s="319">
        <v>0</v>
      </c>
      <c r="O68" s="320">
        <v>0</v>
      </c>
      <c r="P68" s="319">
        <v>0</v>
      </c>
      <c r="Q68" s="320">
        <v>0</v>
      </c>
      <c r="R68" s="319"/>
      <c r="S68" s="320"/>
      <c r="T68" s="319"/>
      <c r="U68" s="320"/>
      <c r="V68" s="319">
        <v>0</v>
      </c>
      <c r="W68" s="320">
        <v>0</v>
      </c>
      <c r="X68" s="319">
        <v>0</v>
      </c>
      <c r="Y68" s="320">
        <v>0</v>
      </c>
      <c r="Z68" s="319">
        <v>0</v>
      </c>
      <c r="AA68" s="320">
        <v>0</v>
      </c>
      <c r="AB68" s="319">
        <v>0</v>
      </c>
      <c r="AC68" s="320">
        <v>0</v>
      </c>
      <c r="AD68" s="319">
        <v>0</v>
      </c>
      <c r="AE68" s="320">
        <v>0</v>
      </c>
      <c r="AF68" s="319"/>
      <c r="AG68" s="320"/>
      <c r="AH68" s="319"/>
      <c r="AI68" s="320"/>
      <c r="AJ68" s="319">
        <v>0</v>
      </c>
      <c r="AK68" s="320">
        <v>0</v>
      </c>
      <c r="AL68" s="319">
        <v>0</v>
      </c>
      <c r="AM68" s="320">
        <v>0</v>
      </c>
      <c r="AN68" s="319">
        <v>0</v>
      </c>
      <c r="AO68" s="320">
        <v>0</v>
      </c>
      <c r="AP68" s="319">
        <v>0</v>
      </c>
      <c r="AQ68" s="320">
        <v>0</v>
      </c>
      <c r="AR68" s="319">
        <v>0</v>
      </c>
      <c r="AS68" s="320">
        <v>0</v>
      </c>
      <c r="AT68" s="319"/>
      <c r="AU68" s="320"/>
      <c r="AV68" s="319"/>
      <c r="AW68" s="320"/>
      <c r="AX68" s="319">
        <v>0</v>
      </c>
      <c r="AY68" s="320">
        <v>0</v>
      </c>
      <c r="AZ68" s="319">
        <v>0</v>
      </c>
      <c r="BA68" s="320">
        <v>0</v>
      </c>
      <c r="BB68" s="319">
        <v>0</v>
      </c>
      <c r="BC68" s="320">
        <v>0</v>
      </c>
      <c r="BD68" s="319">
        <v>0</v>
      </c>
      <c r="BE68" s="320">
        <v>0</v>
      </c>
      <c r="BF68" s="319">
        <v>0</v>
      </c>
      <c r="BG68" s="320">
        <v>0</v>
      </c>
      <c r="BH68" s="319"/>
      <c r="BI68" s="320"/>
      <c r="BJ68" s="319"/>
      <c r="BK68" s="320"/>
      <c r="BL68" s="319">
        <v>0</v>
      </c>
      <c r="BM68" s="320">
        <v>0</v>
      </c>
      <c r="BN68" s="319">
        <v>0</v>
      </c>
      <c r="BO68" s="320">
        <v>0</v>
      </c>
      <c r="BP68" s="319">
        <v>0</v>
      </c>
      <c r="BQ68" s="320">
        <v>0</v>
      </c>
      <c r="BR68" s="319">
        <v>0</v>
      </c>
      <c r="BS68" s="320">
        <v>0</v>
      </c>
      <c r="BT68" s="319"/>
      <c r="BU68" s="320"/>
      <c r="BV68" s="264">
        <f t="shared" si="27"/>
        <v>0</v>
      </c>
      <c r="BW68" s="264">
        <f t="shared" si="28"/>
        <v>0</v>
      </c>
    </row>
    <row r="69" spans="1:75" s="62" customFormat="1" ht="21.95" customHeight="1" x14ac:dyDescent="0.2">
      <c r="A69" s="304" t="s">
        <v>3225</v>
      </c>
      <c r="B69" s="305" t="s">
        <v>3226</v>
      </c>
      <c r="C69" s="311" t="s">
        <v>3170</v>
      </c>
      <c r="D69" s="306" t="s">
        <v>3227</v>
      </c>
      <c r="E69" s="307" t="s">
        <v>3228</v>
      </c>
      <c r="F69" s="308" t="s">
        <v>3166</v>
      </c>
      <c r="G69" s="308" t="s">
        <v>3167</v>
      </c>
      <c r="H69" s="309" t="s">
        <v>1486</v>
      </c>
      <c r="I69" s="310" t="s">
        <v>1486</v>
      </c>
      <c r="J69" s="273" t="s">
        <v>3168</v>
      </c>
      <c r="K69" s="276" t="s">
        <v>3173</v>
      </c>
      <c r="L69" s="319">
        <v>0</v>
      </c>
      <c r="M69" s="320">
        <v>0</v>
      </c>
      <c r="N69" s="319">
        <v>0</v>
      </c>
      <c r="O69" s="320">
        <v>0</v>
      </c>
      <c r="P69" s="319">
        <v>0</v>
      </c>
      <c r="Q69" s="320">
        <v>0</v>
      </c>
      <c r="R69" s="319"/>
      <c r="S69" s="320"/>
      <c r="T69" s="319"/>
      <c r="U69" s="320"/>
      <c r="V69" s="319">
        <v>0</v>
      </c>
      <c r="W69" s="320">
        <v>0</v>
      </c>
      <c r="X69" s="319">
        <v>0</v>
      </c>
      <c r="Y69" s="320">
        <v>0</v>
      </c>
      <c r="Z69" s="319">
        <v>0</v>
      </c>
      <c r="AA69" s="320">
        <v>0</v>
      </c>
      <c r="AB69" s="319">
        <v>0</v>
      </c>
      <c r="AC69" s="320">
        <v>0</v>
      </c>
      <c r="AD69" s="319">
        <v>0</v>
      </c>
      <c r="AE69" s="320">
        <v>0</v>
      </c>
      <c r="AF69" s="319"/>
      <c r="AG69" s="320"/>
      <c r="AH69" s="319"/>
      <c r="AI69" s="320"/>
      <c r="AJ69" s="319">
        <v>0</v>
      </c>
      <c r="AK69" s="320">
        <v>0</v>
      </c>
      <c r="AL69" s="319">
        <v>0</v>
      </c>
      <c r="AM69" s="320">
        <v>0</v>
      </c>
      <c r="AN69" s="319">
        <v>0</v>
      </c>
      <c r="AO69" s="320">
        <v>0</v>
      </c>
      <c r="AP69" s="319">
        <v>0</v>
      </c>
      <c r="AQ69" s="320">
        <v>0</v>
      </c>
      <c r="AR69" s="319">
        <v>0</v>
      </c>
      <c r="AS69" s="320">
        <v>0</v>
      </c>
      <c r="AT69" s="319"/>
      <c r="AU69" s="320"/>
      <c r="AV69" s="319"/>
      <c r="AW69" s="320"/>
      <c r="AX69" s="319">
        <v>0</v>
      </c>
      <c r="AY69" s="320">
        <v>0</v>
      </c>
      <c r="AZ69" s="319">
        <v>0</v>
      </c>
      <c r="BA69" s="320">
        <v>0</v>
      </c>
      <c r="BB69" s="319">
        <v>0</v>
      </c>
      <c r="BC69" s="320">
        <v>0</v>
      </c>
      <c r="BD69" s="319">
        <v>0</v>
      </c>
      <c r="BE69" s="320">
        <v>0</v>
      </c>
      <c r="BF69" s="319">
        <v>0</v>
      </c>
      <c r="BG69" s="320">
        <v>0</v>
      </c>
      <c r="BH69" s="319"/>
      <c r="BI69" s="320"/>
      <c r="BJ69" s="319"/>
      <c r="BK69" s="320"/>
      <c r="BL69" s="319">
        <v>0</v>
      </c>
      <c r="BM69" s="320">
        <v>0</v>
      </c>
      <c r="BN69" s="319">
        <v>0</v>
      </c>
      <c r="BO69" s="320">
        <v>0</v>
      </c>
      <c r="BP69" s="319">
        <v>0</v>
      </c>
      <c r="BQ69" s="320">
        <v>0</v>
      </c>
      <c r="BR69" s="319">
        <v>0</v>
      </c>
      <c r="BS69" s="320">
        <v>0</v>
      </c>
      <c r="BT69" s="319"/>
      <c r="BU69" s="320"/>
      <c r="BV69" s="264">
        <f t="shared" si="27"/>
        <v>0</v>
      </c>
      <c r="BW69" s="264">
        <f t="shared" si="28"/>
        <v>0</v>
      </c>
    </row>
    <row r="70" spans="1:75" s="62" customFormat="1" ht="21.95" customHeight="1" thickBot="1" x14ac:dyDescent="0.25">
      <c r="A70" s="567" t="s">
        <v>3225</v>
      </c>
      <c r="B70" s="312" t="s">
        <v>3226</v>
      </c>
      <c r="C70" s="313" t="s">
        <v>3170</v>
      </c>
      <c r="D70" s="314" t="s">
        <v>3227</v>
      </c>
      <c r="E70" s="330" t="s">
        <v>3228</v>
      </c>
      <c r="F70" s="315" t="s">
        <v>3166</v>
      </c>
      <c r="G70" s="315" t="s">
        <v>3167</v>
      </c>
      <c r="H70" s="316" t="s">
        <v>1486</v>
      </c>
      <c r="I70" s="568" t="s">
        <v>1486</v>
      </c>
      <c r="J70" s="273" t="s">
        <v>3168</v>
      </c>
      <c r="K70" s="277" t="s">
        <v>53</v>
      </c>
      <c r="L70" s="321">
        <v>0</v>
      </c>
      <c r="M70" s="322">
        <v>0</v>
      </c>
      <c r="N70" s="321">
        <v>0</v>
      </c>
      <c r="O70" s="322">
        <v>0</v>
      </c>
      <c r="P70" s="321">
        <v>0</v>
      </c>
      <c r="Q70" s="322">
        <v>0</v>
      </c>
      <c r="R70" s="321"/>
      <c r="S70" s="322"/>
      <c r="T70" s="321"/>
      <c r="U70" s="322"/>
      <c r="V70" s="321">
        <v>0</v>
      </c>
      <c r="W70" s="322">
        <v>0</v>
      </c>
      <c r="X70" s="321">
        <v>0</v>
      </c>
      <c r="Y70" s="322">
        <v>0</v>
      </c>
      <c r="Z70" s="321">
        <v>0</v>
      </c>
      <c r="AA70" s="322">
        <v>0</v>
      </c>
      <c r="AB70" s="321">
        <v>0</v>
      </c>
      <c r="AC70" s="322">
        <v>0</v>
      </c>
      <c r="AD70" s="321">
        <v>0</v>
      </c>
      <c r="AE70" s="322">
        <v>0</v>
      </c>
      <c r="AF70" s="321"/>
      <c r="AG70" s="322"/>
      <c r="AH70" s="321"/>
      <c r="AI70" s="322"/>
      <c r="AJ70" s="321">
        <v>0</v>
      </c>
      <c r="AK70" s="322">
        <v>0</v>
      </c>
      <c r="AL70" s="321">
        <v>0</v>
      </c>
      <c r="AM70" s="322">
        <v>0</v>
      </c>
      <c r="AN70" s="321">
        <v>0</v>
      </c>
      <c r="AO70" s="322">
        <v>0</v>
      </c>
      <c r="AP70" s="321">
        <v>0</v>
      </c>
      <c r="AQ70" s="322">
        <v>0</v>
      </c>
      <c r="AR70" s="321">
        <v>0</v>
      </c>
      <c r="AS70" s="322">
        <v>0</v>
      </c>
      <c r="AT70" s="321"/>
      <c r="AU70" s="322"/>
      <c r="AV70" s="321"/>
      <c r="AW70" s="322"/>
      <c r="AX70" s="321">
        <v>0</v>
      </c>
      <c r="AY70" s="322">
        <v>0</v>
      </c>
      <c r="AZ70" s="321">
        <v>0</v>
      </c>
      <c r="BA70" s="322">
        <v>0</v>
      </c>
      <c r="BB70" s="321">
        <v>0</v>
      </c>
      <c r="BC70" s="322">
        <v>0</v>
      </c>
      <c r="BD70" s="321">
        <v>0</v>
      </c>
      <c r="BE70" s="322">
        <v>0</v>
      </c>
      <c r="BF70" s="321">
        <v>0</v>
      </c>
      <c r="BG70" s="322">
        <v>0</v>
      </c>
      <c r="BH70" s="321"/>
      <c r="BI70" s="322"/>
      <c r="BJ70" s="321"/>
      <c r="BK70" s="322"/>
      <c r="BL70" s="321">
        <v>0</v>
      </c>
      <c r="BM70" s="322">
        <v>0</v>
      </c>
      <c r="BN70" s="321">
        <v>0</v>
      </c>
      <c r="BO70" s="322">
        <v>0</v>
      </c>
      <c r="BP70" s="321">
        <v>0</v>
      </c>
      <c r="BQ70" s="322">
        <v>0</v>
      </c>
      <c r="BR70" s="321">
        <v>0</v>
      </c>
      <c r="BS70" s="322">
        <v>0</v>
      </c>
      <c r="BT70" s="321"/>
      <c r="BU70" s="322"/>
      <c r="BV70" s="264">
        <f t="shared" si="27"/>
        <v>0</v>
      </c>
      <c r="BW70" s="264">
        <f t="shared" si="28"/>
        <v>0</v>
      </c>
    </row>
    <row r="71" spans="1:75" s="62" customFormat="1" ht="21.95" customHeight="1" x14ac:dyDescent="0.25">
      <c r="A71" s="344" t="s">
        <v>3229</v>
      </c>
      <c r="B71" s="433" t="s">
        <v>3230</v>
      </c>
      <c r="C71" s="434">
        <v>4</v>
      </c>
      <c r="D71" s="435" t="s">
        <v>3231</v>
      </c>
      <c r="E71" s="345" t="s">
        <v>3232</v>
      </c>
      <c r="F71" s="436" t="s">
        <v>3166</v>
      </c>
      <c r="G71" s="436" t="s">
        <v>3167</v>
      </c>
      <c r="H71" s="437" t="s">
        <v>1487</v>
      </c>
      <c r="I71" s="303" t="s">
        <v>1487</v>
      </c>
      <c r="J71" s="273" t="s">
        <v>3168</v>
      </c>
      <c r="K71" s="274" t="s">
        <v>3169</v>
      </c>
      <c r="L71" s="321">
        <v>0</v>
      </c>
      <c r="M71" s="322">
        <v>0</v>
      </c>
      <c r="N71" s="321">
        <v>0</v>
      </c>
      <c r="O71" s="322">
        <v>0</v>
      </c>
      <c r="P71" s="321">
        <v>0</v>
      </c>
      <c r="Q71" s="322">
        <v>0</v>
      </c>
      <c r="R71" s="321"/>
      <c r="S71" s="322"/>
      <c r="T71" s="321"/>
      <c r="U71" s="322"/>
      <c r="V71" s="321">
        <v>0</v>
      </c>
      <c r="W71" s="322">
        <v>0</v>
      </c>
      <c r="X71" s="321">
        <v>0</v>
      </c>
      <c r="Y71" s="322">
        <v>0</v>
      </c>
      <c r="Z71" s="321">
        <v>0</v>
      </c>
      <c r="AA71" s="322">
        <v>0</v>
      </c>
      <c r="AB71" s="321">
        <v>0</v>
      </c>
      <c r="AC71" s="322">
        <v>0</v>
      </c>
      <c r="AD71" s="321">
        <v>0</v>
      </c>
      <c r="AE71" s="322">
        <v>0</v>
      </c>
      <c r="AF71" s="321"/>
      <c r="AG71" s="322"/>
      <c r="AH71" s="321"/>
      <c r="AI71" s="322"/>
      <c r="AJ71" s="321">
        <v>0</v>
      </c>
      <c r="AK71" s="322">
        <v>0</v>
      </c>
      <c r="AL71" s="321">
        <v>0</v>
      </c>
      <c r="AM71" s="322">
        <v>0</v>
      </c>
      <c r="AN71" s="321">
        <v>0</v>
      </c>
      <c r="AO71" s="322">
        <v>0</v>
      </c>
      <c r="AP71" s="321">
        <v>0</v>
      </c>
      <c r="AQ71" s="322">
        <v>0</v>
      </c>
      <c r="AR71" s="321">
        <v>0</v>
      </c>
      <c r="AS71" s="322">
        <v>0</v>
      </c>
      <c r="AT71" s="321"/>
      <c r="AU71" s="322"/>
      <c r="AV71" s="321"/>
      <c r="AW71" s="322"/>
      <c r="AX71" s="321">
        <v>0</v>
      </c>
      <c r="AY71" s="322">
        <v>0</v>
      </c>
      <c r="AZ71" s="321">
        <v>0</v>
      </c>
      <c r="BA71" s="322">
        <v>0</v>
      </c>
      <c r="BB71" s="321">
        <v>0</v>
      </c>
      <c r="BC71" s="322">
        <v>0</v>
      </c>
      <c r="BD71" s="321">
        <v>0</v>
      </c>
      <c r="BE71" s="322">
        <v>0</v>
      </c>
      <c r="BF71" s="321">
        <v>0</v>
      </c>
      <c r="BG71" s="322">
        <v>0</v>
      </c>
      <c r="BH71" s="321"/>
      <c r="BI71" s="322"/>
      <c r="BJ71" s="321"/>
      <c r="BK71" s="322"/>
      <c r="BL71" s="321">
        <v>0</v>
      </c>
      <c r="BM71" s="322">
        <v>0</v>
      </c>
      <c r="BN71" s="321">
        <v>0</v>
      </c>
      <c r="BO71" s="322">
        <v>0</v>
      </c>
      <c r="BP71" s="321">
        <v>0</v>
      </c>
      <c r="BQ71" s="322">
        <v>0</v>
      </c>
      <c r="BR71" s="321">
        <v>0</v>
      </c>
      <c r="BS71" s="322">
        <v>0</v>
      </c>
      <c r="BT71" s="321"/>
      <c r="BU71" s="322"/>
      <c r="BV71" s="264">
        <f>L71+N71+P71+R71+T71+V71+X71+Z71+AB71+AD71+AF71+AH71+AJ71+AL71+AN71+AP71+AR71+AT71+AV71+AX71+AZ71+BB71+BD71+BF71+BH71+BJ71+BL71+BN71+BP71+BR71+BT71</f>
        <v>0</v>
      </c>
      <c r="BW71" s="264">
        <f>M71+O71+Q71+S71+U71+W71+Y71+AA71+AC71+AE71+AG71+AI71+AK71+AM71+AO71+AQ71+AS71+AU71+AW71+AY71+BA71+BC71+BE71+BG71+BI71+BK71+BM71+BO71+BQ71+BS71+BU71</f>
        <v>0</v>
      </c>
    </row>
    <row r="72" spans="1:75" s="62" customFormat="1" ht="21.95" customHeight="1" x14ac:dyDescent="0.2">
      <c r="A72" s="304" t="s">
        <v>3229</v>
      </c>
      <c r="B72" s="305" t="s">
        <v>3230</v>
      </c>
      <c r="C72" s="272" t="s">
        <v>3175</v>
      </c>
      <c r="D72" s="306" t="s">
        <v>3231</v>
      </c>
      <c r="E72" s="307" t="s">
        <v>3232</v>
      </c>
      <c r="F72" s="308" t="s">
        <v>3166</v>
      </c>
      <c r="G72" s="308" t="s">
        <v>3167</v>
      </c>
      <c r="H72" s="309" t="s">
        <v>1487</v>
      </c>
      <c r="I72" s="310" t="s">
        <v>1487</v>
      </c>
      <c r="J72" s="273" t="s">
        <v>3168</v>
      </c>
      <c r="K72" s="273" t="s">
        <v>3171</v>
      </c>
      <c r="L72" s="319">
        <v>0</v>
      </c>
      <c r="M72" s="320">
        <v>0</v>
      </c>
      <c r="N72" s="319">
        <v>0</v>
      </c>
      <c r="O72" s="320">
        <v>0</v>
      </c>
      <c r="P72" s="319">
        <v>0</v>
      </c>
      <c r="Q72" s="320">
        <v>0</v>
      </c>
      <c r="R72" s="319"/>
      <c r="S72" s="320"/>
      <c r="T72" s="319"/>
      <c r="U72" s="320"/>
      <c r="V72" s="319">
        <v>0</v>
      </c>
      <c r="W72" s="320">
        <v>0</v>
      </c>
      <c r="X72" s="319">
        <v>0</v>
      </c>
      <c r="Y72" s="320">
        <v>0</v>
      </c>
      <c r="Z72" s="319">
        <v>0</v>
      </c>
      <c r="AA72" s="320">
        <v>0</v>
      </c>
      <c r="AB72" s="319">
        <v>0</v>
      </c>
      <c r="AC72" s="320">
        <v>0</v>
      </c>
      <c r="AD72" s="319">
        <v>0</v>
      </c>
      <c r="AE72" s="320">
        <v>0</v>
      </c>
      <c r="AF72" s="319"/>
      <c r="AG72" s="320"/>
      <c r="AH72" s="319"/>
      <c r="AI72" s="320"/>
      <c r="AJ72" s="319">
        <v>0</v>
      </c>
      <c r="AK72" s="320">
        <v>0</v>
      </c>
      <c r="AL72" s="319">
        <v>0</v>
      </c>
      <c r="AM72" s="320">
        <v>0</v>
      </c>
      <c r="AN72" s="319">
        <v>0</v>
      </c>
      <c r="AO72" s="320">
        <v>0</v>
      </c>
      <c r="AP72" s="319">
        <v>0</v>
      </c>
      <c r="AQ72" s="320">
        <v>0</v>
      </c>
      <c r="AR72" s="319">
        <v>0</v>
      </c>
      <c r="AS72" s="320">
        <v>0</v>
      </c>
      <c r="AT72" s="319"/>
      <c r="AU72" s="320"/>
      <c r="AV72" s="319"/>
      <c r="AW72" s="320"/>
      <c r="AX72" s="319">
        <v>0</v>
      </c>
      <c r="AY72" s="320">
        <v>0</v>
      </c>
      <c r="AZ72" s="319">
        <v>0</v>
      </c>
      <c r="BA72" s="320">
        <v>0</v>
      </c>
      <c r="BB72" s="319">
        <v>0</v>
      </c>
      <c r="BC72" s="320">
        <v>0</v>
      </c>
      <c r="BD72" s="319">
        <v>0</v>
      </c>
      <c r="BE72" s="320">
        <v>0</v>
      </c>
      <c r="BF72" s="319">
        <v>0</v>
      </c>
      <c r="BG72" s="320">
        <v>0</v>
      </c>
      <c r="BH72" s="319"/>
      <c r="BI72" s="320"/>
      <c r="BJ72" s="319"/>
      <c r="BK72" s="320"/>
      <c r="BL72" s="319">
        <v>0</v>
      </c>
      <c r="BM72" s="320">
        <v>0</v>
      </c>
      <c r="BN72" s="319">
        <v>0</v>
      </c>
      <c r="BO72" s="320">
        <v>0</v>
      </c>
      <c r="BP72" s="319">
        <v>0</v>
      </c>
      <c r="BQ72" s="320">
        <v>0</v>
      </c>
      <c r="BR72" s="319">
        <v>0</v>
      </c>
      <c r="BS72" s="320">
        <v>0</v>
      </c>
      <c r="BT72" s="319"/>
      <c r="BU72" s="320"/>
      <c r="BV72" s="264">
        <f t="shared" ref="BV72:BV75" si="29">L72+N72+P72+R72+T72+V72+X72+Z72+AB72+AD72+AF72+AH72+AJ72+AL72+AN72+AP72+AR72+AT72+AV72+AX72+AZ72+BB72+BD72+BF72+BH72+BJ72+BL72+BN72+BP72+BR72+BT72</f>
        <v>0</v>
      </c>
      <c r="BW72" s="264">
        <f t="shared" ref="BW72:BW75" si="30">M72+O72+Q72+S72+U72+W72+Y72+AA72+AC72+AE72+AG72+AI72+AK72+AM72+AO72+AQ72+AS72+AU72+AW72+AY72+BA72+BC72+BE72+BG72+BI72+BK72+BM72+BO72+BQ72+BS72+BU72</f>
        <v>0</v>
      </c>
    </row>
    <row r="73" spans="1:75" s="62" customFormat="1" ht="21.95" customHeight="1" x14ac:dyDescent="0.2">
      <c r="A73" s="304" t="s">
        <v>3229</v>
      </c>
      <c r="B73" s="305" t="s">
        <v>3230</v>
      </c>
      <c r="C73" s="311" t="s">
        <v>3175</v>
      </c>
      <c r="D73" s="306" t="s">
        <v>3231</v>
      </c>
      <c r="E73" s="307" t="s">
        <v>3232</v>
      </c>
      <c r="F73" s="308" t="s">
        <v>3166</v>
      </c>
      <c r="G73" s="308" t="s">
        <v>3167</v>
      </c>
      <c r="H73" s="309" t="s">
        <v>1487</v>
      </c>
      <c r="I73" s="310" t="s">
        <v>1487</v>
      </c>
      <c r="J73" s="273" t="s">
        <v>3168</v>
      </c>
      <c r="K73" s="275" t="s">
        <v>3172</v>
      </c>
      <c r="L73" s="319">
        <v>0</v>
      </c>
      <c r="M73" s="320">
        <v>0</v>
      </c>
      <c r="N73" s="319">
        <v>0</v>
      </c>
      <c r="O73" s="320">
        <v>0</v>
      </c>
      <c r="P73" s="319">
        <v>0</v>
      </c>
      <c r="Q73" s="320">
        <v>0</v>
      </c>
      <c r="R73" s="319"/>
      <c r="S73" s="320"/>
      <c r="T73" s="319"/>
      <c r="U73" s="320"/>
      <c r="V73" s="319">
        <v>0</v>
      </c>
      <c r="W73" s="320">
        <v>0</v>
      </c>
      <c r="X73" s="319">
        <v>0</v>
      </c>
      <c r="Y73" s="320">
        <v>0</v>
      </c>
      <c r="Z73" s="319">
        <v>0</v>
      </c>
      <c r="AA73" s="320">
        <v>0</v>
      </c>
      <c r="AB73" s="319">
        <v>0</v>
      </c>
      <c r="AC73" s="320">
        <v>0</v>
      </c>
      <c r="AD73" s="319">
        <v>0</v>
      </c>
      <c r="AE73" s="320">
        <v>0</v>
      </c>
      <c r="AF73" s="319"/>
      <c r="AG73" s="320"/>
      <c r="AH73" s="319"/>
      <c r="AI73" s="320"/>
      <c r="AJ73" s="319">
        <v>0</v>
      </c>
      <c r="AK73" s="320">
        <v>0</v>
      </c>
      <c r="AL73" s="319">
        <v>0</v>
      </c>
      <c r="AM73" s="320">
        <v>0</v>
      </c>
      <c r="AN73" s="319">
        <v>0</v>
      </c>
      <c r="AO73" s="320">
        <v>0</v>
      </c>
      <c r="AP73" s="319">
        <v>0</v>
      </c>
      <c r="AQ73" s="320">
        <v>0</v>
      </c>
      <c r="AR73" s="319">
        <v>0</v>
      </c>
      <c r="AS73" s="320">
        <v>0</v>
      </c>
      <c r="AT73" s="319"/>
      <c r="AU73" s="320"/>
      <c r="AV73" s="319"/>
      <c r="AW73" s="320"/>
      <c r="AX73" s="319">
        <v>0</v>
      </c>
      <c r="AY73" s="320">
        <v>0</v>
      </c>
      <c r="AZ73" s="319">
        <v>0</v>
      </c>
      <c r="BA73" s="320">
        <v>0</v>
      </c>
      <c r="BB73" s="319">
        <v>0</v>
      </c>
      <c r="BC73" s="320">
        <v>0</v>
      </c>
      <c r="BD73" s="319">
        <v>0</v>
      </c>
      <c r="BE73" s="320">
        <v>0</v>
      </c>
      <c r="BF73" s="319">
        <v>0</v>
      </c>
      <c r="BG73" s="320">
        <v>0</v>
      </c>
      <c r="BH73" s="319"/>
      <c r="BI73" s="320"/>
      <c r="BJ73" s="319"/>
      <c r="BK73" s="320"/>
      <c r="BL73" s="319">
        <v>0</v>
      </c>
      <c r="BM73" s="320">
        <v>0</v>
      </c>
      <c r="BN73" s="319">
        <v>0</v>
      </c>
      <c r="BO73" s="320">
        <v>0</v>
      </c>
      <c r="BP73" s="319">
        <v>0</v>
      </c>
      <c r="BQ73" s="320">
        <v>0</v>
      </c>
      <c r="BR73" s="319">
        <v>0</v>
      </c>
      <c r="BS73" s="320">
        <v>0</v>
      </c>
      <c r="BT73" s="319"/>
      <c r="BU73" s="320"/>
      <c r="BV73" s="264">
        <f t="shared" si="29"/>
        <v>0</v>
      </c>
      <c r="BW73" s="264">
        <f t="shared" si="30"/>
        <v>0</v>
      </c>
    </row>
    <row r="74" spans="1:75" s="62" customFormat="1" ht="21.95" customHeight="1" x14ac:dyDescent="0.2">
      <c r="A74" s="304" t="s">
        <v>3229</v>
      </c>
      <c r="B74" s="305" t="s">
        <v>3230</v>
      </c>
      <c r="C74" s="311" t="s">
        <v>3175</v>
      </c>
      <c r="D74" s="306" t="s">
        <v>3231</v>
      </c>
      <c r="E74" s="307" t="s">
        <v>3232</v>
      </c>
      <c r="F74" s="308" t="s">
        <v>3166</v>
      </c>
      <c r="G74" s="308" t="s">
        <v>3167</v>
      </c>
      <c r="H74" s="309" t="s">
        <v>1487</v>
      </c>
      <c r="I74" s="310" t="s">
        <v>1487</v>
      </c>
      <c r="J74" s="273" t="s">
        <v>3168</v>
      </c>
      <c r="K74" s="276" t="s">
        <v>3173</v>
      </c>
      <c r="L74" s="319">
        <v>0</v>
      </c>
      <c r="M74" s="320">
        <v>0</v>
      </c>
      <c r="N74" s="319">
        <v>0</v>
      </c>
      <c r="O74" s="320">
        <v>0</v>
      </c>
      <c r="P74" s="319">
        <v>0</v>
      </c>
      <c r="Q74" s="320">
        <v>0</v>
      </c>
      <c r="R74" s="319"/>
      <c r="S74" s="320"/>
      <c r="T74" s="319"/>
      <c r="U74" s="320"/>
      <c r="V74" s="319">
        <v>0</v>
      </c>
      <c r="W74" s="320">
        <v>0</v>
      </c>
      <c r="X74" s="319">
        <v>0</v>
      </c>
      <c r="Y74" s="320">
        <v>0</v>
      </c>
      <c r="Z74" s="319">
        <v>0</v>
      </c>
      <c r="AA74" s="320">
        <v>0</v>
      </c>
      <c r="AB74" s="319">
        <v>0</v>
      </c>
      <c r="AC74" s="320">
        <v>0</v>
      </c>
      <c r="AD74" s="319">
        <v>0</v>
      </c>
      <c r="AE74" s="320">
        <v>0</v>
      </c>
      <c r="AF74" s="319"/>
      <c r="AG74" s="320"/>
      <c r="AH74" s="319"/>
      <c r="AI74" s="320"/>
      <c r="AJ74" s="319">
        <v>0</v>
      </c>
      <c r="AK74" s="320">
        <v>0</v>
      </c>
      <c r="AL74" s="319">
        <v>0</v>
      </c>
      <c r="AM74" s="320">
        <v>0</v>
      </c>
      <c r="AN74" s="319">
        <v>0</v>
      </c>
      <c r="AO74" s="320">
        <v>0</v>
      </c>
      <c r="AP74" s="319">
        <v>0</v>
      </c>
      <c r="AQ74" s="320">
        <v>0</v>
      </c>
      <c r="AR74" s="319">
        <v>0</v>
      </c>
      <c r="AS74" s="320">
        <v>0</v>
      </c>
      <c r="AT74" s="319"/>
      <c r="AU74" s="320"/>
      <c r="AV74" s="319"/>
      <c r="AW74" s="320"/>
      <c r="AX74" s="319">
        <v>0</v>
      </c>
      <c r="AY74" s="320">
        <v>0</v>
      </c>
      <c r="AZ74" s="319">
        <v>0</v>
      </c>
      <c r="BA74" s="320">
        <v>0</v>
      </c>
      <c r="BB74" s="319">
        <v>0</v>
      </c>
      <c r="BC74" s="320">
        <v>0</v>
      </c>
      <c r="BD74" s="319">
        <v>0</v>
      </c>
      <c r="BE74" s="320">
        <v>0</v>
      </c>
      <c r="BF74" s="319">
        <v>0</v>
      </c>
      <c r="BG74" s="320">
        <v>0</v>
      </c>
      <c r="BH74" s="319"/>
      <c r="BI74" s="320"/>
      <c r="BJ74" s="319"/>
      <c r="BK74" s="320"/>
      <c r="BL74" s="319">
        <v>0</v>
      </c>
      <c r="BM74" s="320">
        <v>0</v>
      </c>
      <c r="BN74" s="319">
        <v>0</v>
      </c>
      <c r="BO74" s="320">
        <v>0</v>
      </c>
      <c r="BP74" s="319">
        <v>0</v>
      </c>
      <c r="BQ74" s="320">
        <v>0</v>
      </c>
      <c r="BR74" s="319">
        <v>0</v>
      </c>
      <c r="BS74" s="320">
        <v>0</v>
      </c>
      <c r="BT74" s="319"/>
      <c r="BU74" s="320"/>
      <c r="BV74" s="264">
        <f t="shared" si="29"/>
        <v>0</v>
      </c>
      <c r="BW74" s="264">
        <f t="shared" si="30"/>
        <v>0</v>
      </c>
    </row>
    <row r="75" spans="1:75" s="62" customFormat="1" ht="21.95" customHeight="1" thickBot="1" x14ac:dyDescent="0.25">
      <c r="A75" s="567" t="s">
        <v>3229</v>
      </c>
      <c r="B75" s="312" t="s">
        <v>3230</v>
      </c>
      <c r="C75" s="313" t="s">
        <v>3175</v>
      </c>
      <c r="D75" s="314" t="s">
        <v>3231</v>
      </c>
      <c r="E75" s="330" t="s">
        <v>3232</v>
      </c>
      <c r="F75" s="315" t="s">
        <v>3166</v>
      </c>
      <c r="G75" s="315" t="s">
        <v>3167</v>
      </c>
      <c r="H75" s="316" t="s">
        <v>1487</v>
      </c>
      <c r="I75" s="568" t="s">
        <v>1487</v>
      </c>
      <c r="J75" s="273" t="s">
        <v>3168</v>
      </c>
      <c r="K75" s="277" t="s">
        <v>53</v>
      </c>
      <c r="L75" s="321">
        <v>0</v>
      </c>
      <c r="M75" s="322">
        <v>0</v>
      </c>
      <c r="N75" s="321">
        <v>0</v>
      </c>
      <c r="O75" s="322">
        <v>0</v>
      </c>
      <c r="P75" s="321">
        <v>0</v>
      </c>
      <c r="Q75" s="322">
        <v>0</v>
      </c>
      <c r="R75" s="321"/>
      <c r="S75" s="322"/>
      <c r="T75" s="321"/>
      <c r="U75" s="322"/>
      <c r="V75" s="321">
        <v>0</v>
      </c>
      <c r="W75" s="322">
        <v>0</v>
      </c>
      <c r="X75" s="321">
        <v>0</v>
      </c>
      <c r="Y75" s="322">
        <v>0</v>
      </c>
      <c r="Z75" s="321">
        <v>0</v>
      </c>
      <c r="AA75" s="322">
        <v>0</v>
      </c>
      <c r="AB75" s="321">
        <v>0</v>
      </c>
      <c r="AC75" s="322">
        <v>0</v>
      </c>
      <c r="AD75" s="321">
        <v>0</v>
      </c>
      <c r="AE75" s="322">
        <v>0</v>
      </c>
      <c r="AF75" s="321"/>
      <c r="AG75" s="322"/>
      <c r="AH75" s="321"/>
      <c r="AI75" s="322"/>
      <c r="AJ75" s="321">
        <v>0</v>
      </c>
      <c r="AK75" s="322">
        <v>0</v>
      </c>
      <c r="AL75" s="321">
        <v>0</v>
      </c>
      <c r="AM75" s="322">
        <v>0</v>
      </c>
      <c r="AN75" s="321">
        <v>0</v>
      </c>
      <c r="AO75" s="322">
        <v>0</v>
      </c>
      <c r="AP75" s="321">
        <v>0</v>
      </c>
      <c r="AQ75" s="322">
        <v>0</v>
      </c>
      <c r="AR75" s="321">
        <v>0</v>
      </c>
      <c r="AS75" s="322">
        <v>0</v>
      </c>
      <c r="AT75" s="321"/>
      <c r="AU75" s="322"/>
      <c r="AV75" s="321"/>
      <c r="AW75" s="322"/>
      <c r="AX75" s="321">
        <v>0</v>
      </c>
      <c r="AY75" s="322">
        <v>0</v>
      </c>
      <c r="AZ75" s="321">
        <v>0</v>
      </c>
      <c r="BA75" s="322">
        <v>0</v>
      </c>
      <c r="BB75" s="321">
        <v>0</v>
      </c>
      <c r="BC75" s="322">
        <v>0</v>
      </c>
      <c r="BD75" s="321">
        <v>0</v>
      </c>
      <c r="BE75" s="322">
        <v>0</v>
      </c>
      <c r="BF75" s="321">
        <v>0</v>
      </c>
      <c r="BG75" s="322">
        <v>0</v>
      </c>
      <c r="BH75" s="321"/>
      <c r="BI75" s="322"/>
      <c r="BJ75" s="321"/>
      <c r="BK75" s="322"/>
      <c r="BL75" s="321">
        <v>0</v>
      </c>
      <c r="BM75" s="322">
        <v>0</v>
      </c>
      <c r="BN75" s="321">
        <v>0</v>
      </c>
      <c r="BO75" s="322">
        <v>0</v>
      </c>
      <c r="BP75" s="321">
        <v>0</v>
      </c>
      <c r="BQ75" s="322">
        <v>0</v>
      </c>
      <c r="BR75" s="321">
        <v>0</v>
      </c>
      <c r="BS75" s="322">
        <v>0</v>
      </c>
      <c r="BT75" s="321"/>
      <c r="BU75" s="322"/>
      <c r="BV75" s="264">
        <f t="shared" si="29"/>
        <v>0</v>
      </c>
      <c r="BW75" s="264">
        <f t="shared" si="30"/>
        <v>0</v>
      </c>
    </row>
    <row r="76" spans="1:75" s="62" customFormat="1" ht="21.95" customHeight="1" x14ac:dyDescent="0.25">
      <c r="A76" s="344" t="s">
        <v>3233</v>
      </c>
      <c r="B76" s="433" t="s">
        <v>3234</v>
      </c>
      <c r="C76" s="434">
        <v>1</v>
      </c>
      <c r="D76" s="435" t="s">
        <v>3235</v>
      </c>
      <c r="E76" s="345" t="s">
        <v>3236</v>
      </c>
      <c r="F76" s="436" t="s">
        <v>3166</v>
      </c>
      <c r="G76" s="436" t="s">
        <v>3167</v>
      </c>
      <c r="H76" s="437" t="s">
        <v>1488</v>
      </c>
      <c r="I76" s="303" t="s">
        <v>1488</v>
      </c>
      <c r="J76" s="273" t="s">
        <v>3168</v>
      </c>
      <c r="K76" s="274" t="s">
        <v>3169</v>
      </c>
      <c r="L76" s="321">
        <v>0</v>
      </c>
      <c r="M76" s="322">
        <v>0</v>
      </c>
      <c r="N76" s="321">
        <v>0</v>
      </c>
      <c r="O76" s="322">
        <v>0</v>
      </c>
      <c r="P76" s="321">
        <v>0</v>
      </c>
      <c r="Q76" s="322">
        <v>0</v>
      </c>
      <c r="R76" s="321"/>
      <c r="S76" s="322"/>
      <c r="T76" s="321"/>
      <c r="U76" s="322"/>
      <c r="V76" s="321">
        <v>0</v>
      </c>
      <c r="W76" s="322">
        <v>0</v>
      </c>
      <c r="X76" s="321">
        <v>0</v>
      </c>
      <c r="Y76" s="322">
        <v>0</v>
      </c>
      <c r="Z76" s="321">
        <v>0</v>
      </c>
      <c r="AA76" s="322">
        <v>0</v>
      </c>
      <c r="AB76" s="321">
        <v>0</v>
      </c>
      <c r="AC76" s="322">
        <v>0</v>
      </c>
      <c r="AD76" s="321">
        <v>0</v>
      </c>
      <c r="AE76" s="322">
        <v>0</v>
      </c>
      <c r="AF76" s="321"/>
      <c r="AG76" s="322"/>
      <c r="AH76" s="321"/>
      <c r="AI76" s="322"/>
      <c r="AJ76" s="321">
        <v>0</v>
      </c>
      <c r="AK76" s="322">
        <v>0</v>
      </c>
      <c r="AL76" s="321">
        <v>0</v>
      </c>
      <c r="AM76" s="322">
        <v>0</v>
      </c>
      <c r="AN76" s="321">
        <v>0</v>
      </c>
      <c r="AO76" s="322">
        <v>0</v>
      </c>
      <c r="AP76" s="321">
        <v>0</v>
      </c>
      <c r="AQ76" s="322">
        <v>0</v>
      </c>
      <c r="AR76" s="321">
        <v>0</v>
      </c>
      <c r="AS76" s="322">
        <v>0</v>
      </c>
      <c r="AT76" s="321"/>
      <c r="AU76" s="322"/>
      <c r="AV76" s="321"/>
      <c r="AW76" s="322"/>
      <c r="AX76" s="321">
        <v>0</v>
      </c>
      <c r="AY76" s="322">
        <v>0</v>
      </c>
      <c r="AZ76" s="321">
        <v>0</v>
      </c>
      <c r="BA76" s="322">
        <v>0</v>
      </c>
      <c r="BB76" s="321">
        <v>0</v>
      </c>
      <c r="BC76" s="322">
        <v>0</v>
      </c>
      <c r="BD76" s="321">
        <v>0</v>
      </c>
      <c r="BE76" s="322">
        <v>0</v>
      </c>
      <c r="BF76" s="321">
        <v>0</v>
      </c>
      <c r="BG76" s="322">
        <v>0</v>
      </c>
      <c r="BH76" s="321"/>
      <c r="BI76" s="322"/>
      <c r="BJ76" s="321"/>
      <c r="BK76" s="322"/>
      <c r="BL76" s="321">
        <v>0</v>
      </c>
      <c r="BM76" s="322">
        <v>0</v>
      </c>
      <c r="BN76" s="321">
        <v>0</v>
      </c>
      <c r="BO76" s="322">
        <v>0</v>
      </c>
      <c r="BP76" s="321">
        <v>0</v>
      </c>
      <c r="BQ76" s="322">
        <v>0</v>
      </c>
      <c r="BR76" s="321">
        <v>0</v>
      </c>
      <c r="BS76" s="322">
        <v>0</v>
      </c>
      <c r="BT76" s="321"/>
      <c r="BU76" s="322"/>
      <c r="BV76" s="264">
        <f>L76+N76+P76+R76+T76+V76+X76+Z76+AB76+AD76+AF76+AH76+AJ76+AL76+AN76+AP76+AR76+AT76+AV76+AX76+AZ76+BB76+BD76+BF76+BH76+BJ76+BL76+BN76+BP76+BR76+BT76</f>
        <v>0</v>
      </c>
      <c r="BW76" s="264">
        <f>M76+O76+Q76+S76+U76+W76+Y76+AA76+AC76+AE76+AG76+AI76+AK76+AM76+AO76+AQ76+AS76+AU76+AW76+AY76+BA76+BC76+BE76+BG76+BI76+BK76+BM76+BO76+BQ76+BS76+BU76</f>
        <v>0</v>
      </c>
    </row>
    <row r="77" spans="1:75" s="62" customFormat="1" ht="21.95" customHeight="1" x14ac:dyDescent="0.2">
      <c r="A77" s="304" t="s">
        <v>3233</v>
      </c>
      <c r="B77" s="305" t="s">
        <v>3234</v>
      </c>
      <c r="C77" s="272" t="s">
        <v>3170</v>
      </c>
      <c r="D77" s="306" t="s">
        <v>3235</v>
      </c>
      <c r="E77" s="307" t="s">
        <v>3236</v>
      </c>
      <c r="F77" s="308" t="s">
        <v>3166</v>
      </c>
      <c r="G77" s="308" t="s">
        <v>3167</v>
      </c>
      <c r="H77" s="309" t="s">
        <v>1488</v>
      </c>
      <c r="I77" s="310" t="s">
        <v>1488</v>
      </c>
      <c r="J77" s="273" t="s">
        <v>3168</v>
      </c>
      <c r="K77" s="273" t="s">
        <v>3171</v>
      </c>
      <c r="L77" s="319">
        <v>0</v>
      </c>
      <c r="M77" s="320">
        <v>0</v>
      </c>
      <c r="N77" s="319">
        <v>0</v>
      </c>
      <c r="O77" s="320">
        <v>0</v>
      </c>
      <c r="P77" s="319">
        <v>0</v>
      </c>
      <c r="Q77" s="320">
        <v>0</v>
      </c>
      <c r="R77" s="319"/>
      <c r="S77" s="320"/>
      <c r="T77" s="319"/>
      <c r="U77" s="320"/>
      <c r="V77" s="319">
        <v>8</v>
      </c>
      <c r="W77" s="320">
        <v>0</v>
      </c>
      <c r="X77" s="319">
        <v>0</v>
      </c>
      <c r="Y77" s="320">
        <v>0</v>
      </c>
      <c r="Z77" s="319">
        <v>0</v>
      </c>
      <c r="AA77" s="320">
        <v>0</v>
      </c>
      <c r="AB77" s="319">
        <v>0</v>
      </c>
      <c r="AC77" s="320">
        <v>0</v>
      </c>
      <c r="AD77" s="319">
        <v>0</v>
      </c>
      <c r="AE77" s="320">
        <v>0</v>
      </c>
      <c r="AF77" s="319"/>
      <c r="AG77" s="320"/>
      <c r="AH77" s="319"/>
      <c r="AI77" s="320"/>
      <c r="AJ77" s="319">
        <v>8</v>
      </c>
      <c r="AK77" s="320">
        <v>0</v>
      </c>
      <c r="AL77" s="319">
        <v>0</v>
      </c>
      <c r="AM77" s="320">
        <v>0</v>
      </c>
      <c r="AN77" s="319">
        <v>0</v>
      </c>
      <c r="AO77" s="320">
        <v>0</v>
      </c>
      <c r="AP77" s="319">
        <v>0</v>
      </c>
      <c r="AQ77" s="320">
        <v>0</v>
      </c>
      <c r="AR77" s="319">
        <v>0</v>
      </c>
      <c r="AS77" s="320">
        <v>0</v>
      </c>
      <c r="AT77" s="319"/>
      <c r="AU77" s="320"/>
      <c r="AV77" s="319"/>
      <c r="AW77" s="320"/>
      <c r="AX77" s="319">
        <v>8</v>
      </c>
      <c r="AY77" s="320">
        <v>0</v>
      </c>
      <c r="AZ77" s="319">
        <v>0</v>
      </c>
      <c r="BA77" s="320">
        <v>0</v>
      </c>
      <c r="BB77" s="319">
        <v>0</v>
      </c>
      <c r="BC77" s="320">
        <v>0</v>
      </c>
      <c r="BD77" s="319">
        <v>0</v>
      </c>
      <c r="BE77" s="320">
        <v>0</v>
      </c>
      <c r="BF77" s="319">
        <v>0</v>
      </c>
      <c r="BG77" s="320">
        <v>0</v>
      </c>
      <c r="BH77" s="319"/>
      <c r="BI77" s="320"/>
      <c r="BJ77" s="319"/>
      <c r="BK77" s="320"/>
      <c r="BL77" s="319">
        <v>8</v>
      </c>
      <c r="BM77" s="320">
        <v>0</v>
      </c>
      <c r="BN77" s="319">
        <v>0</v>
      </c>
      <c r="BO77" s="320">
        <v>0</v>
      </c>
      <c r="BP77" s="319">
        <v>0</v>
      </c>
      <c r="BQ77" s="320">
        <v>0</v>
      </c>
      <c r="BR77" s="319">
        <v>0</v>
      </c>
      <c r="BS77" s="320">
        <v>0</v>
      </c>
      <c r="BT77" s="319"/>
      <c r="BU77" s="320"/>
      <c r="BV77" s="264">
        <f t="shared" ref="BV77:BV80" si="31">L77+N77+P77+R77+T77+V77+X77+Z77+AB77+AD77+AF77+AH77+AJ77+AL77+AN77+AP77+AR77+AT77+AV77+AX77+AZ77+BB77+BD77+BF77+BH77+BJ77+BL77+BN77+BP77+BR77+BT77</f>
        <v>32</v>
      </c>
      <c r="BW77" s="264">
        <f t="shared" ref="BW77:BW80" si="32">M77+O77+Q77+S77+U77+W77+Y77+AA77+AC77+AE77+AG77+AI77+AK77+AM77+AO77+AQ77+AS77+AU77+AW77+AY77+BA77+BC77+BE77+BG77+BI77+BK77+BM77+BO77+BQ77+BS77+BU77</f>
        <v>0</v>
      </c>
    </row>
    <row r="78" spans="1:75" s="62" customFormat="1" ht="21.95" customHeight="1" x14ac:dyDescent="0.2">
      <c r="A78" s="304" t="s">
        <v>3233</v>
      </c>
      <c r="B78" s="305" t="s">
        <v>3234</v>
      </c>
      <c r="C78" s="311" t="s">
        <v>3170</v>
      </c>
      <c r="D78" s="306" t="s">
        <v>3235</v>
      </c>
      <c r="E78" s="307" t="s">
        <v>3236</v>
      </c>
      <c r="F78" s="308" t="s">
        <v>3166</v>
      </c>
      <c r="G78" s="308" t="s">
        <v>3167</v>
      </c>
      <c r="H78" s="309" t="s">
        <v>1488</v>
      </c>
      <c r="I78" s="310" t="s">
        <v>1488</v>
      </c>
      <c r="J78" s="273" t="s">
        <v>3168</v>
      </c>
      <c r="K78" s="275" t="s">
        <v>3172</v>
      </c>
      <c r="L78" s="319">
        <v>0</v>
      </c>
      <c r="M78" s="320">
        <v>0</v>
      </c>
      <c r="N78" s="319">
        <v>0</v>
      </c>
      <c r="O78" s="320">
        <v>0</v>
      </c>
      <c r="P78" s="319">
        <v>0</v>
      </c>
      <c r="Q78" s="320">
        <v>0</v>
      </c>
      <c r="R78" s="319"/>
      <c r="S78" s="320"/>
      <c r="T78" s="319"/>
      <c r="U78" s="320"/>
      <c r="V78" s="319">
        <v>0</v>
      </c>
      <c r="W78" s="320">
        <v>0</v>
      </c>
      <c r="X78" s="319">
        <v>0</v>
      </c>
      <c r="Y78" s="320">
        <v>0</v>
      </c>
      <c r="Z78" s="319">
        <v>0</v>
      </c>
      <c r="AA78" s="320">
        <v>0</v>
      </c>
      <c r="AB78" s="319">
        <v>0</v>
      </c>
      <c r="AC78" s="320">
        <v>0</v>
      </c>
      <c r="AD78" s="319">
        <v>0</v>
      </c>
      <c r="AE78" s="320">
        <v>0</v>
      </c>
      <c r="AF78" s="319"/>
      <c r="AG78" s="320"/>
      <c r="AH78" s="319"/>
      <c r="AI78" s="320"/>
      <c r="AJ78" s="319">
        <v>0</v>
      </c>
      <c r="AK78" s="320">
        <v>0</v>
      </c>
      <c r="AL78" s="319">
        <v>0</v>
      </c>
      <c r="AM78" s="320">
        <v>0</v>
      </c>
      <c r="AN78" s="319">
        <v>0</v>
      </c>
      <c r="AO78" s="320">
        <v>0</v>
      </c>
      <c r="AP78" s="319">
        <v>0</v>
      </c>
      <c r="AQ78" s="320">
        <v>0</v>
      </c>
      <c r="AR78" s="319">
        <v>0</v>
      </c>
      <c r="AS78" s="320">
        <v>0</v>
      </c>
      <c r="AT78" s="319"/>
      <c r="AU78" s="320"/>
      <c r="AV78" s="319"/>
      <c r="AW78" s="320"/>
      <c r="AX78" s="319">
        <v>0</v>
      </c>
      <c r="AY78" s="320">
        <v>0</v>
      </c>
      <c r="AZ78" s="319">
        <v>0</v>
      </c>
      <c r="BA78" s="320">
        <v>0</v>
      </c>
      <c r="BB78" s="319">
        <v>0</v>
      </c>
      <c r="BC78" s="320">
        <v>0</v>
      </c>
      <c r="BD78" s="319">
        <v>0</v>
      </c>
      <c r="BE78" s="320">
        <v>0</v>
      </c>
      <c r="BF78" s="319">
        <v>0</v>
      </c>
      <c r="BG78" s="320">
        <v>0</v>
      </c>
      <c r="BH78" s="319"/>
      <c r="BI78" s="320"/>
      <c r="BJ78" s="319"/>
      <c r="BK78" s="320"/>
      <c r="BL78" s="319">
        <v>0</v>
      </c>
      <c r="BM78" s="320">
        <v>0</v>
      </c>
      <c r="BN78" s="319">
        <v>0</v>
      </c>
      <c r="BO78" s="320">
        <v>0</v>
      </c>
      <c r="BP78" s="319">
        <v>0</v>
      </c>
      <c r="BQ78" s="320">
        <v>0</v>
      </c>
      <c r="BR78" s="319">
        <v>0</v>
      </c>
      <c r="BS78" s="320">
        <v>0</v>
      </c>
      <c r="BT78" s="319"/>
      <c r="BU78" s="320"/>
      <c r="BV78" s="264">
        <f t="shared" si="31"/>
        <v>0</v>
      </c>
      <c r="BW78" s="264">
        <f t="shared" si="32"/>
        <v>0</v>
      </c>
    </row>
    <row r="79" spans="1:75" s="62" customFormat="1" ht="21.95" customHeight="1" x14ac:dyDescent="0.2">
      <c r="A79" s="304" t="s">
        <v>3233</v>
      </c>
      <c r="B79" s="305" t="s">
        <v>3234</v>
      </c>
      <c r="C79" s="311" t="s">
        <v>3170</v>
      </c>
      <c r="D79" s="306" t="s">
        <v>3235</v>
      </c>
      <c r="E79" s="307" t="s">
        <v>3236</v>
      </c>
      <c r="F79" s="308" t="s">
        <v>3166</v>
      </c>
      <c r="G79" s="308" t="s">
        <v>3167</v>
      </c>
      <c r="H79" s="309" t="s">
        <v>1488</v>
      </c>
      <c r="I79" s="310" t="s">
        <v>1488</v>
      </c>
      <c r="J79" s="273" t="s">
        <v>3168</v>
      </c>
      <c r="K79" s="276" t="s">
        <v>3173</v>
      </c>
      <c r="L79" s="319">
        <v>0</v>
      </c>
      <c r="M79" s="320">
        <v>0</v>
      </c>
      <c r="N79" s="319">
        <v>0</v>
      </c>
      <c r="O79" s="320">
        <v>0</v>
      </c>
      <c r="P79" s="319">
        <v>0</v>
      </c>
      <c r="Q79" s="320">
        <v>0</v>
      </c>
      <c r="R79" s="319"/>
      <c r="S79" s="320"/>
      <c r="T79" s="319"/>
      <c r="U79" s="320"/>
      <c r="V79" s="319">
        <v>0</v>
      </c>
      <c r="W79" s="320">
        <v>0</v>
      </c>
      <c r="X79" s="319">
        <v>0</v>
      </c>
      <c r="Y79" s="320">
        <v>0</v>
      </c>
      <c r="Z79" s="319">
        <v>0</v>
      </c>
      <c r="AA79" s="320">
        <v>0</v>
      </c>
      <c r="AB79" s="319">
        <v>0</v>
      </c>
      <c r="AC79" s="320">
        <v>0</v>
      </c>
      <c r="AD79" s="319">
        <v>0</v>
      </c>
      <c r="AE79" s="320">
        <v>0</v>
      </c>
      <c r="AF79" s="319"/>
      <c r="AG79" s="320"/>
      <c r="AH79" s="319"/>
      <c r="AI79" s="320"/>
      <c r="AJ79" s="319">
        <v>0</v>
      </c>
      <c r="AK79" s="320">
        <v>0</v>
      </c>
      <c r="AL79" s="319">
        <v>0</v>
      </c>
      <c r="AM79" s="320">
        <v>0</v>
      </c>
      <c r="AN79" s="319">
        <v>0</v>
      </c>
      <c r="AO79" s="320">
        <v>0</v>
      </c>
      <c r="AP79" s="319">
        <v>0</v>
      </c>
      <c r="AQ79" s="320">
        <v>0</v>
      </c>
      <c r="AR79" s="319">
        <v>0</v>
      </c>
      <c r="AS79" s="320">
        <v>0</v>
      </c>
      <c r="AT79" s="319"/>
      <c r="AU79" s="320"/>
      <c r="AV79" s="319"/>
      <c r="AW79" s="320"/>
      <c r="AX79" s="319">
        <v>0</v>
      </c>
      <c r="AY79" s="320">
        <v>0</v>
      </c>
      <c r="AZ79" s="319">
        <v>0</v>
      </c>
      <c r="BA79" s="320">
        <v>0</v>
      </c>
      <c r="BB79" s="319">
        <v>0</v>
      </c>
      <c r="BC79" s="320">
        <v>0</v>
      </c>
      <c r="BD79" s="319">
        <v>0</v>
      </c>
      <c r="BE79" s="320">
        <v>0</v>
      </c>
      <c r="BF79" s="319">
        <v>0</v>
      </c>
      <c r="BG79" s="320">
        <v>0</v>
      </c>
      <c r="BH79" s="319"/>
      <c r="BI79" s="320"/>
      <c r="BJ79" s="319"/>
      <c r="BK79" s="320"/>
      <c r="BL79" s="319">
        <v>0</v>
      </c>
      <c r="BM79" s="320">
        <v>0</v>
      </c>
      <c r="BN79" s="319">
        <v>0</v>
      </c>
      <c r="BO79" s="320">
        <v>0</v>
      </c>
      <c r="BP79" s="319">
        <v>0</v>
      </c>
      <c r="BQ79" s="320">
        <v>0</v>
      </c>
      <c r="BR79" s="319">
        <v>0</v>
      </c>
      <c r="BS79" s="320">
        <v>0</v>
      </c>
      <c r="BT79" s="319"/>
      <c r="BU79" s="320"/>
      <c r="BV79" s="264">
        <f t="shared" si="31"/>
        <v>0</v>
      </c>
      <c r="BW79" s="264">
        <f t="shared" si="32"/>
        <v>0</v>
      </c>
    </row>
    <row r="80" spans="1:75" s="62" customFormat="1" ht="21.95" customHeight="1" thickBot="1" x14ac:dyDescent="0.25">
      <c r="A80" s="567" t="s">
        <v>3233</v>
      </c>
      <c r="B80" s="312" t="s">
        <v>3234</v>
      </c>
      <c r="C80" s="313" t="s">
        <v>3170</v>
      </c>
      <c r="D80" s="314" t="s">
        <v>3235</v>
      </c>
      <c r="E80" s="330" t="s">
        <v>3236</v>
      </c>
      <c r="F80" s="315" t="s">
        <v>3166</v>
      </c>
      <c r="G80" s="315" t="s">
        <v>3167</v>
      </c>
      <c r="H80" s="316" t="s">
        <v>1488</v>
      </c>
      <c r="I80" s="568" t="s">
        <v>1488</v>
      </c>
      <c r="J80" s="273" t="s">
        <v>3168</v>
      </c>
      <c r="K80" s="277" t="s">
        <v>53</v>
      </c>
      <c r="L80" s="321">
        <v>0</v>
      </c>
      <c r="M80" s="322">
        <v>0</v>
      </c>
      <c r="N80" s="321">
        <v>0</v>
      </c>
      <c r="O80" s="322">
        <v>0</v>
      </c>
      <c r="P80" s="321">
        <v>0</v>
      </c>
      <c r="Q80" s="322">
        <v>0</v>
      </c>
      <c r="R80" s="321"/>
      <c r="S80" s="322"/>
      <c r="T80" s="321"/>
      <c r="U80" s="322"/>
      <c r="V80" s="321">
        <v>0</v>
      </c>
      <c r="W80" s="322">
        <v>0</v>
      </c>
      <c r="X80" s="321">
        <v>0</v>
      </c>
      <c r="Y80" s="322">
        <v>0</v>
      </c>
      <c r="Z80" s="321">
        <v>0</v>
      </c>
      <c r="AA80" s="322">
        <v>0</v>
      </c>
      <c r="AB80" s="321">
        <v>0</v>
      </c>
      <c r="AC80" s="322">
        <v>0</v>
      </c>
      <c r="AD80" s="321">
        <v>0</v>
      </c>
      <c r="AE80" s="322">
        <v>0</v>
      </c>
      <c r="AF80" s="321"/>
      <c r="AG80" s="322"/>
      <c r="AH80" s="321"/>
      <c r="AI80" s="322"/>
      <c r="AJ80" s="321">
        <v>0</v>
      </c>
      <c r="AK80" s="322">
        <v>0</v>
      </c>
      <c r="AL80" s="321">
        <v>0</v>
      </c>
      <c r="AM80" s="322">
        <v>0</v>
      </c>
      <c r="AN80" s="321">
        <v>0</v>
      </c>
      <c r="AO80" s="322">
        <v>0</v>
      </c>
      <c r="AP80" s="321">
        <v>0</v>
      </c>
      <c r="AQ80" s="322">
        <v>0</v>
      </c>
      <c r="AR80" s="321">
        <v>0</v>
      </c>
      <c r="AS80" s="322">
        <v>0</v>
      </c>
      <c r="AT80" s="321"/>
      <c r="AU80" s="322"/>
      <c r="AV80" s="321"/>
      <c r="AW80" s="322"/>
      <c r="AX80" s="321">
        <v>0</v>
      </c>
      <c r="AY80" s="322">
        <v>0</v>
      </c>
      <c r="AZ80" s="321">
        <v>0</v>
      </c>
      <c r="BA80" s="322">
        <v>0</v>
      </c>
      <c r="BB80" s="321">
        <v>0</v>
      </c>
      <c r="BC80" s="322">
        <v>0</v>
      </c>
      <c r="BD80" s="321">
        <v>0</v>
      </c>
      <c r="BE80" s="322">
        <v>0</v>
      </c>
      <c r="BF80" s="321">
        <v>0</v>
      </c>
      <c r="BG80" s="322">
        <v>0</v>
      </c>
      <c r="BH80" s="321"/>
      <c r="BI80" s="322"/>
      <c r="BJ80" s="321"/>
      <c r="BK80" s="322"/>
      <c r="BL80" s="321">
        <v>0</v>
      </c>
      <c r="BM80" s="322">
        <v>0</v>
      </c>
      <c r="BN80" s="321">
        <v>0</v>
      </c>
      <c r="BO80" s="322">
        <v>0</v>
      </c>
      <c r="BP80" s="321">
        <v>0</v>
      </c>
      <c r="BQ80" s="322">
        <v>0</v>
      </c>
      <c r="BR80" s="321">
        <v>0</v>
      </c>
      <c r="BS80" s="322">
        <v>0</v>
      </c>
      <c r="BT80" s="321"/>
      <c r="BU80" s="322"/>
      <c r="BV80" s="264">
        <f t="shared" si="31"/>
        <v>0</v>
      </c>
      <c r="BW80" s="264">
        <f t="shared" si="32"/>
        <v>0</v>
      </c>
    </row>
    <row r="81" spans="1:75" s="62" customFormat="1" ht="21.95" customHeight="1" x14ac:dyDescent="0.25">
      <c r="A81" s="344" t="s">
        <v>3237</v>
      </c>
      <c r="B81" s="433" t="s">
        <v>3238</v>
      </c>
      <c r="C81" s="434">
        <v>1</v>
      </c>
      <c r="D81" s="435" t="s">
        <v>3239</v>
      </c>
      <c r="E81" s="345" t="s">
        <v>3240</v>
      </c>
      <c r="F81" s="436" t="s">
        <v>3166</v>
      </c>
      <c r="G81" s="436" t="s">
        <v>3167</v>
      </c>
      <c r="H81" s="437" t="s">
        <v>1491</v>
      </c>
      <c r="I81" s="303" t="s">
        <v>1491</v>
      </c>
      <c r="J81" s="273" t="s">
        <v>3168</v>
      </c>
      <c r="K81" s="274" t="s">
        <v>3169</v>
      </c>
      <c r="L81" s="321">
        <v>0</v>
      </c>
      <c r="M81" s="322">
        <v>0</v>
      </c>
      <c r="N81" s="321">
        <v>0</v>
      </c>
      <c r="O81" s="322">
        <v>0</v>
      </c>
      <c r="P81" s="321">
        <v>0</v>
      </c>
      <c r="Q81" s="322">
        <v>0</v>
      </c>
      <c r="R81" s="321"/>
      <c r="S81" s="322"/>
      <c r="T81" s="321"/>
      <c r="U81" s="322"/>
      <c r="V81" s="321">
        <v>0</v>
      </c>
      <c r="W81" s="322">
        <v>0</v>
      </c>
      <c r="X81" s="321">
        <v>0</v>
      </c>
      <c r="Y81" s="322">
        <v>0</v>
      </c>
      <c r="Z81" s="321">
        <v>0</v>
      </c>
      <c r="AA81" s="322">
        <v>0</v>
      </c>
      <c r="AB81" s="321">
        <v>0</v>
      </c>
      <c r="AC81" s="322">
        <v>0</v>
      </c>
      <c r="AD81" s="321">
        <v>0</v>
      </c>
      <c r="AE81" s="322">
        <v>0</v>
      </c>
      <c r="AF81" s="321"/>
      <c r="AG81" s="322"/>
      <c r="AH81" s="321"/>
      <c r="AI81" s="322"/>
      <c r="AJ81" s="321">
        <v>0</v>
      </c>
      <c r="AK81" s="322">
        <v>0</v>
      </c>
      <c r="AL81" s="321">
        <v>0</v>
      </c>
      <c r="AM81" s="322">
        <v>0</v>
      </c>
      <c r="AN81" s="321">
        <v>0</v>
      </c>
      <c r="AO81" s="322">
        <v>0</v>
      </c>
      <c r="AP81" s="321">
        <v>0</v>
      </c>
      <c r="AQ81" s="322">
        <v>0</v>
      </c>
      <c r="AR81" s="321">
        <v>0</v>
      </c>
      <c r="AS81" s="322">
        <v>0</v>
      </c>
      <c r="AT81" s="321"/>
      <c r="AU81" s="322"/>
      <c r="AV81" s="321"/>
      <c r="AW81" s="322"/>
      <c r="AX81" s="321">
        <v>0</v>
      </c>
      <c r="AY81" s="322">
        <v>0</v>
      </c>
      <c r="AZ81" s="321">
        <v>0</v>
      </c>
      <c r="BA81" s="322">
        <v>0</v>
      </c>
      <c r="BB81" s="321">
        <v>0</v>
      </c>
      <c r="BC81" s="322">
        <v>0</v>
      </c>
      <c r="BD81" s="321">
        <v>0</v>
      </c>
      <c r="BE81" s="322">
        <v>0</v>
      </c>
      <c r="BF81" s="321">
        <v>0</v>
      </c>
      <c r="BG81" s="322">
        <v>0</v>
      </c>
      <c r="BH81" s="321"/>
      <c r="BI81" s="322"/>
      <c r="BJ81" s="321"/>
      <c r="BK81" s="322"/>
      <c r="BL81" s="321">
        <v>0</v>
      </c>
      <c r="BM81" s="322">
        <v>0</v>
      </c>
      <c r="BN81" s="321">
        <v>0</v>
      </c>
      <c r="BO81" s="322">
        <v>0</v>
      </c>
      <c r="BP81" s="321">
        <v>0</v>
      </c>
      <c r="BQ81" s="322">
        <v>0</v>
      </c>
      <c r="BR81" s="321">
        <v>0</v>
      </c>
      <c r="BS81" s="322">
        <v>0</v>
      </c>
      <c r="BT81" s="321"/>
      <c r="BU81" s="322"/>
      <c r="BV81" s="264">
        <f>L81+N81+P81+R81+T81+V81+X81+Z81+AB81+AD81+AF81+AH81+AJ81+AL81+AN81+AP81+AR81+AT81+AV81+AX81+AZ81+BB81+BD81+BF81+BH81+BJ81+BL81+BN81+BP81+BR81+BT81</f>
        <v>0</v>
      </c>
      <c r="BW81" s="264">
        <f>M81+O81+Q81+S81+U81+W81+Y81+AA81+AC81+AE81+AG81+AI81+AK81+AM81+AO81+AQ81+AS81+AU81+AW81+AY81+BA81+BC81+BE81+BG81+BI81+BK81+BM81+BO81+BQ81+BS81+BU81</f>
        <v>0</v>
      </c>
    </row>
    <row r="82" spans="1:75" s="62" customFormat="1" ht="21.95" customHeight="1" x14ac:dyDescent="0.2">
      <c r="A82" s="304" t="s">
        <v>3237</v>
      </c>
      <c r="B82" s="305" t="s">
        <v>3238</v>
      </c>
      <c r="C82" s="272" t="s">
        <v>3170</v>
      </c>
      <c r="D82" s="306" t="s">
        <v>3239</v>
      </c>
      <c r="E82" s="307" t="s">
        <v>3240</v>
      </c>
      <c r="F82" s="308" t="s">
        <v>3166</v>
      </c>
      <c r="G82" s="308" t="s">
        <v>3167</v>
      </c>
      <c r="H82" s="309" t="s">
        <v>1491</v>
      </c>
      <c r="I82" s="310" t="s">
        <v>1491</v>
      </c>
      <c r="J82" s="273" t="s">
        <v>3168</v>
      </c>
      <c r="K82" s="273" t="s">
        <v>3171</v>
      </c>
      <c r="L82" s="319">
        <v>0</v>
      </c>
      <c r="M82" s="320">
        <v>0</v>
      </c>
      <c r="N82" s="319">
        <v>0</v>
      </c>
      <c r="O82" s="320">
        <v>0</v>
      </c>
      <c r="P82" s="319">
        <v>0</v>
      </c>
      <c r="Q82" s="320">
        <v>0</v>
      </c>
      <c r="R82" s="319"/>
      <c r="S82" s="320"/>
      <c r="T82" s="319"/>
      <c r="U82" s="320"/>
      <c r="V82" s="319">
        <v>0</v>
      </c>
      <c r="W82" s="320">
        <v>0</v>
      </c>
      <c r="X82" s="319">
        <v>0</v>
      </c>
      <c r="Y82" s="320">
        <v>0</v>
      </c>
      <c r="Z82" s="319">
        <v>0</v>
      </c>
      <c r="AA82" s="320">
        <v>0</v>
      </c>
      <c r="AB82" s="319">
        <v>0</v>
      </c>
      <c r="AC82" s="320">
        <v>0</v>
      </c>
      <c r="AD82" s="319">
        <v>0</v>
      </c>
      <c r="AE82" s="320">
        <v>0</v>
      </c>
      <c r="AF82" s="319"/>
      <c r="AG82" s="320"/>
      <c r="AH82" s="319"/>
      <c r="AI82" s="320"/>
      <c r="AJ82" s="319">
        <v>0</v>
      </c>
      <c r="AK82" s="320">
        <v>0</v>
      </c>
      <c r="AL82" s="319">
        <v>0</v>
      </c>
      <c r="AM82" s="320">
        <v>0</v>
      </c>
      <c r="AN82" s="319">
        <v>0</v>
      </c>
      <c r="AO82" s="320">
        <v>0</v>
      </c>
      <c r="AP82" s="319">
        <v>0</v>
      </c>
      <c r="AQ82" s="320">
        <v>0</v>
      </c>
      <c r="AR82" s="319">
        <v>0</v>
      </c>
      <c r="AS82" s="320">
        <v>0</v>
      </c>
      <c r="AT82" s="319"/>
      <c r="AU82" s="320"/>
      <c r="AV82" s="319"/>
      <c r="AW82" s="320"/>
      <c r="AX82" s="319">
        <v>0</v>
      </c>
      <c r="AY82" s="320">
        <v>0</v>
      </c>
      <c r="AZ82" s="319">
        <v>0</v>
      </c>
      <c r="BA82" s="320">
        <v>0</v>
      </c>
      <c r="BB82" s="319">
        <v>0</v>
      </c>
      <c r="BC82" s="320">
        <v>0</v>
      </c>
      <c r="BD82" s="319">
        <v>0</v>
      </c>
      <c r="BE82" s="320">
        <v>0</v>
      </c>
      <c r="BF82" s="319">
        <v>0</v>
      </c>
      <c r="BG82" s="320">
        <v>0</v>
      </c>
      <c r="BH82" s="319"/>
      <c r="BI82" s="320"/>
      <c r="BJ82" s="319"/>
      <c r="BK82" s="320"/>
      <c r="BL82" s="319">
        <v>0</v>
      </c>
      <c r="BM82" s="320">
        <v>0</v>
      </c>
      <c r="BN82" s="319">
        <v>0</v>
      </c>
      <c r="BO82" s="320">
        <v>0</v>
      </c>
      <c r="BP82" s="319">
        <v>0</v>
      </c>
      <c r="BQ82" s="320">
        <v>0</v>
      </c>
      <c r="BR82" s="319">
        <v>0</v>
      </c>
      <c r="BS82" s="320">
        <v>0</v>
      </c>
      <c r="BT82" s="319"/>
      <c r="BU82" s="320"/>
      <c r="BV82" s="264">
        <f t="shared" ref="BV82:BV85" si="33">L82+N82+P82+R82+T82+V82+X82+Z82+AB82+AD82+AF82+AH82+AJ82+AL82+AN82+AP82+AR82+AT82+AV82+AX82+AZ82+BB82+BD82+BF82+BH82+BJ82+BL82+BN82+BP82+BR82+BT82</f>
        <v>0</v>
      </c>
      <c r="BW82" s="264">
        <f t="shared" ref="BW82:BW85" si="34">M82+O82+Q82+S82+U82+W82+Y82+AA82+AC82+AE82+AG82+AI82+AK82+AM82+AO82+AQ82+AS82+AU82+AW82+AY82+BA82+BC82+BE82+BG82+BI82+BK82+BM82+BO82+BQ82+BS82+BU82</f>
        <v>0</v>
      </c>
    </row>
    <row r="83" spans="1:75" s="62" customFormat="1" ht="21.95" customHeight="1" x14ac:dyDescent="0.2">
      <c r="A83" s="304" t="s">
        <v>3237</v>
      </c>
      <c r="B83" s="305" t="s">
        <v>3238</v>
      </c>
      <c r="C83" s="311" t="s">
        <v>3170</v>
      </c>
      <c r="D83" s="306" t="s">
        <v>3239</v>
      </c>
      <c r="E83" s="307" t="s">
        <v>3240</v>
      </c>
      <c r="F83" s="308" t="s">
        <v>3166</v>
      </c>
      <c r="G83" s="308" t="s">
        <v>3167</v>
      </c>
      <c r="H83" s="309" t="s">
        <v>1491</v>
      </c>
      <c r="I83" s="310" t="s">
        <v>1491</v>
      </c>
      <c r="J83" s="273" t="s">
        <v>3168</v>
      </c>
      <c r="K83" s="275" t="s">
        <v>3172</v>
      </c>
      <c r="L83" s="319">
        <v>0</v>
      </c>
      <c r="M83" s="320">
        <v>0</v>
      </c>
      <c r="N83" s="319">
        <v>0</v>
      </c>
      <c r="O83" s="320">
        <v>0</v>
      </c>
      <c r="P83" s="319">
        <v>0</v>
      </c>
      <c r="Q83" s="320">
        <v>0</v>
      </c>
      <c r="R83" s="319"/>
      <c r="S83" s="320"/>
      <c r="T83" s="319"/>
      <c r="U83" s="320"/>
      <c r="V83" s="319">
        <v>0</v>
      </c>
      <c r="W83" s="320">
        <v>0</v>
      </c>
      <c r="X83" s="319">
        <v>0</v>
      </c>
      <c r="Y83" s="320">
        <v>0</v>
      </c>
      <c r="Z83" s="319">
        <v>0</v>
      </c>
      <c r="AA83" s="320">
        <v>0</v>
      </c>
      <c r="AB83" s="319">
        <v>0</v>
      </c>
      <c r="AC83" s="320">
        <v>0</v>
      </c>
      <c r="AD83" s="319">
        <v>0</v>
      </c>
      <c r="AE83" s="320">
        <v>0</v>
      </c>
      <c r="AF83" s="319"/>
      <c r="AG83" s="320"/>
      <c r="AH83" s="319"/>
      <c r="AI83" s="320"/>
      <c r="AJ83" s="319">
        <v>0</v>
      </c>
      <c r="AK83" s="320">
        <v>0</v>
      </c>
      <c r="AL83" s="319">
        <v>0</v>
      </c>
      <c r="AM83" s="320">
        <v>0</v>
      </c>
      <c r="AN83" s="319">
        <v>0</v>
      </c>
      <c r="AO83" s="320">
        <v>0</v>
      </c>
      <c r="AP83" s="319">
        <v>0</v>
      </c>
      <c r="AQ83" s="320">
        <v>0</v>
      </c>
      <c r="AR83" s="319">
        <v>0</v>
      </c>
      <c r="AS83" s="320">
        <v>0</v>
      </c>
      <c r="AT83" s="319"/>
      <c r="AU83" s="320"/>
      <c r="AV83" s="319"/>
      <c r="AW83" s="320"/>
      <c r="AX83" s="319">
        <v>0</v>
      </c>
      <c r="AY83" s="320">
        <v>0</v>
      </c>
      <c r="AZ83" s="319">
        <v>0</v>
      </c>
      <c r="BA83" s="320">
        <v>0</v>
      </c>
      <c r="BB83" s="319">
        <v>0</v>
      </c>
      <c r="BC83" s="320">
        <v>0</v>
      </c>
      <c r="BD83" s="319">
        <v>0</v>
      </c>
      <c r="BE83" s="320">
        <v>0</v>
      </c>
      <c r="BF83" s="319">
        <v>0</v>
      </c>
      <c r="BG83" s="320">
        <v>0</v>
      </c>
      <c r="BH83" s="319"/>
      <c r="BI83" s="320"/>
      <c r="BJ83" s="319"/>
      <c r="BK83" s="320"/>
      <c r="BL83" s="319">
        <v>0</v>
      </c>
      <c r="BM83" s="320">
        <v>0</v>
      </c>
      <c r="BN83" s="319">
        <v>0</v>
      </c>
      <c r="BO83" s="320">
        <v>0</v>
      </c>
      <c r="BP83" s="319">
        <v>0</v>
      </c>
      <c r="BQ83" s="320">
        <v>0</v>
      </c>
      <c r="BR83" s="319">
        <v>0</v>
      </c>
      <c r="BS83" s="320">
        <v>0</v>
      </c>
      <c r="BT83" s="319"/>
      <c r="BU83" s="320"/>
      <c r="BV83" s="264">
        <f t="shared" si="33"/>
        <v>0</v>
      </c>
      <c r="BW83" s="264">
        <f t="shared" si="34"/>
        <v>0</v>
      </c>
    </row>
    <row r="84" spans="1:75" s="62" customFormat="1" ht="21.95" customHeight="1" x14ac:dyDescent="0.2">
      <c r="A84" s="304" t="s">
        <v>3237</v>
      </c>
      <c r="B84" s="305" t="s">
        <v>3238</v>
      </c>
      <c r="C84" s="311" t="s">
        <v>3170</v>
      </c>
      <c r="D84" s="306" t="s">
        <v>3239</v>
      </c>
      <c r="E84" s="307" t="s">
        <v>3240</v>
      </c>
      <c r="F84" s="308" t="s">
        <v>3166</v>
      </c>
      <c r="G84" s="308" t="s">
        <v>3167</v>
      </c>
      <c r="H84" s="309" t="s">
        <v>1491</v>
      </c>
      <c r="I84" s="310" t="s">
        <v>1491</v>
      </c>
      <c r="J84" s="273" t="s">
        <v>3168</v>
      </c>
      <c r="K84" s="276" t="s">
        <v>3173</v>
      </c>
      <c r="L84" s="319">
        <v>0</v>
      </c>
      <c r="M84" s="320">
        <v>0</v>
      </c>
      <c r="N84" s="319">
        <v>0</v>
      </c>
      <c r="O84" s="320">
        <v>0</v>
      </c>
      <c r="P84" s="319">
        <v>0</v>
      </c>
      <c r="Q84" s="320">
        <v>0</v>
      </c>
      <c r="R84" s="319"/>
      <c r="S84" s="320"/>
      <c r="T84" s="319"/>
      <c r="U84" s="320"/>
      <c r="V84" s="319">
        <v>0</v>
      </c>
      <c r="W84" s="320">
        <v>0</v>
      </c>
      <c r="X84" s="319">
        <v>0</v>
      </c>
      <c r="Y84" s="320">
        <v>0</v>
      </c>
      <c r="Z84" s="319">
        <v>0</v>
      </c>
      <c r="AA84" s="320">
        <v>0</v>
      </c>
      <c r="AB84" s="319">
        <v>0</v>
      </c>
      <c r="AC84" s="320">
        <v>0</v>
      </c>
      <c r="AD84" s="319">
        <v>0</v>
      </c>
      <c r="AE84" s="320">
        <v>0</v>
      </c>
      <c r="AF84" s="319"/>
      <c r="AG84" s="320"/>
      <c r="AH84" s="319"/>
      <c r="AI84" s="320"/>
      <c r="AJ84" s="319">
        <v>0</v>
      </c>
      <c r="AK84" s="320">
        <v>0</v>
      </c>
      <c r="AL84" s="319">
        <v>0</v>
      </c>
      <c r="AM84" s="320">
        <v>0</v>
      </c>
      <c r="AN84" s="319">
        <v>0</v>
      </c>
      <c r="AO84" s="320">
        <v>0</v>
      </c>
      <c r="AP84" s="319">
        <v>0</v>
      </c>
      <c r="AQ84" s="320">
        <v>0</v>
      </c>
      <c r="AR84" s="319">
        <v>0</v>
      </c>
      <c r="AS84" s="320">
        <v>0</v>
      </c>
      <c r="AT84" s="319"/>
      <c r="AU84" s="320"/>
      <c r="AV84" s="319"/>
      <c r="AW84" s="320"/>
      <c r="AX84" s="319">
        <v>0</v>
      </c>
      <c r="AY84" s="320">
        <v>0</v>
      </c>
      <c r="AZ84" s="319">
        <v>0</v>
      </c>
      <c r="BA84" s="320">
        <v>0</v>
      </c>
      <c r="BB84" s="319">
        <v>0</v>
      </c>
      <c r="BC84" s="320">
        <v>0</v>
      </c>
      <c r="BD84" s="319">
        <v>0</v>
      </c>
      <c r="BE84" s="320">
        <v>0</v>
      </c>
      <c r="BF84" s="319">
        <v>0</v>
      </c>
      <c r="BG84" s="320">
        <v>0</v>
      </c>
      <c r="BH84" s="319"/>
      <c r="BI84" s="320"/>
      <c r="BJ84" s="319"/>
      <c r="BK84" s="320"/>
      <c r="BL84" s="319">
        <v>0</v>
      </c>
      <c r="BM84" s="320">
        <v>0</v>
      </c>
      <c r="BN84" s="319">
        <v>0</v>
      </c>
      <c r="BO84" s="320">
        <v>0</v>
      </c>
      <c r="BP84" s="319">
        <v>0</v>
      </c>
      <c r="BQ84" s="320">
        <v>0</v>
      </c>
      <c r="BR84" s="319">
        <v>0</v>
      </c>
      <c r="BS84" s="320">
        <v>0</v>
      </c>
      <c r="BT84" s="319"/>
      <c r="BU84" s="320"/>
      <c r="BV84" s="264">
        <f t="shared" si="33"/>
        <v>0</v>
      </c>
      <c r="BW84" s="264">
        <f t="shared" si="34"/>
        <v>0</v>
      </c>
    </row>
    <row r="85" spans="1:75" s="62" customFormat="1" ht="21.95" customHeight="1" thickBot="1" x14ac:dyDescent="0.25">
      <c r="A85" s="567" t="s">
        <v>3237</v>
      </c>
      <c r="B85" s="312" t="s">
        <v>3238</v>
      </c>
      <c r="C85" s="313" t="s">
        <v>3170</v>
      </c>
      <c r="D85" s="314" t="s">
        <v>3239</v>
      </c>
      <c r="E85" s="330" t="s">
        <v>3240</v>
      </c>
      <c r="F85" s="315" t="s">
        <v>3166</v>
      </c>
      <c r="G85" s="315" t="s">
        <v>3167</v>
      </c>
      <c r="H85" s="316" t="s">
        <v>1491</v>
      </c>
      <c r="I85" s="568" t="s">
        <v>1491</v>
      </c>
      <c r="J85" s="273" t="s">
        <v>3168</v>
      </c>
      <c r="K85" s="277" t="s">
        <v>53</v>
      </c>
      <c r="L85" s="321">
        <v>0</v>
      </c>
      <c r="M85" s="322">
        <v>0</v>
      </c>
      <c r="N85" s="321">
        <v>0</v>
      </c>
      <c r="O85" s="322">
        <v>0</v>
      </c>
      <c r="P85" s="321">
        <v>0</v>
      </c>
      <c r="Q85" s="322">
        <v>0</v>
      </c>
      <c r="R85" s="321"/>
      <c r="S85" s="322"/>
      <c r="T85" s="321"/>
      <c r="U85" s="322"/>
      <c r="V85" s="321">
        <v>0</v>
      </c>
      <c r="W85" s="322">
        <v>0</v>
      </c>
      <c r="X85" s="321">
        <v>0</v>
      </c>
      <c r="Y85" s="322">
        <v>0</v>
      </c>
      <c r="Z85" s="321">
        <v>0</v>
      </c>
      <c r="AA85" s="322">
        <v>0</v>
      </c>
      <c r="AB85" s="321">
        <v>0</v>
      </c>
      <c r="AC85" s="322">
        <v>0</v>
      </c>
      <c r="AD85" s="321">
        <v>0</v>
      </c>
      <c r="AE85" s="322">
        <v>0</v>
      </c>
      <c r="AF85" s="321"/>
      <c r="AG85" s="322"/>
      <c r="AH85" s="321"/>
      <c r="AI85" s="322"/>
      <c r="AJ85" s="321">
        <v>0</v>
      </c>
      <c r="AK85" s="322">
        <v>0</v>
      </c>
      <c r="AL85" s="321">
        <v>0</v>
      </c>
      <c r="AM85" s="322">
        <v>0</v>
      </c>
      <c r="AN85" s="321">
        <v>0</v>
      </c>
      <c r="AO85" s="322">
        <v>0</v>
      </c>
      <c r="AP85" s="321">
        <v>0</v>
      </c>
      <c r="AQ85" s="322">
        <v>0</v>
      </c>
      <c r="AR85" s="321">
        <v>0</v>
      </c>
      <c r="AS85" s="322">
        <v>0</v>
      </c>
      <c r="AT85" s="321"/>
      <c r="AU85" s="322"/>
      <c r="AV85" s="321"/>
      <c r="AW85" s="322"/>
      <c r="AX85" s="321">
        <v>0</v>
      </c>
      <c r="AY85" s="322">
        <v>0</v>
      </c>
      <c r="AZ85" s="321">
        <v>0</v>
      </c>
      <c r="BA85" s="322">
        <v>0</v>
      </c>
      <c r="BB85" s="321">
        <v>0</v>
      </c>
      <c r="BC85" s="322">
        <v>0</v>
      </c>
      <c r="BD85" s="321">
        <v>0</v>
      </c>
      <c r="BE85" s="322">
        <v>0</v>
      </c>
      <c r="BF85" s="321">
        <v>0</v>
      </c>
      <c r="BG85" s="322">
        <v>0</v>
      </c>
      <c r="BH85" s="321"/>
      <c r="BI85" s="322"/>
      <c r="BJ85" s="321"/>
      <c r="BK85" s="322"/>
      <c r="BL85" s="321">
        <v>0</v>
      </c>
      <c r="BM85" s="322">
        <v>0</v>
      </c>
      <c r="BN85" s="321">
        <v>0</v>
      </c>
      <c r="BO85" s="322">
        <v>0</v>
      </c>
      <c r="BP85" s="321">
        <v>0</v>
      </c>
      <c r="BQ85" s="322">
        <v>0</v>
      </c>
      <c r="BR85" s="321">
        <v>0</v>
      </c>
      <c r="BS85" s="322">
        <v>0</v>
      </c>
      <c r="BT85" s="321"/>
      <c r="BU85" s="322"/>
      <c r="BV85" s="264">
        <f t="shared" si="33"/>
        <v>0</v>
      </c>
      <c r="BW85" s="264">
        <f t="shared" si="34"/>
        <v>0</v>
      </c>
    </row>
    <row r="86" spans="1:75" s="62" customFormat="1" ht="21.95" customHeight="1" x14ac:dyDescent="0.25">
      <c r="A86" s="344" t="s">
        <v>3241</v>
      </c>
      <c r="B86" s="433" t="s">
        <v>3242</v>
      </c>
      <c r="C86" s="434">
        <v>2</v>
      </c>
      <c r="D86" s="435" t="s">
        <v>3243</v>
      </c>
      <c r="E86" s="345" t="s">
        <v>3244</v>
      </c>
      <c r="F86" s="436" t="s">
        <v>3166</v>
      </c>
      <c r="G86" s="436" t="s">
        <v>3167</v>
      </c>
      <c r="H86" s="437" t="s">
        <v>1492</v>
      </c>
      <c r="I86" s="303" t="s">
        <v>1492</v>
      </c>
      <c r="J86" s="273" t="s">
        <v>3174</v>
      </c>
      <c r="K86" s="274" t="s">
        <v>3169</v>
      </c>
      <c r="L86" s="321">
        <v>0</v>
      </c>
      <c r="M86" s="322">
        <v>0</v>
      </c>
      <c r="N86" s="321">
        <v>0</v>
      </c>
      <c r="O86" s="322">
        <v>0</v>
      </c>
      <c r="P86" s="321">
        <v>0</v>
      </c>
      <c r="Q86" s="322">
        <v>0</v>
      </c>
      <c r="R86" s="321"/>
      <c r="S86" s="322"/>
      <c r="T86" s="321"/>
      <c r="U86" s="322"/>
      <c r="V86" s="321">
        <v>0</v>
      </c>
      <c r="W86" s="322">
        <v>0</v>
      </c>
      <c r="X86" s="321">
        <v>0</v>
      </c>
      <c r="Y86" s="322">
        <v>0</v>
      </c>
      <c r="Z86" s="321">
        <v>0</v>
      </c>
      <c r="AA86" s="322">
        <v>0</v>
      </c>
      <c r="AB86" s="321">
        <v>0</v>
      </c>
      <c r="AC86" s="322">
        <v>0</v>
      </c>
      <c r="AD86" s="321">
        <v>0</v>
      </c>
      <c r="AE86" s="322">
        <v>0</v>
      </c>
      <c r="AF86" s="321"/>
      <c r="AG86" s="322"/>
      <c r="AH86" s="321"/>
      <c r="AI86" s="322"/>
      <c r="AJ86" s="321">
        <v>0</v>
      </c>
      <c r="AK86" s="322">
        <v>0</v>
      </c>
      <c r="AL86" s="321">
        <v>0</v>
      </c>
      <c r="AM86" s="322">
        <v>0</v>
      </c>
      <c r="AN86" s="321">
        <v>0</v>
      </c>
      <c r="AO86" s="322">
        <v>0</v>
      </c>
      <c r="AP86" s="321">
        <v>0</v>
      </c>
      <c r="AQ86" s="322">
        <v>0</v>
      </c>
      <c r="AR86" s="321">
        <v>0</v>
      </c>
      <c r="AS86" s="322">
        <v>0</v>
      </c>
      <c r="AT86" s="321"/>
      <c r="AU86" s="322"/>
      <c r="AV86" s="321"/>
      <c r="AW86" s="322"/>
      <c r="AX86" s="321">
        <v>0</v>
      </c>
      <c r="AY86" s="322">
        <v>0</v>
      </c>
      <c r="AZ86" s="321">
        <v>0</v>
      </c>
      <c r="BA86" s="322">
        <v>0</v>
      </c>
      <c r="BB86" s="321">
        <v>0</v>
      </c>
      <c r="BC86" s="322">
        <v>0</v>
      </c>
      <c r="BD86" s="321">
        <v>0</v>
      </c>
      <c r="BE86" s="322">
        <v>0</v>
      </c>
      <c r="BF86" s="321">
        <v>0</v>
      </c>
      <c r="BG86" s="322">
        <v>0</v>
      </c>
      <c r="BH86" s="321"/>
      <c r="BI86" s="322"/>
      <c r="BJ86" s="321"/>
      <c r="BK86" s="322"/>
      <c r="BL86" s="321">
        <v>0</v>
      </c>
      <c r="BM86" s="322">
        <v>0</v>
      </c>
      <c r="BN86" s="321">
        <v>0</v>
      </c>
      <c r="BO86" s="322">
        <v>0</v>
      </c>
      <c r="BP86" s="321">
        <v>0</v>
      </c>
      <c r="BQ86" s="322">
        <v>0</v>
      </c>
      <c r="BR86" s="321">
        <v>0</v>
      </c>
      <c r="BS86" s="322">
        <v>0</v>
      </c>
      <c r="BT86" s="321"/>
      <c r="BU86" s="322"/>
      <c r="BV86" s="264">
        <f>L86+N86+P86+R86+T86+V86+X86+Z86+AB86+AD86+AF86+AH86+AJ86+AL86+AN86+AP86+AR86+AT86+AV86+AX86+AZ86+BB86+BD86+BF86+BH86+BJ86+BL86+BN86+BP86+BR86+BT86</f>
        <v>0</v>
      </c>
      <c r="BW86" s="264">
        <f>M86+O86+Q86+S86+U86+W86+Y86+AA86+AC86+AE86+AG86+AI86+AK86+AM86+AO86+AQ86+AS86+AU86+AW86+AY86+BA86+BC86+BE86+BG86+BI86+BK86+BM86+BO86+BQ86+BS86+BU86</f>
        <v>0</v>
      </c>
    </row>
    <row r="87" spans="1:75" s="62" customFormat="1" ht="21.95" customHeight="1" x14ac:dyDescent="0.2">
      <c r="A87" s="304" t="s">
        <v>3241</v>
      </c>
      <c r="B87" s="305" t="s">
        <v>3242</v>
      </c>
      <c r="C87" s="272" t="s">
        <v>3170</v>
      </c>
      <c r="D87" s="306" t="s">
        <v>3243</v>
      </c>
      <c r="E87" s="307" t="s">
        <v>3244</v>
      </c>
      <c r="F87" s="308" t="s">
        <v>3166</v>
      </c>
      <c r="G87" s="308" t="s">
        <v>3167</v>
      </c>
      <c r="H87" s="309" t="s">
        <v>1492</v>
      </c>
      <c r="I87" s="310" t="s">
        <v>1492</v>
      </c>
      <c r="J87" s="273" t="s">
        <v>3174</v>
      </c>
      <c r="K87" s="273" t="s">
        <v>3171</v>
      </c>
      <c r="L87" s="319">
        <v>0</v>
      </c>
      <c r="M87" s="320">
        <v>0</v>
      </c>
      <c r="N87" s="319">
        <v>0</v>
      </c>
      <c r="O87" s="320">
        <v>0</v>
      </c>
      <c r="P87" s="319">
        <v>0</v>
      </c>
      <c r="Q87" s="320">
        <v>0</v>
      </c>
      <c r="R87" s="319"/>
      <c r="S87" s="320"/>
      <c r="T87" s="319"/>
      <c r="U87" s="320"/>
      <c r="V87" s="319">
        <v>2</v>
      </c>
      <c r="W87" s="320">
        <v>0</v>
      </c>
      <c r="X87" s="319">
        <v>0</v>
      </c>
      <c r="Y87" s="320">
        <v>0</v>
      </c>
      <c r="Z87" s="319">
        <v>0</v>
      </c>
      <c r="AA87" s="320">
        <v>0</v>
      </c>
      <c r="AB87" s="319">
        <v>0</v>
      </c>
      <c r="AC87" s="320">
        <v>0</v>
      </c>
      <c r="AD87" s="319">
        <v>0</v>
      </c>
      <c r="AE87" s="320">
        <v>0</v>
      </c>
      <c r="AF87" s="319"/>
      <c r="AG87" s="320"/>
      <c r="AH87" s="319"/>
      <c r="AI87" s="320"/>
      <c r="AJ87" s="319">
        <v>2</v>
      </c>
      <c r="AK87" s="320">
        <v>0</v>
      </c>
      <c r="AL87" s="319">
        <v>0</v>
      </c>
      <c r="AM87" s="320">
        <v>0</v>
      </c>
      <c r="AN87" s="319">
        <v>0</v>
      </c>
      <c r="AO87" s="320">
        <v>0</v>
      </c>
      <c r="AP87" s="319">
        <v>0</v>
      </c>
      <c r="AQ87" s="320">
        <v>0</v>
      </c>
      <c r="AR87" s="319">
        <v>0</v>
      </c>
      <c r="AS87" s="320">
        <v>0</v>
      </c>
      <c r="AT87" s="319"/>
      <c r="AU87" s="320"/>
      <c r="AV87" s="319"/>
      <c r="AW87" s="320"/>
      <c r="AX87" s="319">
        <v>2</v>
      </c>
      <c r="AY87" s="320">
        <v>0</v>
      </c>
      <c r="AZ87" s="319">
        <v>0</v>
      </c>
      <c r="BA87" s="320">
        <v>0</v>
      </c>
      <c r="BB87" s="319">
        <v>0</v>
      </c>
      <c r="BC87" s="320">
        <v>0</v>
      </c>
      <c r="BD87" s="319">
        <v>0</v>
      </c>
      <c r="BE87" s="320">
        <v>0</v>
      </c>
      <c r="BF87" s="319">
        <v>0</v>
      </c>
      <c r="BG87" s="320">
        <v>0</v>
      </c>
      <c r="BH87" s="319"/>
      <c r="BI87" s="320"/>
      <c r="BJ87" s="319"/>
      <c r="BK87" s="320"/>
      <c r="BL87" s="319">
        <v>2</v>
      </c>
      <c r="BM87" s="320">
        <v>0</v>
      </c>
      <c r="BN87" s="319">
        <v>0</v>
      </c>
      <c r="BO87" s="320">
        <v>0</v>
      </c>
      <c r="BP87" s="319">
        <v>0</v>
      </c>
      <c r="BQ87" s="320">
        <v>0</v>
      </c>
      <c r="BR87" s="319">
        <v>0</v>
      </c>
      <c r="BS87" s="320">
        <v>0</v>
      </c>
      <c r="BT87" s="319"/>
      <c r="BU87" s="320"/>
      <c r="BV87" s="264">
        <f t="shared" ref="BV87:BV90" si="35">L87+N87+P87+R87+T87+V87+X87+Z87+AB87+AD87+AF87+AH87+AJ87+AL87+AN87+AP87+AR87+AT87+AV87+AX87+AZ87+BB87+BD87+BF87+BH87+BJ87+BL87+BN87+BP87+BR87+BT87</f>
        <v>8</v>
      </c>
      <c r="BW87" s="264">
        <f t="shared" ref="BW87:BW90" si="36">M87+O87+Q87+S87+U87+W87+Y87+AA87+AC87+AE87+AG87+AI87+AK87+AM87+AO87+AQ87+AS87+AU87+AW87+AY87+BA87+BC87+BE87+BG87+BI87+BK87+BM87+BO87+BQ87+BS87+BU87</f>
        <v>0</v>
      </c>
    </row>
    <row r="88" spans="1:75" s="62" customFormat="1" ht="21.95" customHeight="1" x14ac:dyDescent="0.2">
      <c r="A88" s="304" t="s">
        <v>3241</v>
      </c>
      <c r="B88" s="305" t="s">
        <v>3242</v>
      </c>
      <c r="C88" s="311" t="s">
        <v>3170</v>
      </c>
      <c r="D88" s="306" t="s">
        <v>3243</v>
      </c>
      <c r="E88" s="307" t="s">
        <v>3244</v>
      </c>
      <c r="F88" s="308" t="s">
        <v>3166</v>
      </c>
      <c r="G88" s="308" t="s">
        <v>3167</v>
      </c>
      <c r="H88" s="309" t="s">
        <v>1492</v>
      </c>
      <c r="I88" s="310" t="s">
        <v>1492</v>
      </c>
      <c r="J88" s="273" t="s">
        <v>3174</v>
      </c>
      <c r="K88" s="275" t="s">
        <v>3172</v>
      </c>
      <c r="L88" s="319">
        <v>0</v>
      </c>
      <c r="M88" s="320">
        <v>0</v>
      </c>
      <c r="N88" s="319">
        <v>0</v>
      </c>
      <c r="O88" s="320">
        <v>0</v>
      </c>
      <c r="P88" s="319">
        <v>0</v>
      </c>
      <c r="Q88" s="320">
        <v>0</v>
      </c>
      <c r="R88" s="319"/>
      <c r="S88" s="320"/>
      <c r="T88" s="319"/>
      <c r="U88" s="320"/>
      <c r="V88" s="319">
        <v>0</v>
      </c>
      <c r="W88" s="320">
        <v>0</v>
      </c>
      <c r="X88" s="319">
        <v>0</v>
      </c>
      <c r="Y88" s="320">
        <v>0</v>
      </c>
      <c r="Z88" s="319">
        <v>0</v>
      </c>
      <c r="AA88" s="320">
        <v>0</v>
      </c>
      <c r="AB88" s="319">
        <v>0</v>
      </c>
      <c r="AC88" s="320">
        <v>0</v>
      </c>
      <c r="AD88" s="319">
        <v>0</v>
      </c>
      <c r="AE88" s="320">
        <v>0</v>
      </c>
      <c r="AF88" s="319"/>
      <c r="AG88" s="320"/>
      <c r="AH88" s="319"/>
      <c r="AI88" s="320"/>
      <c r="AJ88" s="319">
        <v>0</v>
      </c>
      <c r="AK88" s="320">
        <v>0</v>
      </c>
      <c r="AL88" s="319">
        <v>0</v>
      </c>
      <c r="AM88" s="320">
        <v>0</v>
      </c>
      <c r="AN88" s="319">
        <v>0</v>
      </c>
      <c r="AO88" s="320">
        <v>0</v>
      </c>
      <c r="AP88" s="319">
        <v>0</v>
      </c>
      <c r="AQ88" s="320">
        <v>0</v>
      </c>
      <c r="AR88" s="319">
        <v>0</v>
      </c>
      <c r="AS88" s="320">
        <v>0</v>
      </c>
      <c r="AT88" s="319"/>
      <c r="AU88" s="320"/>
      <c r="AV88" s="319"/>
      <c r="AW88" s="320"/>
      <c r="AX88" s="319">
        <v>0</v>
      </c>
      <c r="AY88" s="320">
        <v>0</v>
      </c>
      <c r="AZ88" s="319">
        <v>0</v>
      </c>
      <c r="BA88" s="320">
        <v>0</v>
      </c>
      <c r="BB88" s="319">
        <v>0</v>
      </c>
      <c r="BC88" s="320">
        <v>0</v>
      </c>
      <c r="BD88" s="319">
        <v>0</v>
      </c>
      <c r="BE88" s="320">
        <v>0</v>
      </c>
      <c r="BF88" s="319">
        <v>0</v>
      </c>
      <c r="BG88" s="320">
        <v>0</v>
      </c>
      <c r="BH88" s="319"/>
      <c r="BI88" s="320"/>
      <c r="BJ88" s="319"/>
      <c r="BK88" s="320"/>
      <c r="BL88" s="319">
        <v>0</v>
      </c>
      <c r="BM88" s="320">
        <v>0</v>
      </c>
      <c r="BN88" s="319">
        <v>0</v>
      </c>
      <c r="BO88" s="320">
        <v>0</v>
      </c>
      <c r="BP88" s="319">
        <v>0</v>
      </c>
      <c r="BQ88" s="320">
        <v>0</v>
      </c>
      <c r="BR88" s="319">
        <v>0</v>
      </c>
      <c r="BS88" s="320">
        <v>0</v>
      </c>
      <c r="BT88" s="319"/>
      <c r="BU88" s="320"/>
      <c r="BV88" s="264">
        <f t="shared" si="35"/>
        <v>0</v>
      </c>
      <c r="BW88" s="264">
        <f t="shared" si="36"/>
        <v>0</v>
      </c>
    </row>
    <row r="89" spans="1:75" s="62" customFormat="1" ht="21.95" customHeight="1" x14ac:dyDescent="0.2">
      <c r="A89" s="304" t="s">
        <v>3241</v>
      </c>
      <c r="B89" s="305" t="s">
        <v>3242</v>
      </c>
      <c r="C89" s="311" t="s">
        <v>3170</v>
      </c>
      <c r="D89" s="306" t="s">
        <v>3243</v>
      </c>
      <c r="E89" s="307" t="s">
        <v>3244</v>
      </c>
      <c r="F89" s="308" t="s">
        <v>3166</v>
      </c>
      <c r="G89" s="308" t="s">
        <v>3167</v>
      </c>
      <c r="H89" s="309" t="s">
        <v>1492</v>
      </c>
      <c r="I89" s="310" t="s">
        <v>1492</v>
      </c>
      <c r="J89" s="273" t="s">
        <v>3174</v>
      </c>
      <c r="K89" s="276" t="s">
        <v>3173</v>
      </c>
      <c r="L89" s="319">
        <v>0</v>
      </c>
      <c r="M89" s="320">
        <v>0</v>
      </c>
      <c r="N89" s="319">
        <v>0</v>
      </c>
      <c r="O89" s="320">
        <v>0</v>
      </c>
      <c r="P89" s="319">
        <v>0</v>
      </c>
      <c r="Q89" s="320">
        <v>0</v>
      </c>
      <c r="R89" s="319"/>
      <c r="S89" s="320"/>
      <c r="T89" s="319"/>
      <c r="U89" s="320"/>
      <c r="V89" s="319">
        <v>0</v>
      </c>
      <c r="W89" s="320">
        <v>0</v>
      </c>
      <c r="X89" s="319">
        <v>0</v>
      </c>
      <c r="Y89" s="320">
        <v>0</v>
      </c>
      <c r="Z89" s="319">
        <v>0</v>
      </c>
      <c r="AA89" s="320">
        <v>0</v>
      </c>
      <c r="AB89" s="319">
        <v>0</v>
      </c>
      <c r="AC89" s="320">
        <v>0</v>
      </c>
      <c r="AD89" s="319">
        <v>0</v>
      </c>
      <c r="AE89" s="320">
        <v>0</v>
      </c>
      <c r="AF89" s="319"/>
      <c r="AG89" s="320"/>
      <c r="AH89" s="319"/>
      <c r="AI89" s="320"/>
      <c r="AJ89" s="319">
        <v>0</v>
      </c>
      <c r="AK89" s="320">
        <v>0</v>
      </c>
      <c r="AL89" s="319">
        <v>0</v>
      </c>
      <c r="AM89" s="320">
        <v>0</v>
      </c>
      <c r="AN89" s="319">
        <v>0</v>
      </c>
      <c r="AO89" s="320">
        <v>0</v>
      </c>
      <c r="AP89" s="319">
        <v>0</v>
      </c>
      <c r="AQ89" s="320">
        <v>0</v>
      </c>
      <c r="AR89" s="319">
        <v>0</v>
      </c>
      <c r="AS89" s="320">
        <v>0</v>
      </c>
      <c r="AT89" s="319"/>
      <c r="AU89" s="320"/>
      <c r="AV89" s="319"/>
      <c r="AW89" s="320"/>
      <c r="AX89" s="319">
        <v>0</v>
      </c>
      <c r="AY89" s="320">
        <v>0</v>
      </c>
      <c r="AZ89" s="319">
        <v>0</v>
      </c>
      <c r="BA89" s="320">
        <v>0</v>
      </c>
      <c r="BB89" s="319">
        <v>0</v>
      </c>
      <c r="BC89" s="320">
        <v>0</v>
      </c>
      <c r="BD89" s="319">
        <v>0</v>
      </c>
      <c r="BE89" s="320">
        <v>0</v>
      </c>
      <c r="BF89" s="319">
        <v>0</v>
      </c>
      <c r="BG89" s="320">
        <v>0</v>
      </c>
      <c r="BH89" s="319"/>
      <c r="BI89" s="320"/>
      <c r="BJ89" s="319"/>
      <c r="BK89" s="320"/>
      <c r="BL89" s="319">
        <v>0</v>
      </c>
      <c r="BM89" s="320">
        <v>0</v>
      </c>
      <c r="BN89" s="319">
        <v>0</v>
      </c>
      <c r="BO89" s="320">
        <v>0</v>
      </c>
      <c r="BP89" s="319">
        <v>0</v>
      </c>
      <c r="BQ89" s="320">
        <v>0</v>
      </c>
      <c r="BR89" s="319">
        <v>0</v>
      </c>
      <c r="BS89" s="320">
        <v>0</v>
      </c>
      <c r="BT89" s="319"/>
      <c r="BU89" s="320"/>
      <c r="BV89" s="264">
        <f t="shared" si="35"/>
        <v>0</v>
      </c>
      <c r="BW89" s="264">
        <f t="shared" si="36"/>
        <v>0</v>
      </c>
    </row>
    <row r="90" spans="1:75" s="62" customFormat="1" ht="21.95" customHeight="1" thickBot="1" x14ac:dyDescent="0.25">
      <c r="A90" s="567" t="s">
        <v>3241</v>
      </c>
      <c r="B90" s="312" t="s">
        <v>3242</v>
      </c>
      <c r="C90" s="313" t="s">
        <v>3170</v>
      </c>
      <c r="D90" s="314" t="s">
        <v>3243</v>
      </c>
      <c r="E90" s="330" t="s">
        <v>3244</v>
      </c>
      <c r="F90" s="315" t="s">
        <v>3166</v>
      </c>
      <c r="G90" s="315" t="s">
        <v>3167</v>
      </c>
      <c r="H90" s="316" t="s">
        <v>1492</v>
      </c>
      <c r="I90" s="568" t="s">
        <v>1492</v>
      </c>
      <c r="J90" s="273" t="s">
        <v>3174</v>
      </c>
      <c r="K90" s="277" t="s">
        <v>53</v>
      </c>
      <c r="L90" s="321">
        <v>0</v>
      </c>
      <c r="M90" s="322">
        <v>0</v>
      </c>
      <c r="N90" s="321">
        <v>0</v>
      </c>
      <c r="O90" s="322">
        <v>0</v>
      </c>
      <c r="P90" s="321">
        <v>0</v>
      </c>
      <c r="Q90" s="322">
        <v>0</v>
      </c>
      <c r="R90" s="321"/>
      <c r="S90" s="322"/>
      <c r="T90" s="321"/>
      <c r="U90" s="322"/>
      <c r="V90" s="321">
        <v>0</v>
      </c>
      <c r="W90" s="322">
        <v>0</v>
      </c>
      <c r="X90" s="321">
        <v>0</v>
      </c>
      <c r="Y90" s="322">
        <v>0</v>
      </c>
      <c r="Z90" s="321">
        <v>0</v>
      </c>
      <c r="AA90" s="322">
        <v>0</v>
      </c>
      <c r="AB90" s="321">
        <v>0</v>
      </c>
      <c r="AC90" s="322">
        <v>0</v>
      </c>
      <c r="AD90" s="321">
        <v>0</v>
      </c>
      <c r="AE90" s="322">
        <v>0</v>
      </c>
      <c r="AF90" s="321"/>
      <c r="AG90" s="322"/>
      <c r="AH90" s="321"/>
      <c r="AI90" s="322"/>
      <c r="AJ90" s="321">
        <v>0</v>
      </c>
      <c r="AK90" s="322">
        <v>0</v>
      </c>
      <c r="AL90" s="321">
        <v>0</v>
      </c>
      <c r="AM90" s="322">
        <v>0</v>
      </c>
      <c r="AN90" s="321">
        <v>0</v>
      </c>
      <c r="AO90" s="322">
        <v>0</v>
      </c>
      <c r="AP90" s="321">
        <v>0</v>
      </c>
      <c r="AQ90" s="322">
        <v>0</v>
      </c>
      <c r="AR90" s="321">
        <v>0</v>
      </c>
      <c r="AS90" s="322">
        <v>0</v>
      </c>
      <c r="AT90" s="321"/>
      <c r="AU90" s="322"/>
      <c r="AV90" s="321"/>
      <c r="AW90" s="322"/>
      <c r="AX90" s="321">
        <v>0</v>
      </c>
      <c r="AY90" s="322">
        <v>0</v>
      </c>
      <c r="AZ90" s="321">
        <v>0</v>
      </c>
      <c r="BA90" s="322">
        <v>0</v>
      </c>
      <c r="BB90" s="321">
        <v>0</v>
      </c>
      <c r="BC90" s="322">
        <v>0</v>
      </c>
      <c r="BD90" s="321">
        <v>0</v>
      </c>
      <c r="BE90" s="322">
        <v>0</v>
      </c>
      <c r="BF90" s="321">
        <v>0</v>
      </c>
      <c r="BG90" s="322">
        <v>0</v>
      </c>
      <c r="BH90" s="321"/>
      <c r="BI90" s="322"/>
      <c r="BJ90" s="321"/>
      <c r="BK90" s="322"/>
      <c r="BL90" s="321">
        <v>0</v>
      </c>
      <c r="BM90" s="322">
        <v>0</v>
      </c>
      <c r="BN90" s="321">
        <v>0</v>
      </c>
      <c r="BO90" s="322">
        <v>0</v>
      </c>
      <c r="BP90" s="321">
        <v>0</v>
      </c>
      <c r="BQ90" s="322">
        <v>0</v>
      </c>
      <c r="BR90" s="321">
        <v>0</v>
      </c>
      <c r="BS90" s="322">
        <v>0</v>
      </c>
      <c r="BT90" s="321"/>
      <c r="BU90" s="322"/>
      <c r="BV90" s="264">
        <f t="shared" si="35"/>
        <v>0</v>
      </c>
      <c r="BW90" s="264">
        <f t="shared" si="36"/>
        <v>0</v>
      </c>
    </row>
    <row r="91" spans="1:75" s="62" customFormat="1" ht="21.95" customHeight="1" x14ac:dyDescent="0.25">
      <c r="A91" s="344" t="s">
        <v>3245</v>
      </c>
      <c r="B91" s="433" t="s">
        <v>3246</v>
      </c>
      <c r="C91" s="434">
        <v>1</v>
      </c>
      <c r="D91" s="435" t="s">
        <v>3247</v>
      </c>
      <c r="E91" s="345" t="s">
        <v>3248</v>
      </c>
      <c r="F91" s="436" t="s">
        <v>3166</v>
      </c>
      <c r="G91" s="436" t="s">
        <v>3167</v>
      </c>
      <c r="H91" s="437" t="s">
        <v>1493</v>
      </c>
      <c r="I91" s="303" t="s">
        <v>1493</v>
      </c>
      <c r="J91" s="273" t="s">
        <v>3168</v>
      </c>
      <c r="K91" s="274" t="s">
        <v>3169</v>
      </c>
      <c r="L91" s="321">
        <v>0</v>
      </c>
      <c r="M91" s="322">
        <v>0</v>
      </c>
      <c r="N91" s="321">
        <v>0</v>
      </c>
      <c r="O91" s="322">
        <v>0</v>
      </c>
      <c r="P91" s="321">
        <v>0</v>
      </c>
      <c r="Q91" s="322">
        <v>0</v>
      </c>
      <c r="R91" s="321"/>
      <c r="S91" s="322"/>
      <c r="T91" s="321"/>
      <c r="U91" s="322"/>
      <c r="V91" s="321">
        <v>0</v>
      </c>
      <c r="W91" s="322">
        <v>0</v>
      </c>
      <c r="X91" s="321">
        <v>0</v>
      </c>
      <c r="Y91" s="322">
        <v>0</v>
      </c>
      <c r="Z91" s="321">
        <v>0</v>
      </c>
      <c r="AA91" s="322">
        <v>0</v>
      </c>
      <c r="AB91" s="321">
        <v>0</v>
      </c>
      <c r="AC91" s="322">
        <v>0</v>
      </c>
      <c r="AD91" s="321">
        <v>0</v>
      </c>
      <c r="AE91" s="322">
        <v>0</v>
      </c>
      <c r="AF91" s="321"/>
      <c r="AG91" s="322"/>
      <c r="AH91" s="321"/>
      <c r="AI91" s="322"/>
      <c r="AJ91" s="321">
        <v>0</v>
      </c>
      <c r="AK91" s="322">
        <v>0</v>
      </c>
      <c r="AL91" s="321">
        <v>0</v>
      </c>
      <c r="AM91" s="322">
        <v>0</v>
      </c>
      <c r="AN91" s="321">
        <v>0</v>
      </c>
      <c r="AO91" s="322">
        <v>0</v>
      </c>
      <c r="AP91" s="321">
        <v>0</v>
      </c>
      <c r="AQ91" s="322">
        <v>0</v>
      </c>
      <c r="AR91" s="321">
        <v>0</v>
      </c>
      <c r="AS91" s="322">
        <v>0</v>
      </c>
      <c r="AT91" s="321"/>
      <c r="AU91" s="322"/>
      <c r="AV91" s="321"/>
      <c r="AW91" s="322"/>
      <c r="AX91" s="321">
        <v>0</v>
      </c>
      <c r="AY91" s="322">
        <v>0</v>
      </c>
      <c r="AZ91" s="321">
        <v>0</v>
      </c>
      <c r="BA91" s="322">
        <v>0</v>
      </c>
      <c r="BB91" s="321">
        <v>0</v>
      </c>
      <c r="BC91" s="322">
        <v>0</v>
      </c>
      <c r="BD91" s="321">
        <v>0</v>
      </c>
      <c r="BE91" s="322">
        <v>0</v>
      </c>
      <c r="BF91" s="321">
        <v>0</v>
      </c>
      <c r="BG91" s="322">
        <v>0</v>
      </c>
      <c r="BH91" s="321"/>
      <c r="BI91" s="322"/>
      <c r="BJ91" s="321"/>
      <c r="BK91" s="322"/>
      <c r="BL91" s="321">
        <v>0</v>
      </c>
      <c r="BM91" s="322">
        <v>0</v>
      </c>
      <c r="BN91" s="321">
        <v>0</v>
      </c>
      <c r="BO91" s="322">
        <v>0</v>
      </c>
      <c r="BP91" s="321">
        <v>0</v>
      </c>
      <c r="BQ91" s="322">
        <v>0</v>
      </c>
      <c r="BR91" s="321">
        <v>0</v>
      </c>
      <c r="BS91" s="322">
        <v>0</v>
      </c>
      <c r="BT91" s="321"/>
      <c r="BU91" s="322"/>
      <c r="BV91" s="264">
        <f>L91+N91+P91+R91+T91+V91+X91+Z91+AB91+AD91+AF91+AH91+AJ91+AL91+AN91+AP91+AR91+AT91+AV91+AX91+AZ91+BB91+BD91+BF91+BH91+BJ91+BL91+BN91+BP91+BR91+BT91</f>
        <v>0</v>
      </c>
      <c r="BW91" s="264">
        <f>M91+O91+Q91+S91+U91+W91+Y91+AA91+AC91+AE91+AG91+AI91+AK91+AM91+AO91+AQ91+AS91+AU91+AW91+AY91+BA91+BC91+BE91+BG91+BI91+BK91+BM91+BO91+BQ91+BS91+BU91</f>
        <v>0</v>
      </c>
    </row>
    <row r="92" spans="1:75" s="62" customFormat="1" ht="21.95" customHeight="1" x14ac:dyDescent="0.2">
      <c r="A92" s="304" t="s">
        <v>3245</v>
      </c>
      <c r="B92" s="305" t="s">
        <v>3246</v>
      </c>
      <c r="C92" s="272" t="s">
        <v>3170</v>
      </c>
      <c r="D92" s="306" t="s">
        <v>3247</v>
      </c>
      <c r="E92" s="307" t="s">
        <v>3248</v>
      </c>
      <c r="F92" s="308" t="s">
        <v>3166</v>
      </c>
      <c r="G92" s="308" t="s">
        <v>3167</v>
      </c>
      <c r="H92" s="309" t="s">
        <v>1493</v>
      </c>
      <c r="I92" s="310" t="s">
        <v>1493</v>
      </c>
      <c r="J92" s="273" t="s">
        <v>3168</v>
      </c>
      <c r="K92" s="273" t="s">
        <v>3171</v>
      </c>
      <c r="L92" s="319">
        <v>0</v>
      </c>
      <c r="M92" s="320">
        <v>0</v>
      </c>
      <c r="N92" s="319">
        <v>0</v>
      </c>
      <c r="O92" s="320">
        <v>0</v>
      </c>
      <c r="P92" s="319">
        <v>0</v>
      </c>
      <c r="Q92" s="320">
        <v>0</v>
      </c>
      <c r="R92" s="319"/>
      <c r="S92" s="320"/>
      <c r="T92" s="319"/>
      <c r="U92" s="320"/>
      <c r="V92" s="319">
        <v>0</v>
      </c>
      <c r="W92" s="320">
        <v>0</v>
      </c>
      <c r="X92" s="319">
        <v>0</v>
      </c>
      <c r="Y92" s="320">
        <v>0</v>
      </c>
      <c r="Z92" s="319">
        <v>0</v>
      </c>
      <c r="AA92" s="320">
        <v>0</v>
      </c>
      <c r="AB92" s="319">
        <v>0</v>
      </c>
      <c r="AC92" s="320">
        <v>0</v>
      </c>
      <c r="AD92" s="319">
        <v>0</v>
      </c>
      <c r="AE92" s="320">
        <v>0</v>
      </c>
      <c r="AF92" s="319"/>
      <c r="AG92" s="320"/>
      <c r="AH92" s="319"/>
      <c r="AI92" s="320"/>
      <c r="AJ92" s="319">
        <v>0</v>
      </c>
      <c r="AK92" s="320">
        <v>0</v>
      </c>
      <c r="AL92" s="319">
        <v>0</v>
      </c>
      <c r="AM92" s="320">
        <v>0</v>
      </c>
      <c r="AN92" s="319">
        <v>0</v>
      </c>
      <c r="AO92" s="320">
        <v>0</v>
      </c>
      <c r="AP92" s="319">
        <v>0</v>
      </c>
      <c r="AQ92" s="320">
        <v>0</v>
      </c>
      <c r="AR92" s="319">
        <v>0</v>
      </c>
      <c r="AS92" s="320">
        <v>0</v>
      </c>
      <c r="AT92" s="319"/>
      <c r="AU92" s="320"/>
      <c r="AV92" s="319"/>
      <c r="AW92" s="320"/>
      <c r="AX92" s="319">
        <v>0</v>
      </c>
      <c r="AY92" s="320">
        <v>0</v>
      </c>
      <c r="AZ92" s="319">
        <v>0</v>
      </c>
      <c r="BA92" s="320">
        <v>0</v>
      </c>
      <c r="BB92" s="319">
        <v>0</v>
      </c>
      <c r="BC92" s="320">
        <v>0</v>
      </c>
      <c r="BD92" s="319">
        <v>0</v>
      </c>
      <c r="BE92" s="320">
        <v>0</v>
      </c>
      <c r="BF92" s="319">
        <v>0</v>
      </c>
      <c r="BG92" s="320">
        <v>0</v>
      </c>
      <c r="BH92" s="319"/>
      <c r="BI92" s="320"/>
      <c r="BJ92" s="319"/>
      <c r="BK92" s="320"/>
      <c r="BL92" s="319">
        <v>0</v>
      </c>
      <c r="BM92" s="320">
        <v>0</v>
      </c>
      <c r="BN92" s="319">
        <v>0</v>
      </c>
      <c r="BO92" s="320">
        <v>0</v>
      </c>
      <c r="BP92" s="319">
        <v>0</v>
      </c>
      <c r="BQ92" s="320">
        <v>0</v>
      </c>
      <c r="BR92" s="319">
        <v>0</v>
      </c>
      <c r="BS92" s="320">
        <v>0</v>
      </c>
      <c r="BT92" s="319"/>
      <c r="BU92" s="320"/>
      <c r="BV92" s="264">
        <f t="shared" ref="BV92:BV95" si="37">L92+N92+P92+R92+T92+V92+X92+Z92+AB92+AD92+AF92+AH92+AJ92+AL92+AN92+AP92+AR92+AT92+AV92+AX92+AZ92+BB92+BD92+BF92+BH92+BJ92+BL92+BN92+BP92+BR92+BT92</f>
        <v>0</v>
      </c>
      <c r="BW92" s="264">
        <f t="shared" ref="BW92:BW95" si="38">M92+O92+Q92+S92+U92+W92+Y92+AA92+AC92+AE92+AG92+AI92+AK92+AM92+AO92+AQ92+AS92+AU92+AW92+AY92+BA92+BC92+BE92+BG92+BI92+BK92+BM92+BO92+BQ92+BS92+BU92</f>
        <v>0</v>
      </c>
    </row>
    <row r="93" spans="1:75" s="62" customFormat="1" ht="21.95" customHeight="1" x14ac:dyDescent="0.2">
      <c r="A93" s="304" t="s">
        <v>3245</v>
      </c>
      <c r="B93" s="305" t="s">
        <v>3246</v>
      </c>
      <c r="C93" s="311" t="s">
        <v>3170</v>
      </c>
      <c r="D93" s="306" t="s">
        <v>3247</v>
      </c>
      <c r="E93" s="307" t="s">
        <v>3248</v>
      </c>
      <c r="F93" s="308" t="s">
        <v>3166</v>
      </c>
      <c r="G93" s="308" t="s">
        <v>3167</v>
      </c>
      <c r="H93" s="309" t="s">
        <v>1493</v>
      </c>
      <c r="I93" s="310" t="s">
        <v>1493</v>
      </c>
      <c r="J93" s="273" t="s">
        <v>3168</v>
      </c>
      <c r="K93" s="275" t="s">
        <v>3172</v>
      </c>
      <c r="L93" s="319">
        <v>0</v>
      </c>
      <c r="M93" s="320">
        <v>0</v>
      </c>
      <c r="N93" s="319">
        <v>0</v>
      </c>
      <c r="O93" s="320">
        <v>0</v>
      </c>
      <c r="P93" s="319">
        <v>0</v>
      </c>
      <c r="Q93" s="320">
        <v>0</v>
      </c>
      <c r="R93" s="319"/>
      <c r="S93" s="320"/>
      <c r="T93" s="319"/>
      <c r="U93" s="320"/>
      <c r="V93" s="319">
        <v>0</v>
      </c>
      <c r="W93" s="320">
        <v>0</v>
      </c>
      <c r="X93" s="319">
        <v>0</v>
      </c>
      <c r="Y93" s="320">
        <v>0</v>
      </c>
      <c r="Z93" s="319">
        <v>0</v>
      </c>
      <c r="AA93" s="320">
        <v>0</v>
      </c>
      <c r="AB93" s="319">
        <v>0</v>
      </c>
      <c r="AC93" s="320">
        <v>0</v>
      </c>
      <c r="AD93" s="319">
        <v>0</v>
      </c>
      <c r="AE93" s="320">
        <v>0</v>
      </c>
      <c r="AF93" s="319"/>
      <c r="AG93" s="320"/>
      <c r="AH93" s="319"/>
      <c r="AI93" s="320"/>
      <c r="AJ93" s="319">
        <v>0</v>
      </c>
      <c r="AK93" s="320">
        <v>0</v>
      </c>
      <c r="AL93" s="319">
        <v>0</v>
      </c>
      <c r="AM93" s="320">
        <v>0</v>
      </c>
      <c r="AN93" s="319">
        <v>0</v>
      </c>
      <c r="AO93" s="320">
        <v>0</v>
      </c>
      <c r="AP93" s="319">
        <v>0</v>
      </c>
      <c r="AQ93" s="320">
        <v>0</v>
      </c>
      <c r="AR93" s="319">
        <v>0</v>
      </c>
      <c r="AS93" s="320">
        <v>0</v>
      </c>
      <c r="AT93" s="319"/>
      <c r="AU93" s="320"/>
      <c r="AV93" s="319"/>
      <c r="AW93" s="320"/>
      <c r="AX93" s="319">
        <v>0</v>
      </c>
      <c r="AY93" s="320">
        <v>0</v>
      </c>
      <c r="AZ93" s="319">
        <v>0</v>
      </c>
      <c r="BA93" s="320">
        <v>0</v>
      </c>
      <c r="BB93" s="319">
        <v>0</v>
      </c>
      <c r="BC93" s="320">
        <v>0</v>
      </c>
      <c r="BD93" s="319">
        <v>0</v>
      </c>
      <c r="BE93" s="320">
        <v>0</v>
      </c>
      <c r="BF93" s="319">
        <v>0</v>
      </c>
      <c r="BG93" s="320">
        <v>0</v>
      </c>
      <c r="BH93" s="319"/>
      <c r="BI93" s="320"/>
      <c r="BJ93" s="319"/>
      <c r="BK93" s="320"/>
      <c r="BL93" s="319">
        <v>0</v>
      </c>
      <c r="BM93" s="320">
        <v>0</v>
      </c>
      <c r="BN93" s="319">
        <v>0</v>
      </c>
      <c r="BO93" s="320">
        <v>0</v>
      </c>
      <c r="BP93" s="319">
        <v>0</v>
      </c>
      <c r="BQ93" s="320">
        <v>0</v>
      </c>
      <c r="BR93" s="319">
        <v>0</v>
      </c>
      <c r="BS93" s="320">
        <v>0</v>
      </c>
      <c r="BT93" s="319"/>
      <c r="BU93" s="320"/>
      <c r="BV93" s="264">
        <f t="shared" si="37"/>
        <v>0</v>
      </c>
      <c r="BW93" s="264">
        <f t="shared" si="38"/>
        <v>0</v>
      </c>
    </row>
    <row r="94" spans="1:75" s="62" customFormat="1" ht="21.95" customHeight="1" x14ac:dyDescent="0.2">
      <c r="A94" s="304" t="s">
        <v>3245</v>
      </c>
      <c r="B94" s="305" t="s">
        <v>3246</v>
      </c>
      <c r="C94" s="311" t="s">
        <v>3170</v>
      </c>
      <c r="D94" s="306" t="s">
        <v>3247</v>
      </c>
      <c r="E94" s="307" t="s">
        <v>3248</v>
      </c>
      <c r="F94" s="308" t="s">
        <v>3166</v>
      </c>
      <c r="G94" s="308" t="s">
        <v>3167</v>
      </c>
      <c r="H94" s="309" t="s">
        <v>1493</v>
      </c>
      <c r="I94" s="310" t="s">
        <v>1493</v>
      </c>
      <c r="J94" s="273" t="s">
        <v>3168</v>
      </c>
      <c r="K94" s="276" t="s">
        <v>3173</v>
      </c>
      <c r="L94" s="319">
        <v>0</v>
      </c>
      <c r="M94" s="320">
        <v>0</v>
      </c>
      <c r="N94" s="319">
        <v>0</v>
      </c>
      <c r="O94" s="320">
        <v>0</v>
      </c>
      <c r="P94" s="319">
        <v>0</v>
      </c>
      <c r="Q94" s="320">
        <v>0</v>
      </c>
      <c r="R94" s="319"/>
      <c r="S94" s="320"/>
      <c r="T94" s="319"/>
      <c r="U94" s="320"/>
      <c r="V94" s="319">
        <v>0</v>
      </c>
      <c r="W94" s="320">
        <v>0</v>
      </c>
      <c r="X94" s="319">
        <v>0</v>
      </c>
      <c r="Y94" s="320">
        <v>0</v>
      </c>
      <c r="Z94" s="319">
        <v>0</v>
      </c>
      <c r="AA94" s="320">
        <v>0</v>
      </c>
      <c r="AB94" s="319">
        <v>0</v>
      </c>
      <c r="AC94" s="320">
        <v>0</v>
      </c>
      <c r="AD94" s="319">
        <v>0</v>
      </c>
      <c r="AE94" s="320">
        <v>0</v>
      </c>
      <c r="AF94" s="319"/>
      <c r="AG94" s="320"/>
      <c r="AH94" s="319"/>
      <c r="AI94" s="320"/>
      <c r="AJ94" s="319">
        <v>0</v>
      </c>
      <c r="AK94" s="320">
        <v>0</v>
      </c>
      <c r="AL94" s="319">
        <v>0</v>
      </c>
      <c r="AM94" s="320">
        <v>0</v>
      </c>
      <c r="AN94" s="319">
        <v>0</v>
      </c>
      <c r="AO94" s="320">
        <v>0</v>
      </c>
      <c r="AP94" s="319">
        <v>0</v>
      </c>
      <c r="AQ94" s="320">
        <v>0</v>
      </c>
      <c r="AR94" s="319">
        <v>0</v>
      </c>
      <c r="AS94" s="320">
        <v>0</v>
      </c>
      <c r="AT94" s="319"/>
      <c r="AU94" s="320"/>
      <c r="AV94" s="319"/>
      <c r="AW94" s="320"/>
      <c r="AX94" s="319">
        <v>0</v>
      </c>
      <c r="AY94" s="320">
        <v>0</v>
      </c>
      <c r="AZ94" s="319">
        <v>0</v>
      </c>
      <c r="BA94" s="320">
        <v>0</v>
      </c>
      <c r="BB94" s="319">
        <v>0</v>
      </c>
      <c r="BC94" s="320">
        <v>0</v>
      </c>
      <c r="BD94" s="319">
        <v>0</v>
      </c>
      <c r="BE94" s="320">
        <v>0</v>
      </c>
      <c r="BF94" s="319">
        <v>0</v>
      </c>
      <c r="BG94" s="320">
        <v>0</v>
      </c>
      <c r="BH94" s="319"/>
      <c r="BI94" s="320"/>
      <c r="BJ94" s="319"/>
      <c r="BK94" s="320"/>
      <c r="BL94" s="319">
        <v>0</v>
      </c>
      <c r="BM94" s="320">
        <v>0</v>
      </c>
      <c r="BN94" s="319">
        <v>0</v>
      </c>
      <c r="BO94" s="320">
        <v>0</v>
      </c>
      <c r="BP94" s="319">
        <v>0</v>
      </c>
      <c r="BQ94" s="320">
        <v>0</v>
      </c>
      <c r="BR94" s="319">
        <v>0</v>
      </c>
      <c r="BS94" s="320">
        <v>0</v>
      </c>
      <c r="BT94" s="319"/>
      <c r="BU94" s="320"/>
      <c r="BV94" s="264">
        <f t="shared" si="37"/>
        <v>0</v>
      </c>
      <c r="BW94" s="264">
        <f t="shared" si="38"/>
        <v>0</v>
      </c>
    </row>
    <row r="95" spans="1:75" s="62" customFormat="1" ht="21.95" customHeight="1" thickBot="1" x14ac:dyDescent="0.25">
      <c r="A95" s="567" t="s">
        <v>3245</v>
      </c>
      <c r="B95" s="312" t="s">
        <v>3246</v>
      </c>
      <c r="C95" s="313" t="s">
        <v>3170</v>
      </c>
      <c r="D95" s="314" t="s">
        <v>3247</v>
      </c>
      <c r="E95" s="330" t="s">
        <v>3248</v>
      </c>
      <c r="F95" s="315" t="s">
        <v>3166</v>
      </c>
      <c r="G95" s="315" t="s">
        <v>3167</v>
      </c>
      <c r="H95" s="316" t="s">
        <v>1493</v>
      </c>
      <c r="I95" s="568" t="s">
        <v>1493</v>
      </c>
      <c r="J95" s="273" t="s">
        <v>3168</v>
      </c>
      <c r="K95" s="277" t="s">
        <v>53</v>
      </c>
      <c r="L95" s="321">
        <v>0</v>
      </c>
      <c r="M95" s="322">
        <v>0</v>
      </c>
      <c r="N95" s="321">
        <v>0</v>
      </c>
      <c r="O95" s="322">
        <v>0</v>
      </c>
      <c r="P95" s="321">
        <v>0</v>
      </c>
      <c r="Q95" s="322">
        <v>0</v>
      </c>
      <c r="R95" s="321"/>
      <c r="S95" s="322"/>
      <c r="T95" s="321"/>
      <c r="U95" s="322"/>
      <c r="V95" s="321">
        <v>0</v>
      </c>
      <c r="W95" s="322">
        <v>0</v>
      </c>
      <c r="X95" s="321">
        <v>0</v>
      </c>
      <c r="Y95" s="322">
        <v>0</v>
      </c>
      <c r="Z95" s="321">
        <v>0</v>
      </c>
      <c r="AA95" s="322">
        <v>0</v>
      </c>
      <c r="AB95" s="321">
        <v>0</v>
      </c>
      <c r="AC95" s="322">
        <v>0</v>
      </c>
      <c r="AD95" s="321">
        <v>0</v>
      </c>
      <c r="AE95" s="322">
        <v>0</v>
      </c>
      <c r="AF95" s="321"/>
      <c r="AG95" s="322"/>
      <c r="AH95" s="321"/>
      <c r="AI95" s="322"/>
      <c r="AJ95" s="321">
        <v>0</v>
      </c>
      <c r="AK95" s="322">
        <v>0</v>
      </c>
      <c r="AL95" s="321">
        <v>0</v>
      </c>
      <c r="AM95" s="322">
        <v>0</v>
      </c>
      <c r="AN95" s="321">
        <v>0</v>
      </c>
      <c r="AO95" s="322">
        <v>0</v>
      </c>
      <c r="AP95" s="321">
        <v>0</v>
      </c>
      <c r="AQ95" s="322">
        <v>0</v>
      </c>
      <c r="AR95" s="321">
        <v>0</v>
      </c>
      <c r="AS95" s="322">
        <v>0</v>
      </c>
      <c r="AT95" s="321"/>
      <c r="AU95" s="322"/>
      <c r="AV95" s="321"/>
      <c r="AW95" s="322"/>
      <c r="AX95" s="321">
        <v>0</v>
      </c>
      <c r="AY95" s="322">
        <v>0</v>
      </c>
      <c r="AZ95" s="321">
        <v>0</v>
      </c>
      <c r="BA95" s="322">
        <v>0</v>
      </c>
      <c r="BB95" s="321">
        <v>0</v>
      </c>
      <c r="BC95" s="322">
        <v>0</v>
      </c>
      <c r="BD95" s="321">
        <v>0</v>
      </c>
      <c r="BE95" s="322">
        <v>0</v>
      </c>
      <c r="BF95" s="321">
        <v>0</v>
      </c>
      <c r="BG95" s="322">
        <v>0</v>
      </c>
      <c r="BH95" s="321"/>
      <c r="BI95" s="322"/>
      <c r="BJ95" s="321"/>
      <c r="BK95" s="322"/>
      <c r="BL95" s="321">
        <v>0</v>
      </c>
      <c r="BM95" s="322">
        <v>0</v>
      </c>
      <c r="BN95" s="321">
        <v>0</v>
      </c>
      <c r="BO95" s="322">
        <v>0</v>
      </c>
      <c r="BP95" s="321">
        <v>0</v>
      </c>
      <c r="BQ95" s="322">
        <v>0</v>
      </c>
      <c r="BR95" s="321">
        <v>0</v>
      </c>
      <c r="BS95" s="322">
        <v>0</v>
      </c>
      <c r="BT95" s="321"/>
      <c r="BU95" s="322"/>
      <c r="BV95" s="264">
        <f t="shared" si="37"/>
        <v>0</v>
      </c>
      <c r="BW95" s="264">
        <f t="shared" si="38"/>
        <v>0</v>
      </c>
    </row>
    <row r="96" spans="1:75" s="62" customFormat="1" ht="21.95" customHeight="1" x14ac:dyDescent="0.25">
      <c r="A96" s="344" t="s">
        <v>3249</v>
      </c>
      <c r="B96" s="433" t="s">
        <v>3250</v>
      </c>
      <c r="C96" s="434">
        <v>1</v>
      </c>
      <c r="D96" s="435" t="s">
        <v>3251</v>
      </c>
      <c r="E96" s="345" t="s">
        <v>3252</v>
      </c>
      <c r="F96" s="436" t="s">
        <v>3166</v>
      </c>
      <c r="G96" s="436" t="s">
        <v>3167</v>
      </c>
      <c r="H96" s="437" t="s">
        <v>1494</v>
      </c>
      <c r="I96" s="303" t="s">
        <v>1494</v>
      </c>
      <c r="J96" s="273" t="s">
        <v>3168</v>
      </c>
      <c r="K96" s="274" t="s">
        <v>3169</v>
      </c>
      <c r="L96" s="321">
        <v>0</v>
      </c>
      <c r="M96" s="322">
        <v>0</v>
      </c>
      <c r="N96" s="321">
        <v>0</v>
      </c>
      <c r="O96" s="322">
        <v>0</v>
      </c>
      <c r="P96" s="321">
        <v>0</v>
      </c>
      <c r="Q96" s="322">
        <v>0</v>
      </c>
      <c r="R96" s="321"/>
      <c r="S96" s="322"/>
      <c r="T96" s="321"/>
      <c r="U96" s="322"/>
      <c r="V96" s="321">
        <v>0</v>
      </c>
      <c r="W96" s="322">
        <v>0</v>
      </c>
      <c r="X96" s="321">
        <v>0</v>
      </c>
      <c r="Y96" s="322">
        <v>0</v>
      </c>
      <c r="Z96" s="321">
        <v>0</v>
      </c>
      <c r="AA96" s="322">
        <v>0</v>
      </c>
      <c r="AB96" s="321">
        <v>0</v>
      </c>
      <c r="AC96" s="322">
        <v>0</v>
      </c>
      <c r="AD96" s="321">
        <v>0</v>
      </c>
      <c r="AE96" s="322">
        <v>0</v>
      </c>
      <c r="AF96" s="321"/>
      <c r="AG96" s="322"/>
      <c r="AH96" s="321"/>
      <c r="AI96" s="322"/>
      <c r="AJ96" s="321">
        <v>0</v>
      </c>
      <c r="AK96" s="322">
        <v>0</v>
      </c>
      <c r="AL96" s="321">
        <v>0</v>
      </c>
      <c r="AM96" s="322">
        <v>0</v>
      </c>
      <c r="AN96" s="321">
        <v>0</v>
      </c>
      <c r="AO96" s="322">
        <v>0</v>
      </c>
      <c r="AP96" s="321">
        <v>0</v>
      </c>
      <c r="AQ96" s="322">
        <v>0</v>
      </c>
      <c r="AR96" s="321">
        <v>0</v>
      </c>
      <c r="AS96" s="322">
        <v>0</v>
      </c>
      <c r="AT96" s="321"/>
      <c r="AU96" s="322"/>
      <c r="AV96" s="321"/>
      <c r="AW96" s="322"/>
      <c r="AX96" s="321">
        <v>0</v>
      </c>
      <c r="AY96" s="322">
        <v>0</v>
      </c>
      <c r="AZ96" s="321">
        <v>0</v>
      </c>
      <c r="BA96" s="322">
        <v>0</v>
      </c>
      <c r="BB96" s="321">
        <v>0</v>
      </c>
      <c r="BC96" s="322">
        <v>0</v>
      </c>
      <c r="BD96" s="321">
        <v>0</v>
      </c>
      <c r="BE96" s="322">
        <v>0</v>
      </c>
      <c r="BF96" s="321">
        <v>0</v>
      </c>
      <c r="BG96" s="322">
        <v>0</v>
      </c>
      <c r="BH96" s="321"/>
      <c r="BI96" s="322"/>
      <c r="BJ96" s="321"/>
      <c r="BK96" s="322"/>
      <c r="BL96" s="321">
        <v>0</v>
      </c>
      <c r="BM96" s="322">
        <v>0</v>
      </c>
      <c r="BN96" s="321">
        <v>0</v>
      </c>
      <c r="BO96" s="322">
        <v>0</v>
      </c>
      <c r="BP96" s="321">
        <v>0</v>
      </c>
      <c r="BQ96" s="322">
        <v>0</v>
      </c>
      <c r="BR96" s="321">
        <v>0</v>
      </c>
      <c r="BS96" s="322">
        <v>0</v>
      </c>
      <c r="BT96" s="321"/>
      <c r="BU96" s="322"/>
      <c r="BV96" s="264">
        <f>L96+N96+P96+R96+T96+V96+X96+Z96+AB96+AD96+AF96+AH96+AJ96+AL96+AN96+AP96+AR96+AT96+AV96+AX96+AZ96+BB96+BD96+BF96+BH96+BJ96+BL96+BN96+BP96+BR96+BT96</f>
        <v>0</v>
      </c>
      <c r="BW96" s="264">
        <f>M96+O96+Q96+S96+U96+W96+Y96+AA96+AC96+AE96+AG96+AI96+AK96+AM96+AO96+AQ96+AS96+AU96+AW96+AY96+BA96+BC96+BE96+BG96+BI96+BK96+BM96+BO96+BQ96+BS96+BU96</f>
        <v>0</v>
      </c>
    </row>
    <row r="97" spans="1:75" s="62" customFormat="1" ht="21.95" customHeight="1" x14ac:dyDescent="0.2">
      <c r="A97" s="304" t="s">
        <v>3249</v>
      </c>
      <c r="B97" s="305" t="s">
        <v>3250</v>
      </c>
      <c r="C97" s="272" t="s">
        <v>3170</v>
      </c>
      <c r="D97" s="306" t="s">
        <v>3251</v>
      </c>
      <c r="E97" s="307" t="s">
        <v>3252</v>
      </c>
      <c r="F97" s="308" t="s">
        <v>3166</v>
      </c>
      <c r="G97" s="308" t="s">
        <v>3167</v>
      </c>
      <c r="H97" s="309" t="s">
        <v>1494</v>
      </c>
      <c r="I97" s="310" t="s">
        <v>1494</v>
      </c>
      <c r="J97" s="273" t="s">
        <v>3168</v>
      </c>
      <c r="K97" s="273" t="s">
        <v>3171</v>
      </c>
      <c r="L97" s="319">
        <v>0</v>
      </c>
      <c r="M97" s="320">
        <v>0</v>
      </c>
      <c r="N97" s="319">
        <v>0</v>
      </c>
      <c r="O97" s="320">
        <v>0</v>
      </c>
      <c r="P97" s="319">
        <v>0</v>
      </c>
      <c r="Q97" s="320">
        <v>0</v>
      </c>
      <c r="R97" s="319"/>
      <c r="S97" s="320"/>
      <c r="T97" s="319"/>
      <c r="U97" s="320"/>
      <c r="V97" s="319">
        <v>2</v>
      </c>
      <c r="W97" s="320">
        <v>0</v>
      </c>
      <c r="X97" s="319">
        <v>0</v>
      </c>
      <c r="Y97" s="320">
        <v>0</v>
      </c>
      <c r="Z97" s="319">
        <v>0</v>
      </c>
      <c r="AA97" s="320">
        <v>0</v>
      </c>
      <c r="AB97" s="319">
        <v>0</v>
      </c>
      <c r="AC97" s="320">
        <v>0</v>
      </c>
      <c r="AD97" s="319">
        <v>0</v>
      </c>
      <c r="AE97" s="320">
        <v>0</v>
      </c>
      <c r="AF97" s="319"/>
      <c r="AG97" s="320"/>
      <c r="AH97" s="319"/>
      <c r="AI97" s="320"/>
      <c r="AJ97" s="319">
        <v>2</v>
      </c>
      <c r="AK97" s="320">
        <v>0</v>
      </c>
      <c r="AL97" s="319">
        <v>0</v>
      </c>
      <c r="AM97" s="320">
        <v>0</v>
      </c>
      <c r="AN97" s="319">
        <v>0</v>
      </c>
      <c r="AO97" s="320">
        <v>0</v>
      </c>
      <c r="AP97" s="319">
        <v>0</v>
      </c>
      <c r="AQ97" s="320">
        <v>0</v>
      </c>
      <c r="AR97" s="319">
        <v>0</v>
      </c>
      <c r="AS97" s="320">
        <v>0</v>
      </c>
      <c r="AT97" s="319"/>
      <c r="AU97" s="320"/>
      <c r="AV97" s="319"/>
      <c r="AW97" s="320"/>
      <c r="AX97" s="319">
        <v>2</v>
      </c>
      <c r="AY97" s="320">
        <v>0</v>
      </c>
      <c r="AZ97" s="319">
        <v>0</v>
      </c>
      <c r="BA97" s="320">
        <v>0</v>
      </c>
      <c r="BB97" s="319">
        <v>0</v>
      </c>
      <c r="BC97" s="320">
        <v>0</v>
      </c>
      <c r="BD97" s="319">
        <v>0</v>
      </c>
      <c r="BE97" s="320">
        <v>0</v>
      </c>
      <c r="BF97" s="319">
        <v>0</v>
      </c>
      <c r="BG97" s="320">
        <v>0</v>
      </c>
      <c r="BH97" s="319"/>
      <c r="BI97" s="320"/>
      <c r="BJ97" s="319"/>
      <c r="BK97" s="320"/>
      <c r="BL97" s="319">
        <v>2</v>
      </c>
      <c r="BM97" s="320">
        <v>0</v>
      </c>
      <c r="BN97" s="319">
        <v>0</v>
      </c>
      <c r="BO97" s="320">
        <v>0</v>
      </c>
      <c r="BP97" s="319">
        <v>0</v>
      </c>
      <c r="BQ97" s="320">
        <v>0</v>
      </c>
      <c r="BR97" s="319">
        <v>0</v>
      </c>
      <c r="BS97" s="320">
        <v>0</v>
      </c>
      <c r="BT97" s="319"/>
      <c r="BU97" s="320"/>
      <c r="BV97" s="264">
        <f t="shared" ref="BV97:BV100" si="39">L97+N97+P97+R97+T97+V97+X97+Z97+AB97+AD97+AF97+AH97+AJ97+AL97+AN97+AP97+AR97+AT97+AV97+AX97+AZ97+BB97+BD97+BF97+BH97+BJ97+BL97+BN97+BP97+BR97+BT97</f>
        <v>8</v>
      </c>
      <c r="BW97" s="264">
        <f t="shared" ref="BW97:BW100" si="40">M97+O97+Q97+S97+U97+W97+Y97+AA97+AC97+AE97+AG97+AI97+AK97+AM97+AO97+AQ97+AS97+AU97+AW97+AY97+BA97+BC97+BE97+BG97+BI97+BK97+BM97+BO97+BQ97+BS97+BU97</f>
        <v>0</v>
      </c>
    </row>
    <row r="98" spans="1:75" s="62" customFormat="1" ht="21.95" customHeight="1" x14ac:dyDescent="0.2">
      <c r="A98" s="304" t="s">
        <v>3249</v>
      </c>
      <c r="B98" s="305" t="s">
        <v>3250</v>
      </c>
      <c r="C98" s="311" t="s">
        <v>3170</v>
      </c>
      <c r="D98" s="306" t="s">
        <v>3251</v>
      </c>
      <c r="E98" s="307" t="s">
        <v>3252</v>
      </c>
      <c r="F98" s="308" t="s">
        <v>3166</v>
      </c>
      <c r="G98" s="308" t="s">
        <v>3167</v>
      </c>
      <c r="H98" s="309" t="s">
        <v>1494</v>
      </c>
      <c r="I98" s="310" t="s">
        <v>1494</v>
      </c>
      <c r="J98" s="273" t="s">
        <v>3168</v>
      </c>
      <c r="K98" s="275" t="s">
        <v>3172</v>
      </c>
      <c r="L98" s="319">
        <v>0</v>
      </c>
      <c r="M98" s="320">
        <v>0</v>
      </c>
      <c r="N98" s="319">
        <v>0</v>
      </c>
      <c r="O98" s="320">
        <v>0</v>
      </c>
      <c r="P98" s="319">
        <v>0</v>
      </c>
      <c r="Q98" s="320">
        <v>0</v>
      </c>
      <c r="R98" s="319"/>
      <c r="S98" s="320"/>
      <c r="T98" s="319"/>
      <c r="U98" s="320"/>
      <c r="V98" s="319">
        <v>0</v>
      </c>
      <c r="W98" s="320">
        <v>0</v>
      </c>
      <c r="X98" s="319">
        <v>0</v>
      </c>
      <c r="Y98" s="320">
        <v>0</v>
      </c>
      <c r="Z98" s="319">
        <v>0</v>
      </c>
      <c r="AA98" s="320">
        <v>0</v>
      </c>
      <c r="AB98" s="319">
        <v>0</v>
      </c>
      <c r="AC98" s="320">
        <v>0</v>
      </c>
      <c r="AD98" s="319">
        <v>0</v>
      </c>
      <c r="AE98" s="320">
        <v>0</v>
      </c>
      <c r="AF98" s="319"/>
      <c r="AG98" s="320"/>
      <c r="AH98" s="319"/>
      <c r="AI98" s="320"/>
      <c r="AJ98" s="319">
        <v>0</v>
      </c>
      <c r="AK98" s="320">
        <v>0</v>
      </c>
      <c r="AL98" s="319">
        <v>0</v>
      </c>
      <c r="AM98" s="320">
        <v>0</v>
      </c>
      <c r="AN98" s="319">
        <v>0</v>
      </c>
      <c r="AO98" s="320">
        <v>0</v>
      </c>
      <c r="AP98" s="319">
        <v>0</v>
      </c>
      <c r="AQ98" s="320">
        <v>0</v>
      </c>
      <c r="AR98" s="319">
        <v>0</v>
      </c>
      <c r="AS98" s="320">
        <v>0</v>
      </c>
      <c r="AT98" s="319"/>
      <c r="AU98" s="320"/>
      <c r="AV98" s="319"/>
      <c r="AW98" s="320"/>
      <c r="AX98" s="319">
        <v>0</v>
      </c>
      <c r="AY98" s="320">
        <v>0</v>
      </c>
      <c r="AZ98" s="319">
        <v>0</v>
      </c>
      <c r="BA98" s="320">
        <v>0</v>
      </c>
      <c r="BB98" s="319">
        <v>0</v>
      </c>
      <c r="BC98" s="320">
        <v>0</v>
      </c>
      <c r="BD98" s="319">
        <v>0</v>
      </c>
      <c r="BE98" s="320">
        <v>0</v>
      </c>
      <c r="BF98" s="319">
        <v>0</v>
      </c>
      <c r="BG98" s="320">
        <v>0</v>
      </c>
      <c r="BH98" s="319"/>
      <c r="BI98" s="320"/>
      <c r="BJ98" s="319"/>
      <c r="BK98" s="320"/>
      <c r="BL98" s="319">
        <v>0</v>
      </c>
      <c r="BM98" s="320">
        <v>0</v>
      </c>
      <c r="BN98" s="319">
        <v>0</v>
      </c>
      <c r="BO98" s="320">
        <v>0</v>
      </c>
      <c r="BP98" s="319">
        <v>0</v>
      </c>
      <c r="BQ98" s="320">
        <v>0</v>
      </c>
      <c r="BR98" s="319">
        <v>0</v>
      </c>
      <c r="BS98" s="320">
        <v>0</v>
      </c>
      <c r="BT98" s="319"/>
      <c r="BU98" s="320"/>
      <c r="BV98" s="264">
        <f t="shared" si="39"/>
        <v>0</v>
      </c>
      <c r="BW98" s="264">
        <f t="shared" si="40"/>
        <v>0</v>
      </c>
    </row>
    <row r="99" spans="1:75" s="62" customFormat="1" ht="21.95" customHeight="1" x14ac:dyDescent="0.2">
      <c r="A99" s="304" t="s">
        <v>3249</v>
      </c>
      <c r="B99" s="305" t="s">
        <v>3250</v>
      </c>
      <c r="C99" s="311" t="s">
        <v>3170</v>
      </c>
      <c r="D99" s="306" t="s">
        <v>3251</v>
      </c>
      <c r="E99" s="307" t="s">
        <v>3252</v>
      </c>
      <c r="F99" s="308" t="s">
        <v>3166</v>
      </c>
      <c r="G99" s="308" t="s">
        <v>3167</v>
      </c>
      <c r="H99" s="309" t="s">
        <v>1494</v>
      </c>
      <c r="I99" s="310" t="s">
        <v>1494</v>
      </c>
      <c r="J99" s="273" t="s">
        <v>3168</v>
      </c>
      <c r="K99" s="276" t="s">
        <v>3173</v>
      </c>
      <c r="L99" s="319">
        <v>0</v>
      </c>
      <c r="M99" s="320">
        <v>0</v>
      </c>
      <c r="N99" s="319">
        <v>0</v>
      </c>
      <c r="O99" s="320">
        <v>0</v>
      </c>
      <c r="P99" s="319">
        <v>0</v>
      </c>
      <c r="Q99" s="320">
        <v>0</v>
      </c>
      <c r="R99" s="319"/>
      <c r="S99" s="320"/>
      <c r="T99" s="319"/>
      <c r="U99" s="320"/>
      <c r="V99" s="319">
        <v>0</v>
      </c>
      <c r="W99" s="320">
        <v>0</v>
      </c>
      <c r="X99" s="319">
        <v>0</v>
      </c>
      <c r="Y99" s="320">
        <v>0</v>
      </c>
      <c r="Z99" s="319">
        <v>0</v>
      </c>
      <c r="AA99" s="320">
        <v>0</v>
      </c>
      <c r="AB99" s="319">
        <v>0</v>
      </c>
      <c r="AC99" s="320">
        <v>0</v>
      </c>
      <c r="AD99" s="319">
        <v>0</v>
      </c>
      <c r="AE99" s="320">
        <v>0</v>
      </c>
      <c r="AF99" s="319"/>
      <c r="AG99" s="320"/>
      <c r="AH99" s="319"/>
      <c r="AI99" s="320"/>
      <c r="AJ99" s="319">
        <v>0</v>
      </c>
      <c r="AK99" s="320">
        <v>0</v>
      </c>
      <c r="AL99" s="319">
        <v>0</v>
      </c>
      <c r="AM99" s="320">
        <v>0</v>
      </c>
      <c r="AN99" s="319">
        <v>0</v>
      </c>
      <c r="AO99" s="320">
        <v>0</v>
      </c>
      <c r="AP99" s="319">
        <v>0</v>
      </c>
      <c r="AQ99" s="320">
        <v>0</v>
      </c>
      <c r="AR99" s="319">
        <v>0</v>
      </c>
      <c r="AS99" s="320">
        <v>0</v>
      </c>
      <c r="AT99" s="319"/>
      <c r="AU99" s="320"/>
      <c r="AV99" s="319"/>
      <c r="AW99" s="320"/>
      <c r="AX99" s="319">
        <v>0</v>
      </c>
      <c r="AY99" s="320">
        <v>0</v>
      </c>
      <c r="AZ99" s="319">
        <v>0</v>
      </c>
      <c r="BA99" s="320">
        <v>0</v>
      </c>
      <c r="BB99" s="319">
        <v>0</v>
      </c>
      <c r="BC99" s="320">
        <v>0</v>
      </c>
      <c r="BD99" s="319">
        <v>0</v>
      </c>
      <c r="BE99" s="320">
        <v>0</v>
      </c>
      <c r="BF99" s="319">
        <v>0</v>
      </c>
      <c r="BG99" s="320">
        <v>0</v>
      </c>
      <c r="BH99" s="319"/>
      <c r="BI99" s="320"/>
      <c r="BJ99" s="319"/>
      <c r="BK99" s="320"/>
      <c r="BL99" s="319">
        <v>0</v>
      </c>
      <c r="BM99" s="320">
        <v>0</v>
      </c>
      <c r="BN99" s="319">
        <v>0</v>
      </c>
      <c r="BO99" s="320">
        <v>0</v>
      </c>
      <c r="BP99" s="319">
        <v>0</v>
      </c>
      <c r="BQ99" s="320">
        <v>0</v>
      </c>
      <c r="BR99" s="319">
        <v>0</v>
      </c>
      <c r="BS99" s="320">
        <v>0</v>
      </c>
      <c r="BT99" s="319"/>
      <c r="BU99" s="320"/>
      <c r="BV99" s="264">
        <f t="shared" si="39"/>
        <v>0</v>
      </c>
      <c r="BW99" s="264">
        <f t="shared" si="40"/>
        <v>0</v>
      </c>
    </row>
    <row r="100" spans="1:75" s="62" customFormat="1" ht="21.95" customHeight="1" thickBot="1" x14ac:dyDescent="0.25">
      <c r="A100" s="567" t="s">
        <v>3249</v>
      </c>
      <c r="B100" s="312" t="s">
        <v>3250</v>
      </c>
      <c r="C100" s="313" t="s">
        <v>3170</v>
      </c>
      <c r="D100" s="314" t="s">
        <v>3251</v>
      </c>
      <c r="E100" s="330" t="s">
        <v>3252</v>
      </c>
      <c r="F100" s="315" t="s">
        <v>3166</v>
      </c>
      <c r="G100" s="315" t="s">
        <v>3167</v>
      </c>
      <c r="H100" s="316" t="s">
        <v>1494</v>
      </c>
      <c r="I100" s="568" t="s">
        <v>1494</v>
      </c>
      <c r="J100" s="273" t="s">
        <v>3168</v>
      </c>
      <c r="K100" s="277" t="s">
        <v>53</v>
      </c>
      <c r="L100" s="321">
        <v>0</v>
      </c>
      <c r="M100" s="322">
        <v>0</v>
      </c>
      <c r="N100" s="321">
        <v>0</v>
      </c>
      <c r="O100" s="322">
        <v>0</v>
      </c>
      <c r="P100" s="321">
        <v>0</v>
      </c>
      <c r="Q100" s="322">
        <v>0</v>
      </c>
      <c r="R100" s="321"/>
      <c r="S100" s="322"/>
      <c r="T100" s="321"/>
      <c r="U100" s="322"/>
      <c r="V100" s="321">
        <v>0</v>
      </c>
      <c r="W100" s="322">
        <v>0</v>
      </c>
      <c r="X100" s="321">
        <v>0</v>
      </c>
      <c r="Y100" s="322">
        <v>0</v>
      </c>
      <c r="Z100" s="321">
        <v>0</v>
      </c>
      <c r="AA100" s="322">
        <v>0</v>
      </c>
      <c r="AB100" s="321">
        <v>0</v>
      </c>
      <c r="AC100" s="322">
        <v>0</v>
      </c>
      <c r="AD100" s="321">
        <v>0</v>
      </c>
      <c r="AE100" s="322">
        <v>0</v>
      </c>
      <c r="AF100" s="321"/>
      <c r="AG100" s="322"/>
      <c r="AH100" s="321"/>
      <c r="AI100" s="322"/>
      <c r="AJ100" s="321">
        <v>0</v>
      </c>
      <c r="AK100" s="322">
        <v>0</v>
      </c>
      <c r="AL100" s="321">
        <v>0</v>
      </c>
      <c r="AM100" s="322">
        <v>0</v>
      </c>
      <c r="AN100" s="321">
        <v>0</v>
      </c>
      <c r="AO100" s="322">
        <v>0</v>
      </c>
      <c r="AP100" s="321">
        <v>0</v>
      </c>
      <c r="AQ100" s="322">
        <v>0</v>
      </c>
      <c r="AR100" s="321">
        <v>0</v>
      </c>
      <c r="AS100" s="322">
        <v>0</v>
      </c>
      <c r="AT100" s="321"/>
      <c r="AU100" s="322"/>
      <c r="AV100" s="321"/>
      <c r="AW100" s="322"/>
      <c r="AX100" s="321">
        <v>0</v>
      </c>
      <c r="AY100" s="322">
        <v>0</v>
      </c>
      <c r="AZ100" s="321">
        <v>0</v>
      </c>
      <c r="BA100" s="322">
        <v>0</v>
      </c>
      <c r="BB100" s="321">
        <v>0</v>
      </c>
      <c r="BC100" s="322">
        <v>0</v>
      </c>
      <c r="BD100" s="321">
        <v>0</v>
      </c>
      <c r="BE100" s="322">
        <v>0</v>
      </c>
      <c r="BF100" s="321">
        <v>0</v>
      </c>
      <c r="BG100" s="322">
        <v>0</v>
      </c>
      <c r="BH100" s="321"/>
      <c r="BI100" s="322"/>
      <c r="BJ100" s="321"/>
      <c r="BK100" s="322"/>
      <c r="BL100" s="321">
        <v>0</v>
      </c>
      <c r="BM100" s="322">
        <v>0</v>
      </c>
      <c r="BN100" s="321">
        <v>0</v>
      </c>
      <c r="BO100" s="322">
        <v>0</v>
      </c>
      <c r="BP100" s="321">
        <v>0</v>
      </c>
      <c r="BQ100" s="322">
        <v>0</v>
      </c>
      <c r="BR100" s="321">
        <v>0</v>
      </c>
      <c r="BS100" s="322">
        <v>0</v>
      </c>
      <c r="BT100" s="321"/>
      <c r="BU100" s="322"/>
      <c r="BV100" s="264">
        <f t="shared" si="39"/>
        <v>0</v>
      </c>
      <c r="BW100" s="264">
        <f t="shared" si="40"/>
        <v>0</v>
      </c>
    </row>
    <row r="101" spans="1:75" s="62" customFormat="1" ht="21.95" customHeight="1" x14ac:dyDescent="0.25">
      <c r="A101" s="344" t="s">
        <v>3253</v>
      </c>
      <c r="B101" s="433" t="s">
        <v>3254</v>
      </c>
      <c r="C101" s="434">
        <v>1</v>
      </c>
      <c r="D101" s="435" t="s">
        <v>3255</v>
      </c>
      <c r="E101" s="345" t="s">
        <v>3256</v>
      </c>
      <c r="F101" s="436" t="s">
        <v>3166</v>
      </c>
      <c r="G101" s="436" t="s">
        <v>3167</v>
      </c>
      <c r="H101" s="437" t="s">
        <v>1497</v>
      </c>
      <c r="I101" s="303" t="s">
        <v>1497</v>
      </c>
      <c r="J101" s="273" t="s">
        <v>3168</v>
      </c>
      <c r="K101" s="274" t="s">
        <v>3169</v>
      </c>
      <c r="L101" s="321">
        <v>0</v>
      </c>
      <c r="M101" s="322">
        <v>0</v>
      </c>
      <c r="N101" s="321">
        <v>0</v>
      </c>
      <c r="O101" s="322">
        <v>0</v>
      </c>
      <c r="P101" s="321">
        <v>0</v>
      </c>
      <c r="Q101" s="322">
        <v>0</v>
      </c>
      <c r="R101" s="321"/>
      <c r="S101" s="322"/>
      <c r="T101" s="321"/>
      <c r="U101" s="322"/>
      <c r="V101" s="321">
        <v>0</v>
      </c>
      <c r="W101" s="322">
        <v>0</v>
      </c>
      <c r="X101" s="321">
        <v>0</v>
      </c>
      <c r="Y101" s="322">
        <v>0</v>
      </c>
      <c r="Z101" s="321">
        <v>0</v>
      </c>
      <c r="AA101" s="322">
        <v>0</v>
      </c>
      <c r="AB101" s="321">
        <v>0</v>
      </c>
      <c r="AC101" s="322">
        <v>0</v>
      </c>
      <c r="AD101" s="321">
        <v>0</v>
      </c>
      <c r="AE101" s="322">
        <v>0</v>
      </c>
      <c r="AF101" s="321"/>
      <c r="AG101" s="322"/>
      <c r="AH101" s="321"/>
      <c r="AI101" s="322"/>
      <c r="AJ101" s="321">
        <v>0</v>
      </c>
      <c r="AK101" s="322">
        <v>0</v>
      </c>
      <c r="AL101" s="321">
        <v>0</v>
      </c>
      <c r="AM101" s="322">
        <v>0</v>
      </c>
      <c r="AN101" s="321">
        <v>0</v>
      </c>
      <c r="AO101" s="322">
        <v>0</v>
      </c>
      <c r="AP101" s="321">
        <v>0</v>
      </c>
      <c r="AQ101" s="322">
        <v>0</v>
      </c>
      <c r="AR101" s="321">
        <v>0</v>
      </c>
      <c r="AS101" s="322">
        <v>0</v>
      </c>
      <c r="AT101" s="321"/>
      <c r="AU101" s="322"/>
      <c r="AV101" s="321"/>
      <c r="AW101" s="322"/>
      <c r="AX101" s="321">
        <v>0</v>
      </c>
      <c r="AY101" s="322">
        <v>0</v>
      </c>
      <c r="AZ101" s="321">
        <v>0</v>
      </c>
      <c r="BA101" s="322">
        <v>0</v>
      </c>
      <c r="BB101" s="321">
        <v>0</v>
      </c>
      <c r="BC101" s="322">
        <v>0</v>
      </c>
      <c r="BD101" s="321">
        <v>0</v>
      </c>
      <c r="BE101" s="322">
        <v>0</v>
      </c>
      <c r="BF101" s="321">
        <v>0</v>
      </c>
      <c r="BG101" s="322">
        <v>0</v>
      </c>
      <c r="BH101" s="321"/>
      <c r="BI101" s="322"/>
      <c r="BJ101" s="321"/>
      <c r="BK101" s="322"/>
      <c r="BL101" s="321">
        <v>0</v>
      </c>
      <c r="BM101" s="322">
        <v>0</v>
      </c>
      <c r="BN101" s="321">
        <v>0</v>
      </c>
      <c r="BO101" s="322">
        <v>0</v>
      </c>
      <c r="BP101" s="321">
        <v>0</v>
      </c>
      <c r="BQ101" s="322">
        <v>0</v>
      </c>
      <c r="BR101" s="321">
        <v>0</v>
      </c>
      <c r="BS101" s="322">
        <v>0</v>
      </c>
      <c r="BT101" s="321"/>
      <c r="BU101" s="322"/>
      <c r="BV101" s="264">
        <f>L101+N101+P101+R101+T101+V101+X101+Z101+AB101+AD101+AF101+AH101+AJ101+AL101+AN101+AP101+AR101+AT101+AV101+AX101+AZ101+BB101+BD101+BF101+BH101+BJ101+BL101+BN101+BP101+BR101+BT101</f>
        <v>0</v>
      </c>
      <c r="BW101" s="264">
        <f>M101+O101+Q101+S101+U101+W101+Y101+AA101+AC101+AE101+AG101+AI101+AK101+AM101+AO101+AQ101+AS101+AU101+AW101+AY101+BA101+BC101+BE101+BG101+BI101+BK101+BM101+BO101+BQ101+BS101+BU101</f>
        <v>0</v>
      </c>
    </row>
    <row r="102" spans="1:75" s="62" customFormat="1" ht="21.95" customHeight="1" x14ac:dyDescent="0.2">
      <c r="A102" s="304" t="s">
        <v>3253</v>
      </c>
      <c r="B102" s="305" t="s">
        <v>3254</v>
      </c>
      <c r="C102" s="272" t="s">
        <v>3170</v>
      </c>
      <c r="D102" s="306" t="s">
        <v>3255</v>
      </c>
      <c r="E102" s="307" t="s">
        <v>3256</v>
      </c>
      <c r="F102" s="308" t="s">
        <v>3166</v>
      </c>
      <c r="G102" s="308" t="s">
        <v>3167</v>
      </c>
      <c r="H102" s="309" t="s">
        <v>1497</v>
      </c>
      <c r="I102" s="310" t="s">
        <v>1497</v>
      </c>
      <c r="J102" s="273" t="s">
        <v>3168</v>
      </c>
      <c r="K102" s="273" t="s">
        <v>3171</v>
      </c>
      <c r="L102" s="319">
        <v>0</v>
      </c>
      <c r="M102" s="320">
        <v>0</v>
      </c>
      <c r="N102" s="319">
        <v>0</v>
      </c>
      <c r="O102" s="320">
        <v>0</v>
      </c>
      <c r="P102" s="319">
        <v>0</v>
      </c>
      <c r="Q102" s="320">
        <v>0</v>
      </c>
      <c r="R102" s="319"/>
      <c r="S102" s="320"/>
      <c r="T102" s="319"/>
      <c r="U102" s="320"/>
      <c r="V102" s="319">
        <v>2</v>
      </c>
      <c r="W102" s="320">
        <v>0</v>
      </c>
      <c r="X102" s="319">
        <v>0</v>
      </c>
      <c r="Y102" s="320">
        <v>0</v>
      </c>
      <c r="Z102" s="319">
        <v>0</v>
      </c>
      <c r="AA102" s="320">
        <v>0</v>
      </c>
      <c r="AB102" s="319">
        <v>0</v>
      </c>
      <c r="AC102" s="320">
        <v>0</v>
      </c>
      <c r="AD102" s="319">
        <v>0</v>
      </c>
      <c r="AE102" s="320">
        <v>0</v>
      </c>
      <c r="AF102" s="319"/>
      <c r="AG102" s="320"/>
      <c r="AH102" s="319"/>
      <c r="AI102" s="320"/>
      <c r="AJ102" s="319">
        <v>2</v>
      </c>
      <c r="AK102" s="320">
        <v>0</v>
      </c>
      <c r="AL102" s="319">
        <v>0</v>
      </c>
      <c r="AM102" s="320">
        <v>0</v>
      </c>
      <c r="AN102" s="319">
        <v>0</v>
      </c>
      <c r="AO102" s="320">
        <v>0</v>
      </c>
      <c r="AP102" s="319">
        <v>0</v>
      </c>
      <c r="AQ102" s="320">
        <v>0</v>
      </c>
      <c r="AR102" s="319">
        <v>0</v>
      </c>
      <c r="AS102" s="320">
        <v>0</v>
      </c>
      <c r="AT102" s="319"/>
      <c r="AU102" s="320"/>
      <c r="AV102" s="319"/>
      <c r="AW102" s="320"/>
      <c r="AX102" s="319">
        <v>2</v>
      </c>
      <c r="AY102" s="320">
        <v>0</v>
      </c>
      <c r="AZ102" s="319">
        <v>0</v>
      </c>
      <c r="BA102" s="320">
        <v>0</v>
      </c>
      <c r="BB102" s="319">
        <v>0</v>
      </c>
      <c r="BC102" s="320">
        <v>0</v>
      </c>
      <c r="BD102" s="319">
        <v>0</v>
      </c>
      <c r="BE102" s="320">
        <v>0</v>
      </c>
      <c r="BF102" s="319">
        <v>0</v>
      </c>
      <c r="BG102" s="320">
        <v>0</v>
      </c>
      <c r="BH102" s="319"/>
      <c r="BI102" s="320"/>
      <c r="BJ102" s="319"/>
      <c r="BK102" s="320"/>
      <c r="BL102" s="319">
        <v>2</v>
      </c>
      <c r="BM102" s="320">
        <v>0</v>
      </c>
      <c r="BN102" s="319">
        <v>0</v>
      </c>
      <c r="BO102" s="320">
        <v>0</v>
      </c>
      <c r="BP102" s="319">
        <v>0</v>
      </c>
      <c r="BQ102" s="320">
        <v>0</v>
      </c>
      <c r="BR102" s="319">
        <v>0</v>
      </c>
      <c r="BS102" s="320">
        <v>0</v>
      </c>
      <c r="BT102" s="319"/>
      <c r="BU102" s="320"/>
      <c r="BV102" s="264">
        <f t="shared" ref="BV102:BV105" si="41">L102+N102+P102+R102+T102+V102+X102+Z102+AB102+AD102+AF102+AH102+AJ102+AL102+AN102+AP102+AR102+AT102+AV102+AX102+AZ102+BB102+BD102+BF102+BH102+BJ102+BL102+BN102+BP102+BR102+BT102</f>
        <v>8</v>
      </c>
      <c r="BW102" s="264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2" customFormat="1" ht="21.95" customHeight="1" x14ac:dyDescent="0.2">
      <c r="A103" s="304" t="s">
        <v>3253</v>
      </c>
      <c r="B103" s="305" t="s">
        <v>3254</v>
      </c>
      <c r="C103" s="311" t="s">
        <v>3170</v>
      </c>
      <c r="D103" s="306" t="s">
        <v>3255</v>
      </c>
      <c r="E103" s="307" t="s">
        <v>3256</v>
      </c>
      <c r="F103" s="308" t="s">
        <v>3166</v>
      </c>
      <c r="G103" s="308" t="s">
        <v>3167</v>
      </c>
      <c r="H103" s="309" t="s">
        <v>1497</v>
      </c>
      <c r="I103" s="310" t="s">
        <v>1497</v>
      </c>
      <c r="J103" s="273" t="s">
        <v>3168</v>
      </c>
      <c r="K103" s="275" t="s">
        <v>3172</v>
      </c>
      <c r="L103" s="319">
        <v>0</v>
      </c>
      <c r="M103" s="320">
        <v>0</v>
      </c>
      <c r="N103" s="319">
        <v>0</v>
      </c>
      <c r="O103" s="320">
        <v>0</v>
      </c>
      <c r="P103" s="319">
        <v>0</v>
      </c>
      <c r="Q103" s="320">
        <v>0</v>
      </c>
      <c r="R103" s="319"/>
      <c r="S103" s="320"/>
      <c r="T103" s="319"/>
      <c r="U103" s="320"/>
      <c r="V103" s="319">
        <v>0</v>
      </c>
      <c r="W103" s="320">
        <v>0</v>
      </c>
      <c r="X103" s="319">
        <v>0</v>
      </c>
      <c r="Y103" s="320">
        <v>0</v>
      </c>
      <c r="Z103" s="319">
        <v>0</v>
      </c>
      <c r="AA103" s="320">
        <v>0</v>
      </c>
      <c r="AB103" s="319">
        <v>0</v>
      </c>
      <c r="AC103" s="320">
        <v>0</v>
      </c>
      <c r="AD103" s="319">
        <v>0</v>
      </c>
      <c r="AE103" s="320">
        <v>0</v>
      </c>
      <c r="AF103" s="319"/>
      <c r="AG103" s="320"/>
      <c r="AH103" s="319"/>
      <c r="AI103" s="320"/>
      <c r="AJ103" s="319">
        <v>0</v>
      </c>
      <c r="AK103" s="320">
        <v>0</v>
      </c>
      <c r="AL103" s="319">
        <v>0</v>
      </c>
      <c r="AM103" s="320">
        <v>0</v>
      </c>
      <c r="AN103" s="319">
        <v>0</v>
      </c>
      <c r="AO103" s="320">
        <v>0</v>
      </c>
      <c r="AP103" s="319">
        <v>0</v>
      </c>
      <c r="AQ103" s="320">
        <v>0</v>
      </c>
      <c r="AR103" s="319">
        <v>0</v>
      </c>
      <c r="AS103" s="320">
        <v>0</v>
      </c>
      <c r="AT103" s="319"/>
      <c r="AU103" s="320"/>
      <c r="AV103" s="319"/>
      <c r="AW103" s="320"/>
      <c r="AX103" s="319">
        <v>0</v>
      </c>
      <c r="AY103" s="320">
        <v>0</v>
      </c>
      <c r="AZ103" s="319">
        <v>0</v>
      </c>
      <c r="BA103" s="320">
        <v>0</v>
      </c>
      <c r="BB103" s="319">
        <v>0</v>
      </c>
      <c r="BC103" s="320">
        <v>0</v>
      </c>
      <c r="BD103" s="319">
        <v>0</v>
      </c>
      <c r="BE103" s="320">
        <v>0</v>
      </c>
      <c r="BF103" s="319">
        <v>0</v>
      </c>
      <c r="BG103" s="320">
        <v>0</v>
      </c>
      <c r="BH103" s="319"/>
      <c r="BI103" s="320"/>
      <c r="BJ103" s="319"/>
      <c r="BK103" s="320"/>
      <c r="BL103" s="319">
        <v>0</v>
      </c>
      <c r="BM103" s="320">
        <v>0</v>
      </c>
      <c r="BN103" s="319">
        <v>0</v>
      </c>
      <c r="BO103" s="320">
        <v>0</v>
      </c>
      <c r="BP103" s="319">
        <v>0</v>
      </c>
      <c r="BQ103" s="320">
        <v>0</v>
      </c>
      <c r="BR103" s="319">
        <v>0</v>
      </c>
      <c r="BS103" s="320">
        <v>0</v>
      </c>
      <c r="BT103" s="319"/>
      <c r="BU103" s="320"/>
      <c r="BV103" s="264">
        <f t="shared" si="41"/>
        <v>0</v>
      </c>
      <c r="BW103" s="264">
        <f t="shared" si="42"/>
        <v>0</v>
      </c>
    </row>
    <row r="104" spans="1:75" s="62" customFormat="1" ht="21.95" customHeight="1" x14ac:dyDescent="0.2">
      <c r="A104" s="304" t="s">
        <v>3253</v>
      </c>
      <c r="B104" s="305" t="s">
        <v>3254</v>
      </c>
      <c r="C104" s="311" t="s">
        <v>3170</v>
      </c>
      <c r="D104" s="306" t="s">
        <v>3255</v>
      </c>
      <c r="E104" s="307" t="s">
        <v>3256</v>
      </c>
      <c r="F104" s="308" t="s">
        <v>3166</v>
      </c>
      <c r="G104" s="308" t="s">
        <v>3167</v>
      </c>
      <c r="H104" s="309" t="s">
        <v>1497</v>
      </c>
      <c r="I104" s="310" t="s">
        <v>1497</v>
      </c>
      <c r="J104" s="273" t="s">
        <v>3168</v>
      </c>
      <c r="K104" s="276" t="s">
        <v>3173</v>
      </c>
      <c r="L104" s="319">
        <v>0</v>
      </c>
      <c r="M104" s="320">
        <v>0</v>
      </c>
      <c r="N104" s="319">
        <v>0</v>
      </c>
      <c r="O104" s="320">
        <v>0</v>
      </c>
      <c r="P104" s="319">
        <v>0</v>
      </c>
      <c r="Q104" s="320">
        <v>0</v>
      </c>
      <c r="R104" s="319"/>
      <c r="S104" s="320"/>
      <c r="T104" s="319"/>
      <c r="U104" s="320"/>
      <c r="V104" s="319">
        <v>0</v>
      </c>
      <c r="W104" s="320">
        <v>0</v>
      </c>
      <c r="X104" s="319">
        <v>0</v>
      </c>
      <c r="Y104" s="320">
        <v>0</v>
      </c>
      <c r="Z104" s="319">
        <v>0</v>
      </c>
      <c r="AA104" s="320">
        <v>0</v>
      </c>
      <c r="AB104" s="319">
        <v>0</v>
      </c>
      <c r="AC104" s="320">
        <v>0</v>
      </c>
      <c r="AD104" s="319">
        <v>0</v>
      </c>
      <c r="AE104" s="320">
        <v>0</v>
      </c>
      <c r="AF104" s="319"/>
      <c r="AG104" s="320"/>
      <c r="AH104" s="319"/>
      <c r="AI104" s="320"/>
      <c r="AJ104" s="319">
        <v>0</v>
      </c>
      <c r="AK104" s="320">
        <v>0</v>
      </c>
      <c r="AL104" s="319">
        <v>0</v>
      </c>
      <c r="AM104" s="320">
        <v>0</v>
      </c>
      <c r="AN104" s="319">
        <v>0</v>
      </c>
      <c r="AO104" s="320">
        <v>0</v>
      </c>
      <c r="AP104" s="319">
        <v>0</v>
      </c>
      <c r="AQ104" s="320">
        <v>0</v>
      </c>
      <c r="AR104" s="319">
        <v>0</v>
      </c>
      <c r="AS104" s="320">
        <v>0</v>
      </c>
      <c r="AT104" s="319"/>
      <c r="AU104" s="320"/>
      <c r="AV104" s="319"/>
      <c r="AW104" s="320"/>
      <c r="AX104" s="319">
        <v>0</v>
      </c>
      <c r="AY104" s="320">
        <v>0</v>
      </c>
      <c r="AZ104" s="319">
        <v>0</v>
      </c>
      <c r="BA104" s="320">
        <v>0</v>
      </c>
      <c r="BB104" s="319">
        <v>0</v>
      </c>
      <c r="BC104" s="320">
        <v>0</v>
      </c>
      <c r="BD104" s="319">
        <v>0</v>
      </c>
      <c r="BE104" s="320">
        <v>0</v>
      </c>
      <c r="BF104" s="319">
        <v>0</v>
      </c>
      <c r="BG104" s="320">
        <v>0</v>
      </c>
      <c r="BH104" s="319"/>
      <c r="BI104" s="320"/>
      <c r="BJ104" s="319"/>
      <c r="BK104" s="320"/>
      <c r="BL104" s="319">
        <v>0</v>
      </c>
      <c r="BM104" s="320">
        <v>0</v>
      </c>
      <c r="BN104" s="319">
        <v>0</v>
      </c>
      <c r="BO104" s="320">
        <v>0</v>
      </c>
      <c r="BP104" s="319">
        <v>0</v>
      </c>
      <c r="BQ104" s="320">
        <v>0</v>
      </c>
      <c r="BR104" s="319">
        <v>0</v>
      </c>
      <c r="BS104" s="320">
        <v>0</v>
      </c>
      <c r="BT104" s="319"/>
      <c r="BU104" s="320"/>
      <c r="BV104" s="264">
        <f t="shared" si="41"/>
        <v>0</v>
      </c>
      <c r="BW104" s="264">
        <f t="shared" si="42"/>
        <v>0</v>
      </c>
    </row>
    <row r="105" spans="1:75" s="62" customFormat="1" ht="21.95" customHeight="1" thickBot="1" x14ac:dyDescent="0.25">
      <c r="A105" s="567" t="s">
        <v>3253</v>
      </c>
      <c r="B105" s="312" t="s">
        <v>3254</v>
      </c>
      <c r="C105" s="313" t="s">
        <v>3170</v>
      </c>
      <c r="D105" s="314" t="s">
        <v>3255</v>
      </c>
      <c r="E105" s="330" t="s">
        <v>3256</v>
      </c>
      <c r="F105" s="315" t="s">
        <v>3166</v>
      </c>
      <c r="G105" s="315" t="s">
        <v>3167</v>
      </c>
      <c r="H105" s="316" t="s">
        <v>1497</v>
      </c>
      <c r="I105" s="568" t="s">
        <v>1497</v>
      </c>
      <c r="J105" s="273" t="s">
        <v>3168</v>
      </c>
      <c r="K105" s="277" t="s">
        <v>53</v>
      </c>
      <c r="L105" s="321">
        <v>0</v>
      </c>
      <c r="M105" s="322">
        <v>0</v>
      </c>
      <c r="N105" s="321">
        <v>0</v>
      </c>
      <c r="O105" s="322">
        <v>0</v>
      </c>
      <c r="P105" s="321">
        <v>0</v>
      </c>
      <c r="Q105" s="322">
        <v>0</v>
      </c>
      <c r="R105" s="321"/>
      <c r="S105" s="322"/>
      <c r="T105" s="321"/>
      <c r="U105" s="322"/>
      <c r="V105" s="321">
        <v>0</v>
      </c>
      <c r="W105" s="322">
        <v>0</v>
      </c>
      <c r="X105" s="321">
        <v>0</v>
      </c>
      <c r="Y105" s="322">
        <v>0</v>
      </c>
      <c r="Z105" s="321">
        <v>0</v>
      </c>
      <c r="AA105" s="322">
        <v>0</v>
      </c>
      <c r="AB105" s="321">
        <v>0</v>
      </c>
      <c r="AC105" s="322">
        <v>0</v>
      </c>
      <c r="AD105" s="321">
        <v>0</v>
      </c>
      <c r="AE105" s="322">
        <v>0</v>
      </c>
      <c r="AF105" s="321"/>
      <c r="AG105" s="322"/>
      <c r="AH105" s="321"/>
      <c r="AI105" s="322"/>
      <c r="AJ105" s="321">
        <v>0</v>
      </c>
      <c r="AK105" s="322">
        <v>0</v>
      </c>
      <c r="AL105" s="321">
        <v>0</v>
      </c>
      <c r="AM105" s="322">
        <v>0</v>
      </c>
      <c r="AN105" s="321">
        <v>0</v>
      </c>
      <c r="AO105" s="322">
        <v>0</v>
      </c>
      <c r="AP105" s="321">
        <v>0</v>
      </c>
      <c r="AQ105" s="322">
        <v>0</v>
      </c>
      <c r="AR105" s="321">
        <v>0</v>
      </c>
      <c r="AS105" s="322">
        <v>0</v>
      </c>
      <c r="AT105" s="321"/>
      <c r="AU105" s="322"/>
      <c r="AV105" s="321"/>
      <c r="AW105" s="322"/>
      <c r="AX105" s="321">
        <v>0</v>
      </c>
      <c r="AY105" s="322">
        <v>0</v>
      </c>
      <c r="AZ105" s="321">
        <v>0</v>
      </c>
      <c r="BA105" s="322">
        <v>0</v>
      </c>
      <c r="BB105" s="321">
        <v>0</v>
      </c>
      <c r="BC105" s="322">
        <v>0</v>
      </c>
      <c r="BD105" s="321">
        <v>0</v>
      </c>
      <c r="BE105" s="322">
        <v>0</v>
      </c>
      <c r="BF105" s="321">
        <v>0</v>
      </c>
      <c r="BG105" s="322">
        <v>0</v>
      </c>
      <c r="BH105" s="321"/>
      <c r="BI105" s="322"/>
      <c r="BJ105" s="321"/>
      <c r="BK105" s="322"/>
      <c r="BL105" s="321">
        <v>0</v>
      </c>
      <c r="BM105" s="322">
        <v>0</v>
      </c>
      <c r="BN105" s="321">
        <v>0</v>
      </c>
      <c r="BO105" s="322">
        <v>0</v>
      </c>
      <c r="BP105" s="321">
        <v>0</v>
      </c>
      <c r="BQ105" s="322">
        <v>0</v>
      </c>
      <c r="BR105" s="321">
        <v>0</v>
      </c>
      <c r="BS105" s="322">
        <v>0</v>
      </c>
      <c r="BT105" s="321"/>
      <c r="BU105" s="322"/>
      <c r="BV105" s="264">
        <f t="shared" si="41"/>
        <v>0</v>
      </c>
      <c r="BW105" s="264">
        <f t="shared" si="42"/>
        <v>0</v>
      </c>
    </row>
    <row r="106" spans="1:75" s="62" customFormat="1" ht="21.95" customHeight="1" x14ac:dyDescent="0.25">
      <c r="A106" s="344" t="s">
        <v>3257</v>
      </c>
      <c r="B106" s="433" t="s">
        <v>3258</v>
      </c>
      <c r="C106" s="434">
        <v>1</v>
      </c>
      <c r="D106" s="435" t="s">
        <v>3259</v>
      </c>
      <c r="E106" s="345" t="s">
        <v>3176</v>
      </c>
      <c r="F106" s="436" t="s">
        <v>3166</v>
      </c>
      <c r="G106" s="436">
        <v>46141</v>
      </c>
      <c r="H106" s="437" t="s">
        <v>1498</v>
      </c>
      <c r="I106" s="303" t="s">
        <v>1498</v>
      </c>
      <c r="J106" s="273" t="s">
        <v>3168</v>
      </c>
      <c r="K106" s="274" t="s">
        <v>3169</v>
      </c>
      <c r="L106" s="321">
        <v>0</v>
      </c>
      <c r="M106" s="322">
        <v>0</v>
      </c>
      <c r="N106" s="321">
        <v>0</v>
      </c>
      <c r="O106" s="322">
        <v>0</v>
      </c>
      <c r="P106" s="321">
        <v>0</v>
      </c>
      <c r="Q106" s="322">
        <v>0</v>
      </c>
      <c r="R106" s="321"/>
      <c r="S106" s="322"/>
      <c r="T106" s="321"/>
      <c r="U106" s="322"/>
      <c r="V106" s="321">
        <v>0</v>
      </c>
      <c r="W106" s="322">
        <v>0</v>
      </c>
      <c r="X106" s="321">
        <v>0</v>
      </c>
      <c r="Y106" s="322">
        <v>0</v>
      </c>
      <c r="Z106" s="321">
        <v>0</v>
      </c>
      <c r="AA106" s="322">
        <v>0</v>
      </c>
      <c r="AB106" s="321">
        <v>0</v>
      </c>
      <c r="AC106" s="322">
        <v>0</v>
      </c>
      <c r="AD106" s="321">
        <v>0</v>
      </c>
      <c r="AE106" s="322">
        <v>0</v>
      </c>
      <c r="AF106" s="321"/>
      <c r="AG106" s="322"/>
      <c r="AH106" s="321"/>
      <c r="AI106" s="322"/>
      <c r="AJ106" s="321">
        <v>0</v>
      </c>
      <c r="AK106" s="322">
        <v>0</v>
      </c>
      <c r="AL106" s="321">
        <v>0</v>
      </c>
      <c r="AM106" s="322">
        <v>0</v>
      </c>
      <c r="AN106" s="321">
        <v>0</v>
      </c>
      <c r="AO106" s="322">
        <v>0</v>
      </c>
      <c r="AP106" s="321">
        <v>0</v>
      </c>
      <c r="AQ106" s="322">
        <v>0</v>
      </c>
      <c r="AR106" s="321">
        <v>0</v>
      </c>
      <c r="AS106" s="322">
        <v>0</v>
      </c>
      <c r="AT106" s="321"/>
      <c r="AU106" s="322"/>
      <c r="AV106" s="321"/>
      <c r="AW106" s="322"/>
      <c r="AX106" s="321">
        <v>0</v>
      </c>
      <c r="AY106" s="322">
        <v>0</v>
      </c>
      <c r="AZ106" s="321">
        <v>0</v>
      </c>
      <c r="BA106" s="322">
        <v>0</v>
      </c>
      <c r="BB106" s="321">
        <v>0</v>
      </c>
      <c r="BC106" s="322">
        <v>0</v>
      </c>
      <c r="BD106" s="321">
        <v>0</v>
      </c>
      <c r="BE106" s="322">
        <v>0</v>
      </c>
      <c r="BF106" s="321">
        <v>0</v>
      </c>
      <c r="BG106" s="322">
        <v>0</v>
      </c>
      <c r="BH106" s="321"/>
      <c r="BI106" s="322"/>
      <c r="BJ106" s="321"/>
      <c r="BK106" s="322"/>
      <c r="BL106" s="321">
        <v>0</v>
      </c>
      <c r="BM106" s="322">
        <v>0</v>
      </c>
      <c r="BN106" s="321">
        <v>0</v>
      </c>
      <c r="BO106" s="322">
        <v>0</v>
      </c>
      <c r="BP106" s="321">
        <v>0</v>
      </c>
      <c r="BQ106" s="322">
        <v>0</v>
      </c>
      <c r="BR106" s="321">
        <v>0</v>
      </c>
      <c r="BS106" s="322">
        <v>0</v>
      </c>
      <c r="BT106" s="321"/>
      <c r="BU106" s="322"/>
      <c r="BV106" s="264">
        <f>L106+N106+P106+R106+T106+V106+X106+Z106+AB106+AD106+AF106+AH106+AJ106+AL106+AN106+AP106+AR106+AT106+AV106+AX106+AZ106+BB106+BD106+BF106+BH106+BJ106+BL106+BN106+BP106+BR106+BT106</f>
        <v>0</v>
      </c>
      <c r="BW106" s="264">
        <f>M106+O106+Q106+S106+U106+W106+Y106+AA106+AC106+AE106+AG106+AI106+AK106+AM106+AO106+AQ106+AS106+AU106+AW106+AY106+BA106+BC106+BE106+BG106+BI106+BK106+BM106+BO106+BQ106+BS106+BU106</f>
        <v>0</v>
      </c>
    </row>
    <row r="107" spans="1:75" s="62" customFormat="1" ht="21.95" customHeight="1" x14ac:dyDescent="0.2">
      <c r="A107" s="304" t="s">
        <v>3257</v>
      </c>
      <c r="B107" s="305" t="s">
        <v>3258</v>
      </c>
      <c r="C107" s="272" t="s">
        <v>3170</v>
      </c>
      <c r="D107" s="306" t="s">
        <v>3259</v>
      </c>
      <c r="E107" s="307" t="s">
        <v>3176</v>
      </c>
      <c r="F107" s="308" t="s">
        <v>3166</v>
      </c>
      <c r="G107" s="308" t="s">
        <v>3167</v>
      </c>
      <c r="H107" s="309" t="s">
        <v>1498</v>
      </c>
      <c r="I107" s="310" t="s">
        <v>1498</v>
      </c>
      <c r="J107" s="273" t="s">
        <v>3168</v>
      </c>
      <c r="K107" s="273" t="s">
        <v>3171</v>
      </c>
      <c r="L107" s="319">
        <v>0</v>
      </c>
      <c r="M107" s="320">
        <v>0</v>
      </c>
      <c r="N107" s="319">
        <v>0</v>
      </c>
      <c r="O107" s="320">
        <v>0</v>
      </c>
      <c r="P107" s="319">
        <v>0</v>
      </c>
      <c r="Q107" s="320">
        <v>0</v>
      </c>
      <c r="R107" s="319"/>
      <c r="S107" s="320"/>
      <c r="T107" s="319"/>
      <c r="U107" s="320"/>
      <c r="V107" s="319">
        <v>0</v>
      </c>
      <c r="W107" s="320">
        <v>0</v>
      </c>
      <c r="X107" s="319">
        <v>0</v>
      </c>
      <c r="Y107" s="320">
        <v>0</v>
      </c>
      <c r="Z107" s="319">
        <v>0</v>
      </c>
      <c r="AA107" s="320">
        <v>0</v>
      </c>
      <c r="AB107" s="319">
        <v>0</v>
      </c>
      <c r="AC107" s="320">
        <v>0</v>
      </c>
      <c r="AD107" s="319">
        <v>0</v>
      </c>
      <c r="AE107" s="320">
        <v>0</v>
      </c>
      <c r="AF107" s="319"/>
      <c r="AG107" s="320"/>
      <c r="AH107" s="319"/>
      <c r="AI107" s="320"/>
      <c r="AJ107" s="319">
        <v>0</v>
      </c>
      <c r="AK107" s="320">
        <v>0</v>
      </c>
      <c r="AL107" s="319">
        <v>0</v>
      </c>
      <c r="AM107" s="320">
        <v>0</v>
      </c>
      <c r="AN107" s="319">
        <v>0</v>
      </c>
      <c r="AO107" s="320">
        <v>0</v>
      </c>
      <c r="AP107" s="319">
        <v>0</v>
      </c>
      <c r="AQ107" s="320">
        <v>0</v>
      </c>
      <c r="AR107" s="319">
        <v>0</v>
      </c>
      <c r="AS107" s="320">
        <v>0</v>
      </c>
      <c r="AT107" s="319"/>
      <c r="AU107" s="320"/>
      <c r="AV107" s="319"/>
      <c r="AW107" s="320"/>
      <c r="AX107" s="319">
        <v>0</v>
      </c>
      <c r="AY107" s="320">
        <v>0</v>
      </c>
      <c r="AZ107" s="319">
        <v>0</v>
      </c>
      <c r="BA107" s="320">
        <v>0</v>
      </c>
      <c r="BB107" s="319">
        <v>0</v>
      </c>
      <c r="BC107" s="320">
        <v>0</v>
      </c>
      <c r="BD107" s="319">
        <v>0</v>
      </c>
      <c r="BE107" s="320">
        <v>0</v>
      </c>
      <c r="BF107" s="319">
        <v>0</v>
      </c>
      <c r="BG107" s="320">
        <v>0</v>
      </c>
      <c r="BH107" s="319"/>
      <c r="BI107" s="320"/>
      <c r="BJ107" s="319"/>
      <c r="BK107" s="320"/>
      <c r="BL107" s="319">
        <v>0</v>
      </c>
      <c r="BM107" s="320">
        <v>0</v>
      </c>
      <c r="BN107" s="319">
        <v>0</v>
      </c>
      <c r="BO107" s="320">
        <v>0</v>
      </c>
      <c r="BP107" s="319">
        <v>0</v>
      </c>
      <c r="BQ107" s="320">
        <v>0</v>
      </c>
      <c r="BR107" s="319">
        <v>0</v>
      </c>
      <c r="BS107" s="320">
        <v>0</v>
      </c>
      <c r="BT107" s="319"/>
      <c r="BU107" s="320"/>
      <c r="BV107" s="264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264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2" customFormat="1" ht="21.95" customHeight="1" x14ac:dyDescent="0.2">
      <c r="A108" s="304" t="s">
        <v>3257</v>
      </c>
      <c r="B108" s="305" t="s">
        <v>3258</v>
      </c>
      <c r="C108" s="311" t="s">
        <v>3170</v>
      </c>
      <c r="D108" s="306" t="s">
        <v>3259</v>
      </c>
      <c r="E108" s="307" t="s">
        <v>3176</v>
      </c>
      <c r="F108" s="308" t="s">
        <v>3166</v>
      </c>
      <c r="G108" s="308" t="s">
        <v>3167</v>
      </c>
      <c r="H108" s="309" t="s">
        <v>1498</v>
      </c>
      <c r="I108" s="310" t="s">
        <v>1498</v>
      </c>
      <c r="J108" s="273" t="s">
        <v>3168</v>
      </c>
      <c r="K108" s="275" t="s">
        <v>3172</v>
      </c>
      <c r="L108" s="319">
        <v>0</v>
      </c>
      <c r="M108" s="320">
        <v>0</v>
      </c>
      <c r="N108" s="319">
        <v>0</v>
      </c>
      <c r="O108" s="320">
        <v>0</v>
      </c>
      <c r="P108" s="319">
        <v>0</v>
      </c>
      <c r="Q108" s="320">
        <v>0</v>
      </c>
      <c r="R108" s="319"/>
      <c r="S108" s="320"/>
      <c r="T108" s="319"/>
      <c r="U108" s="320"/>
      <c r="V108" s="319">
        <v>0</v>
      </c>
      <c r="W108" s="320">
        <v>0</v>
      </c>
      <c r="X108" s="319">
        <v>0</v>
      </c>
      <c r="Y108" s="320">
        <v>0</v>
      </c>
      <c r="Z108" s="319">
        <v>0</v>
      </c>
      <c r="AA108" s="320">
        <v>0</v>
      </c>
      <c r="AB108" s="319">
        <v>0</v>
      </c>
      <c r="AC108" s="320">
        <v>0</v>
      </c>
      <c r="AD108" s="319">
        <v>0</v>
      </c>
      <c r="AE108" s="320">
        <v>0</v>
      </c>
      <c r="AF108" s="319"/>
      <c r="AG108" s="320"/>
      <c r="AH108" s="319"/>
      <c r="AI108" s="320"/>
      <c r="AJ108" s="319">
        <v>0</v>
      </c>
      <c r="AK108" s="320">
        <v>0</v>
      </c>
      <c r="AL108" s="319">
        <v>0</v>
      </c>
      <c r="AM108" s="320">
        <v>0</v>
      </c>
      <c r="AN108" s="319">
        <v>0</v>
      </c>
      <c r="AO108" s="320">
        <v>0</v>
      </c>
      <c r="AP108" s="319">
        <v>0</v>
      </c>
      <c r="AQ108" s="320">
        <v>0</v>
      </c>
      <c r="AR108" s="319">
        <v>0</v>
      </c>
      <c r="AS108" s="320">
        <v>0</v>
      </c>
      <c r="AT108" s="319"/>
      <c r="AU108" s="320"/>
      <c r="AV108" s="319"/>
      <c r="AW108" s="320"/>
      <c r="AX108" s="319">
        <v>0</v>
      </c>
      <c r="AY108" s="320">
        <v>0</v>
      </c>
      <c r="AZ108" s="319">
        <v>0</v>
      </c>
      <c r="BA108" s="320">
        <v>0</v>
      </c>
      <c r="BB108" s="319">
        <v>0</v>
      </c>
      <c r="BC108" s="320">
        <v>0</v>
      </c>
      <c r="BD108" s="319">
        <v>0</v>
      </c>
      <c r="BE108" s="320">
        <v>0</v>
      </c>
      <c r="BF108" s="319">
        <v>0</v>
      </c>
      <c r="BG108" s="320">
        <v>0</v>
      </c>
      <c r="BH108" s="319"/>
      <c r="BI108" s="320"/>
      <c r="BJ108" s="319"/>
      <c r="BK108" s="320"/>
      <c r="BL108" s="319">
        <v>0</v>
      </c>
      <c r="BM108" s="320">
        <v>0</v>
      </c>
      <c r="BN108" s="319">
        <v>0</v>
      </c>
      <c r="BO108" s="320">
        <v>0</v>
      </c>
      <c r="BP108" s="319">
        <v>0</v>
      </c>
      <c r="BQ108" s="320">
        <v>0</v>
      </c>
      <c r="BR108" s="319">
        <v>0</v>
      </c>
      <c r="BS108" s="320">
        <v>0</v>
      </c>
      <c r="BT108" s="319"/>
      <c r="BU108" s="320"/>
      <c r="BV108" s="264">
        <f t="shared" si="43"/>
        <v>0</v>
      </c>
      <c r="BW108" s="264">
        <f t="shared" si="44"/>
        <v>0</v>
      </c>
    </row>
    <row r="109" spans="1:75" s="62" customFormat="1" ht="21.95" customHeight="1" x14ac:dyDescent="0.2">
      <c r="A109" s="304" t="s">
        <v>3257</v>
      </c>
      <c r="B109" s="305" t="s">
        <v>3258</v>
      </c>
      <c r="C109" s="311" t="s">
        <v>3170</v>
      </c>
      <c r="D109" s="306" t="s">
        <v>3259</v>
      </c>
      <c r="E109" s="307" t="s">
        <v>3176</v>
      </c>
      <c r="F109" s="308" t="s">
        <v>3166</v>
      </c>
      <c r="G109" s="308" t="s">
        <v>3167</v>
      </c>
      <c r="H109" s="309" t="s">
        <v>1498</v>
      </c>
      <c r="I109" s="310" t="s">
        <v>1498</v>
      </c>
      <c r="J109" s="273" t="s">
        <v>3168</v>
      </c>
      <c r="K109" s="276" t="s">
        <v>3173</v>
      </c>
      <c r="L109" s="319">
        <v>0</v>
      </c>
      <c r="M109" s="320">
        <v>0</v>
      </c>
      <c r="N109" s="319">
        <v>0</v>
      </c>
      <c r="O109" s="320">
        <v>0</v>
      </c>
      <c r="P109" s="319">
        <v>0</v>
      </c>
      <c r="Q109" s="320">
        <v>0</v>
      </c>
      <c r="R109" s="319"/>
      <c r="S109" s="320"/>
      <c r="T109" s="319"/>
      <c r="U109" s="320"/>
      <c r="V109" s="319">
        <v>0</v>
      </c>
      <c r="W109" s="320">
        <v>0</v>
      </c>
      <c r="X109" s="319">
        <v>0</v>
      </c>
      <c r="Y109" s="320">
        <v>0</v>
      </c>
      <c r="Z109" s="319">
        <v>0</v>
      </c>
      <c r="AA109" s="320">
        <v>0</v>
      </c>
      <c r="AB109" s="319">
        <v>0</v>
      </c>
      <c r="AC109" s="320">
        <v>0</v>
      </c>
      <c r="AD109" s="319">
        <v>0</v>
      </c>
      <c r="AE109" s="320">
        <v>0</v>
      </c>
      <c r="AF109" s="319"/>
      <c r="AG109" s="320"/>
      <c r="AH109" s="319"/>
      <c r="AI109" s="320"/>
      <c r="AJ109" s="319">
        <v>0</v>
      </c>
      <c r="AK109" s="320">
        <v>0</v>
      </c>
      <c r="AL109" s="319">
        <v>0</v>
      </c>
      <c r="AM109" s="320">
        <v>0</v>
      </c>
      <c r="AN109" s="319">
        <v>0</v>
      </c>
      <c r="AO109" s="320">
        <v>0</v>
      </c>
      <c r="AP109" s="319">
        <v>0</v>
      </c>
      <c r="AQ109" s="320">
        <v>0</v>
      </c>
      <c r="AR109" s="319">
        <v>0</v>
      </c>
      <c r="AS109" s="320">
        <v>0</v>
      </c>
      <c r="AT109" s="319"/>
      <c r="AU109" s="320"/>
      <c r="AV109" s="319"/>
      <c r="AW109" s="320"/>
      <c r="AX109" s="319">
        <v>0</v>
      </c>
      <c r="AY109" s="320">
        <v>0</v>
      </c>
      <c r="AZ109" s="319">
        <v>0</v>
      </c>
      <c r="BA109" s="320">
        <v>0</v>
      </c>
      <c r="BB109" s="319">
        <v>0</v>
      </c>
      <c r="BC109" s="320">
        <v>0</v>
      </c>
      <c r="BD109" s="319">
        <v>0</v>
      </c>
      <c r="BE109" s="320">
        <v>0</v>
      </c>
      <c r="BF109" s="319">
        <v>0</v>
      </c>
      <c r="BG109" s="320">
        <v>0</v>
      </c>
      <c r="BH109" s="319"/>
      <c r="BI109" s="320"/>
      <c r="BJ109" s="319"/>
      <c r="BK109" s="320"/>
      <c r="BL109" s="319">
        <v>0</v>
      </c>
      <c r="BM109" s="320">
        <v>0</v>
      </c>
      <c r="BN109" s="319">
        <v>0</v>
      </c>
      <c r="BO109" s="320">
        <v>0</v>
      </c>
      <c r="BP109" s="319">
        <v>0</v>
      </c>
      <c r="BQ109" s="320">
        <v>0</v>
      </c>
      <c r="BR109" s="319">
        <v>0</v>
      </c>
      <c r="BS109" s="320">
        <v>0</v>
      </c>
      <c r="BT109" s="319"/>
      <c r="BU109" s="320"/>
      <c r="BV109" s="264">
        <f t="shared" si="43"/>
        <v>0</v>
      </c>
      <c r="BW109" s="264">
        <f t="shared" si="44"/>
        <v>0</v>
      </c>
    </row>
    <row r="110" spans="1:75" s="62" customFormat="1" ht="21.95" customHeight="1" thickBot="1" x14ac:dyDescent="0.25">
      <c r="A110" s="567" t="s">
        <v>3257</v>
      </c>
      <c r="B110" s="312" t="s">
        <v>3258</v>
      </c>
      <c r="C110" s="313" t="s">
        <v>3170</v>
      </c>
      <c r="D110" s="314" t="s">
        <v>3259</v>
      </c>
      <c r="E110" s="330" t="s">
        <v>3176</v>
      </c>
      <c r="F110" s="315" t="s">
        <v>3166</v>
      </c>
      <c r="G110" s="315" t="s">
        <v>3167</v>
      </c>
      <c r="H110" s="316" t="s">
        <v>1498</v>
      </c>
      <c r="I110" s="568" t="s">
        <v>1498</v>
      </c>
      <c r="J110" s="273" t="s">
        <v>3168</v>
      </c>
      <c r="K110" s="277" t="s">
        <v>53</v>
      </c>
      <c r="L110" s="321">
        <v>0</v>
      </c>
      <c r="M110" s="322">
        <v>0</v>
      </c>
      <c r="N110" s="321">
        <v>0</v>
      </c>
      <c r="O110" s="322">
        <v>0</v>
      </c>
      <c r="P110" s="321">
        <v>0</v>
      </c>
      <c r="Q110" s="322">
        <v>0</v>
      </c>
      <c r="R110" s="321"/>
      <c r="S110" s="322"/>
      <c r="T110" s="321"/>
      <c r="U110" s="322"/>
      <c r="V110" s="321">
        <v>0</v>
      </c>
      <c r="W110" s="322">
        <v>0</v>
      </c>
      <c r="X110" s="321">
        <v>0</v>
      </c>
      <c r="Y110" s="322">
        <v>0</v>
      </c>
      <c r="Z110" s="321">
        <v>0</v>
      </c>
      <c r="AA110" s="322">
        <v>0</v>
      </c>
      <c r="AB110" s="321">
        <v>0</v>
      </c>
      <c r="AC110" s="322">
        <v>0</v>
      </c>
      <c r="AD110" s="321">
        <v>0</v>
      </c>
      <c r="AE110" s="322">
        <v>0</v>
      </c>
      <c r="AF110" s="321"/>
      <c r="AG110" s="322"/>
      <c r="AH110" s="321"/>
      <c r="AI110" s="322"/>
      <c r="AJ110" s="321">
        <v>0</v>
      </c>
      <c r="AK110" s="322">
        <v>0</v>
      </c>
      <c r="AL110" s="321">
        <v>0</v>
      </c>
      <c r="AM110" s="322">
        <v>0</v>
      </c>
      <c r="AN110" s="321">
        <v>0</v>
      </c>
      <c r="AO110" s="322">
        <v>0</v>
      </c>
      <c r="AP110" s="321">
        <v>0</v>
      </c>
      <c r="AQ110" s="322">
        <v>0</v>
      </c>
      <c r="AR110" s="321">
        <v>0</v>
      </c>
      <c r="AS110" s="322">
        <v>0</v>
      </c>
      <c r="AT110" s="321"/>
      <c r="AU110" s="322"/>
      <c r="AV110" s="321"/>
      <c r="AW110" s="322"/>
      <c r="AX110" s="321">
        <v>0</v>
      </c>
      <c r="AY110" s="322">
        <v>0</v>
      </c>
      <c r="AZ110" s="321">
        <v>0</v>
      </c>
      <c r="BA110" s="322">
        <v>0</v>
      </c>
      <c r="BB110" s="321">
        <v>0</v>
      </c>
      <c r="BC110" s="322">
        <v>0</v>
      </c>
      <c r="BD110" s="321">
        <v>0</v>
      </c>
      <c r="BE110" s="322">
        <v>0</v>
      </c>
      <c r="BF110" s="321">
        <v>0</v>
      </c>
      <c r="BG110" s="322">
        <v>0</v>
      </c>
      <c r="BH110" s="321"/>
      <c r="BI110" s="322"/>
      <c r="BJ110" s="321"/>
      <c r="BK110" s="322"/>
      <c r="BL110" s="321">
        <v>0</v>
      </c>
      <c r="BM110" s="322">
        <v>0</v>
      </c>
      <c r="BN110" s="321">
        <v>0</v>
      </c>
      <c r="BO110" s="322">
        <v>0</v>
      </c>
      <c r="BP110" s="321">
        <v>0</v>
      </c>
      <c r="BQ110" s="322">
        <v>0</v>
      </c>
      <c r="BR110" s="321">
        <v>0</v>
      </c>
      <c r="BS110" s="322">
        <v>0</v>
      </c>
      <c r="BT110" s="321"/>
      <c r="BU110" s="322"/>
      <c r="BV110" s="264">
        <f t="shared" si="43"/>
        <v>0</v>
      </c>
      <c r="BW110" s="264">
        <f t="shared" si="44"/>
        <v>0</v>
      </c>
    </row>
    <row r="111" spans="1:75" s="62" customFormat="1" ht="21.95" customHeight="1" x14ac:dyDescent="0.25">
      <c r="A111" s="344" t="s">
        <v>3260</v>
      </c>
      <c r="B111" s="433" t="s">
        <v>3261</v>
      </c>
      <c r="C111" s="434">
        <v>1</v>
      </c>
      <c r="D111" s="435" t="s">
        <v>3262</v>
      </c>
      <c r="E111" s="345" t="s">
        <v>3263</v>
      </c>
      <c r="F111" s="436" t="s">
        <v>3166</v>
      </c>
      <c r="G111" s="436" t="s">
        <v>3167</v>
      </c>
      <c r="H111" s="437" t="s">
        <v>1500</v>
      </c>
      <c r="I111" s="303" t="s">
        <v>1500</v>
      </c>
      <c r="J111" s="273" t="s">
        <v>3168</v>
      </c>
      <c r="K111" s="274" t="s">
        <v>3169</v>
      </c>
      <c r="L111" s="321">
        <v>0</v>
      </c>
      <c r="M111" s="322">
        <v>0</v>
      </c>
      <c r="N111" s="321">
        <v>0</v>
      </c>
      <c r="O111" s="322">
        <v>0</v>
      </c>
      <c r="P111" s="321">
        <v>0</v>
      </c>
      <c r="Q111" s="322">
        <v>0</v>
      </c>
      <c r="R111" s="321"/>
      <c r="S111" s="322"/>
      <c r="T111" s="321"/>
      <c r="U111" s="322"/>
      <c r="V111" s="321">
        <v>0</v>
      </c>
      <c r="W111" s="322">
        <v>0</v>
      </c>
      <c r="X111" s="321">
        <v>0</v>
      </c>
      <c r="Y111" s="322">
        <v>0</v>
      </c>
      <c r="Z111" s="321">
        <v>0</v>
      </c>
      <c r="AA111" s="322">
        <v>0</v>
      </c>
      <c r="AB111" s="321">
        <v>0</v>
      </c>
      <c r="AC111" s="322">
        <v>0</v>
      </c>
      <c r="AD111" s="321">
        <v>0</v>
      </c>
      <c r="AE111" s="322">
        <v>0</v>
      </c>
      <c r="AF111" s="321"/>
      <c r="AG111" s="322"/>
      <c r="AH111" s="321"/>
      <c r="AI111" s="322"/>
      <c r="AJ111" s="321">
        <v>0</v>
      </c>
      <c r="AK111" s="322">
        <v>0</v>
      </c>
      <c r="AL111" s="321">
        <v>0</v>
      </c>
      <c r="AM111" s="322">
        <v>0</v>
      </c>
      <c r="AN111" s="321">
        <v>0</v>
      </c>
      <c r="AO111" s="322">
        <v>0</v>
      </c>
      <c r="AP111" s="321">
        <v>0</v>
      </c>
      <c r="AQ111" s="322">
        <v>0</v>
      </c>
      <c r="AR111" s="321">
        <v>0</v>
      </c>
      <c r="AS111" s="322">
        <v>0</v>
      </c>
      <c r="AT111" s="321"/>
      <c r="AU111" s="322"/>
      <c r="AV111" s="321"/>
      <c r="AW111" s="322"/>
      <c r="AX111" s="321">
        <v>0</v>
      </c>
      <c r="AY111" s="322">
        <v>0</v>
      </c>
      <c r="AZ111" s="321">
        <v>0</v>
      </c>
      <c r="BA111" s="322">
        <v>0</v>
      </c>
      <c r="BB111" s="321">
        <v>0</v>
      </c>
      <c r="BC111" s="322">
        <v>0</v>
      </c>
      <c r="BD111" s="321">
        <v>0</v>
      </c>
      <c r="BE111" s="322">
        <v>0</v>
      </c>
      <c r="BF111" s="321">
        <v>0</v>
      </c>
      <c r="BG111" s="322">
        <v>0</v>
      </c>
      <c r="BH111" s="321"/>
      <c r="BI111" s="322"/>
      <c r="BJ111" s="321"/>
      <c r="BK111" s="322"/>
      <c r="BL111" s="321">
        <v>0</v>
      </c>
      <c r="BM111" s="322">
        <v>0</v>
      </c>
      <c r="BN111" s="321">
        <v>0</v>
      </c>
      <c r="BO111" s="322">
        <v>0</v>
      </c>
      <c r="BP111" s="321">
        <v>0</v>
      </c>
      <c r="BQ111" s="322">
        <v>0</v>
      </c>
      <c r="BR111" s="321">
        <v>0</v>
      </c>
      <c r="BS111" s="322">
        <v>0</v>
      </c>
      <c r="BT111" s="321"/>
      <c r="BU111" s="322"/>
      <c r="BV111" s="264">
        <f>L111+N111+P111+R111+T111+V111+X111+Z111+AB111+AD111+AF111+AH111+AJ111+AL111+AN111+AP111+AR111+AT111+AV111+AX111+AZ111+BB111+BD111+BF111+BH111+BJ111+BL111+BN111+BP111+BR111+BT111</f>
        <v>0</v>
      </c>
      <c r="BW111" s="264">
        <f>M111+O111+Q111+S111+U111+W111+Y111+AA111+AC111+AE111+AG111+AI111+AK111+AM111+AO111+AQ111+AS111+AU111+AW111+AY111+BA111+BC111+BE111+BG111+BI111+BK111+BM111+BO111+BQ111+BS111+BU111</f>
        <v>0</v>
      </c>
    </row>
    <row r="112" spans="1:75" s="62" customFormat="1" ht="21.95" customHeight="1" x14ac:dyDescent="0.2">
      <c r="A112" s="304" t="s">
        <v>3260</v>
      </c>
      <c r="B112" s="305" t="s">
        <v>3261</v>
      </c>
      <c r="C112" s="272" t="s">
        <v>3170</v>
      </c>
      <c r="D112" s="306" t="s">
        <v>3262</v>
      </c>
      <c r="E112" s="307" t="s">
        <v>3263</v>
      </c>
      <c r="F112" s="308" t="s">
        <v>3166</v>
      </c>
      <c r="G112" s="308" t="s">
        <v>3167</v>
      </c>
      <c r="H112" s="309" t="s">
        <v>1500</v>
      </c>
      <c r="I112" s="310" t="s">
        <v>1500</v>
      </c>
      <c r="J112" s="273" t="s">
        <v>3168</v>
      </c>
      <c r="K112" s="273" t="s">
        <v>3171</v>
      </c>
      <c r="L112" s="319">
        <v>0</v>
      </c>
      <c r="M112" s="320">
        <v>0</v>
      </c>
      <c r="N112" s="319">
        <v>0</v>
      </c>
      <c r="O112" s="320">
        <v>0</v>
      </c>
      <c r="P112" s="319">
        <v>0</v>
      </c>
      <c r="Q112" s="320">
        <v>0</v>
      </c>
      <c r="R112" s="319"/>
      <c r="S112" s="320"/>
      <c r="T112" s="319"/>
      <c r="U112" s="320"/>
      <c r="V112" s="319">
        <v>6</v>
      </c>
      <c r="W112" s="320">
        <v>0</v>
      </c>
      <c r="X112" s="319">
        <v>0</v>
      </c>
      <c r="Y112" s="320">
        <v>0</v>
      </c>
      <c r="Z112" s="319">
        <v>0</v>
      </c>
      <c r="AA112" s="320">
        <v>0</v>
      </c>
      <c r="AB112" s="319">
        <v>0</v>
      </c>
      <c r="AC112" s="320">
        <v>0</v>
      </c>
      <c r="AD112" s="319">
        <v>0</v>
      </c>
      <c r="AE112" s="320">
        <v>0</v>
      </c>
      <c r="AF112" s="319"/>
      <c r="AG112" s="320"/>
      <c r="AH112" s="319"/>
      <c r="AI112" s="320"/>
      <c r="AJ112" s="319">
        <v>6</v>
      </c>
      <c r="AK112" s="320">
        <v>0</v>
      </c>
      <c r="AL112" s="319">
        <v>0</v>
      </c>
      <c r="AM112" s="320">
        <v>0</v>
      </c>
      <c r="AN112" s="319">
        <v>0</v>
      </c>
      <c r="AO112" s="320">
        <v>0</v>
      </c>
      <c r="AP112" s="319">
        <v>0</v>
      </c>
      <c r="AQ112" s="320">
        <v>0</v>
      </c>
      <c r="AR112" s="319">
        <v>0</v>
      </c>
      <c r="AS112" s="320">
        <v>0</v>
      </c>
      <c r="AT112" s="319"/>
      <c r="AU112" s="320"/>
      <c r="AV112" s="319"/>
      <c r="AW112" s="320"/>
      <c r="AX112" s="319">
        <v>6</v>
      </c>
      <c r="AY112" s="320">
        <v>0</v>
      </c>
      <c r="AZ112" s="319">
        <v>0</v>
      </c>
      <c r="BA112" s="320">
        <v>0</v>
      </c>
      <c r="BB112" s="319">
        <v>0</v>
      </c>
      <c r="BC112" s="320">
        <v>0</v>
      </c>
      <c r="BD112" s="319">
        <v>0</v>
      </c>
      <c r="BE112" s="320">
        <v>0</v>
      </c>
      <c r="BF112" s="319">
        <v>0</v>
      </c>
      <c r="BG112" s="320">
        <v>0</v>
      </c>
      <c r="BH112" s="319"/>
      <c r="BI112" s="320"/>
      <c r="BJ112" s="319"/>
      <c r="BK112" s="320"/>
      <c r="BL112" s="319">
        <v>6</v>
      </c>
      <c r="BM112" s="320">
        <v>0</v>
      </c>
      <c r="BN112" s="319">
        <v>0</v>
      </c>
      <c r="BO112" s="320">
        <v>0</v>
      </c>
      <c r="BP112" s="319">
        <v>0</v>
      </c>
      <c r="BQ112" s="320">
        <v>0</v>
      </c>
      <c r="BR112" s="319">
        <v>0</v>
      </c>
      <c r="BS112" s="320">
        <v>0</v>
      </c>
      <c r="BT112" s="319"/>
      <c r="BU112" s="320"/>
      <c r="BV112" s="264">
        <f t="shared" ref="BV112:BV115" si="45">L112+N112+P112+R112+T112+V112+X112+Z112+AB112+AD112+AF112+AH112+AJ112+AL112+AN112+AP112+AR112+AT112+AV112+AX112+AZ112+BB112+BD112+BF112+BH112+BJ112+BL112+BN112+BP112+BR112+BT112</f>
        <v>24</v>
      </c>
      <c r="BW112" s="264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2" customFormat="1" ht="21.95" customHeight="1" x14ac:dyDescent="0.2">
      <c r="A113" s="304" t="s">
        <v>3260</v>
      </c>
      <c r="B113" s="305" t="s">
        <v>3261</v>
      </c>
      <c r="C113" s="311" t="s">
        <v>3170</v>
      </c>
      <c r="D113" s="306" t="s">
        <v>3262</v>
      </c>
      <c r="E113" s="307" t="s">
        <v>3263</v>
      </c>
      <c r="F113" s="308" t="s">
        <v>3166</v>
      </c>
      <c r="G113" s="308" t="s">
        <v>3167</v>
      </c>
      <c r="H113" s="309" t="s">
        <v>1500</v>
      </c>
      <c r="I113" s="310" t="s">
        <v>1500</v>
      </c>
      <c r="J113" s="273" t="s">
        <v>3168</v>
      </c>
      <c r="K113" s="275" t="s">
        <v>3172</v>
      </c>
      <c r="L113" s="319">
        <v>0</v>
      </c>
      <c r="M113" s="320">
        <v>0</v>
      </c>
      <c r="N113" s="319">
        <v>0</v>
      </c>
      <c r="O113" s="320">
        <v>0</v>
      </c>
      <c r="P113" s="319">
        <v>0</v>
      </c>
      <c r="Q113" s="320">
        <v>0</v>
      </c>
      <c r="R113" s="319"/>
      <c r="S113" s="320"/>
      <c r="T113" s="319"/>
      <c r="U113" s="320"/>
      <c r="V113" s="319">
        <v>0</v>
      </c>
      <c r="W113" s="320">
        <v>0</v>
      </c>
      <c r="X113" s="319">
        <v>0</v>
      </c>
      <c r="Y113" s="320">
        <v>0</v>
      </c>
      <c r="Z113" s="319">
        <v>0</v>
      </c>
      <c r="AA113" s="320">
        <v>0</v>
      </c>
      <c r="AB113" s="319">
        <v>0</v>
      </c>
      <c r="AC113" s="320">
        <v>0</v>
      </c>
      <c r="AD113" s="319">
        <v>0</v>
      </c>
      <c r="AE113" s="320">
        <v>0</v>
      </c>
      <c r="AF113" s="319"/>
      <c r="AG113" s="320"/>
      <c r="AH113" s="319"/>
      <c r="AI113" s="320"/>
      <c r="AJ113" s="319">
        <v>0</v>
      </c>
      <c r="AK113" s="320">
        <v>0</v>
      </c>
      <c r="AL113" s="319">
        <v>0</v>
      </c>
      <c r="AM113" s="320">
        <v>0</v>
      </c>
      <c r="AN113" s="319">
        <v>0</v>
      </c>
      <c r="AO113" s="320">
        <v>0</v>
      </c>
      <c r="AP113" s="319">
        <v>0</v>
      </c>
      <c r="AQ113" s="320">
        <v>0</v>
      </c>
      <c r="AR113" s="319">
        <v>0</v>
      </c>
      <c r="AS113" s="320">
        <v>0</v>
      </c>
      <c r="AT113" s="319"/>
      <c r="AU113" s="320"/>
      <c r="AV113" s="319"/>
      <c r="AW113" s="320"/>
      <c r="AX113" s="319">
        <v>0</v>
      </c>
      <c r="AY113" s="320">
        <v>0</v>
      </c>
      <c r="AZ113" s="319">
        <v>0</v>
      </c>
      <c r="BA113" s="320">
        <v>0</v>
      </c>
      <c r="BB113" s="319">
        <v>0</v>
      </c>
      <c r="BC113" s="320">
        <v>0</v>
      </c>
      <c r="BD113" s="319">
        <v>0</v>
      </c>
      <c r="BE113" s="320">
        <v>0</v>
      </c>
      <c r="BF113" s="319">
        <v>0</v>
      </c>
      <c r="BG113" s="320">
        <v>0</v>
      </c>
      <c r="BH113" s="319"/>
      <c r="BI113" s="320"/>
      <c r="BJ113" s="319"/>
      <c r="BK113" s="320"/>
      <c r="BL113" s="319">
        <v>0</v>
      </c>
      <c r="BM113" s="320">
        <v>0</v>
      </c>
      <c r="BN113" s="319">
        <v>0</v>
      </c>
      <c r="BO113" s="320">
        <v>0</v>
      </c>
      <c r="BP113" s="319">
        <v>0</v>
      </c>
      <c r="BQ113" s="320">
        <v>0</v>
      </c>
      <c r="BR113" s="319">
        <v>0</v>
      </c>
      <c r="BS113" s="320">
        <v>0</v>
      </c>
      <c r="BT113" s="319"/>
      <c r="BU113" s="320"/>
      <c r="BV113" s="264">
        <f t="shared" si="45"/>
        <v>0</v>
      </c>
      <c r="BW113" s="264">
        <f t="shared" si="46"/>
        <v>0</v>
      </c>
    </row>
    <row r="114" spans="1:75" s="62" customFormat="1" ht="21.95" customHeight="1" x14ac:dyDescent="0.2">
      <c r="A114" s="304" t="s">
        <v>3260</v>
      </c>
      <c r="B114" s="305" t="s">
        <v>3261</v>
      </c>
      <c r="C114" s="311" t="s">
        <v>3170</v>
      </c>
      <c r="D114" s="306" t="s">
        <v>3262</v>
      </c>
      <c r="E114" s="307" t="s">
        <v>3263</v>
      </c>
      <c r="F114" s="308" t="s">
        <v>3166</v>
      </c>
      <c r="G114" s="308" t="s">
        <v>3167</v>
      </c>
      <c r="H114" s="309" t="s">
        <v>1500</v>
      </c>
      <c r="I114" s="310" t="s">
        <v>1500</v>
      </c>
      <c r="J114" s="273" t="s">
        <v>3168</v>
      </c>
      <c r="K114" s="276" t="s">
        <v>3173</v>
      </c>
      <c r="L114" s="319">
        <v>0</v>
      </c>
      <c r="M114" s="320">
        <v>0</v>
      </c>
      <c r="N114" s="319">
        <v>0</v>
      </c>
      <c r="O114" s="320">
        <v>0</v>
      </c>
      <c r="P114" s="319">
        <v>0</v>
      </c>
      <c r="Q114" s="320">
        <v>0</v>
      </c>
      <c r="R114" s="319"/>
      <c r="S114" s="320"/>
      <c r="T114" s="319"/>
      <c r="U114" s="320"/>
      <c r="V114" s="319">
        <v>0</v>
      </c>
      <c r="W114" s="320">
        <v>0</v>
      </c>
      <c r="X114" s="319">
        <v>0</v>
      </c>
      <c r="Y114" s="320">
        <v>0</v>
      </c>
      <c r="Z114" s="319">
        <v>0</v>
      </c>
      <c r="AA114" s="320">
        <v>0</v>
      </c>
      <c r="AB114" s="319">
        <v>0</v>
      </c>
      <c r="AC114" s="320">
        <v>0</v>
      </c>
      <c r="AD114" s="319">
        <v>0</v>
      </c>
      <c r="AE114" s="320">
        <v>0</v>
      </c>
      <c r="AF114" s="319"/>
      <c r="AG114" s="320"/>
      <c r="AH114" s="319"/>
      <c r="AI114" s="320"/>
      <c r="AJ114" s="319">
        <v>0</v>
      </c>
      <c r="AK114" s="320">
        <v>0</v>
      </c>
      <c r="AL114" s="319">
        <v>0</v>
      </c>
      <c r="AM114" s="320">
        <v>0</v>
      </c>
      <c r="AN114" s="319">
        <v>0</v>
      </c>
      <c r="AO114" s="320">
        <v>0</v>
      </c>
      <c r="AP114" s="319">
        <v>0</v>
      </c>
      <c r="AQ114" s="320">
        <v>0</v>
      </c>
      <c r="AR114" s="319">
        <v>0</v>
      </c>
      <c r="AS114" s="320">
        <v>0</v>
      </c>
      <c r="AT114" s="319"/>
      <c r="AU114" s="320"/>
      <c r="AV114" s="319"/>
      <c r="AW114" s="320"/>
      <c r="AX114" s="319">
        <v>0</v>
      </c>
      <c r="AY114" s="320">
        <v>0</v>
      </c>
      <c r="AZ114" s="319">
        <v>0</v>
      </c>
      <c r="BA114" s="320">
        <v>0</v>
      </c>
      <c r="BB114" s="319">
        <v>0</v>
      </c>
      <c r="BC114" s="320">
        <v>0</v>
      </c>
      <c r="BD114" s="319">
        <v>0</v>
      </c>
      <c r="BE114" s="320">
        <v>0</v>
      </c>
      <c r="BF114" s="319">
        <v>0</v>
      </c>
      <c r="BG114" s="320">
        <v>0</v>
      </c>
      <c r="BH114" s="319"/>
      <c r="BI114" s="320"/>
      <c r="BJ114" s="319"/>
      <c r="BK114" s="320"/>
      <c r="BL114" s="319">
        <v>0</v>
      </c>
      <c r="BM114" s="320">
        <v>0</v>
      </c>
      <c r="BN114" s="319">
        <v>0</v>
      </c>
      <c r="BO114" s="320">
        <v>0</v>
      </c>
      <c r="BP114" s="319">
        <v>0</v>
      </c>
      <c r="BQ114" s="320">
        <v>0</v>
      </c>
      <c r="BR114" s="319">
        <v>0</v>
      </c>
      <c r="BS114" s="320">
        <v>0</v>
      </c>
      <c r="BT114" s="319"/>
      <c r="BU114" s="320"/>
      <c r="BV114" s="264">
        <f t="shared" si="45"/>
        <v>0</v>
      </c>
      <c r="BW114" s="264">
        <f t="shared" si="46"/>
        <v>0</v>
      </c>
    </row>
    <row r="115" spans="1:75" s="62" customFormat="1" ht="21.95" customHeight="1" thickBot="1" x14ac:dyDescent="0.25">
      <c r="A115" s="567" t="s">
        <v>3260</v>
      </c>
      <c r="B115" s="312" t="s">
        <v>3261</v>
      </c>
      <c r="C115" s="313" t="s">
        <v>3170</v>
      </c>
      <c r="D115" s="314" t="s">
        <v>3262</v>
      </c>
      <c r="E115" s="330" t="s">
        <v>3263</v>
      </c>
      <c r="F115" s="315" t="s">
        <v>3166</v>
      </c>
      <c r="G115" s="315" t="s">
        <v>3167</v>
      </c>
      <c r="H115" s="316" t="s">
        <v>1500</v>
      </c>
      <c r="I115" s="568" t="s">
        <v>1500</v>
      </c>
      <c r="J115" s="273" t="s">
        <v>3168</v>
      </c>
      <c r="K115" s="277" t="s">
        <v>53</v>
      </c>
      <c r="L115" s="321">
        <v>0</v>
      </c>
      <c r="M115" s="322">
        <v>0</v>
      </c>
      <c r="N115" s="321">
        <v>0</v>
      </c>
      <c r="O115" s="322">
        <v>0</v>
      </c>
      <c r="P115" s="321">
        <v>0</v>
      </c>
      <c r="Q115" s="322">
        <v>0</v>
      </c>
      <c r="R115" s="321"/>
      <c r="S115" s="322"/>
      <c r="T115" s="321"/>
      <c r="U115" s="322"/>
      <c r="V115" s="321">
        <v>0</v>
      </c>
      <c r="W115" s="322">
        <v>0</v>
      </c>
      <c r="X115" s="321">
        <v>0</v>
      </c>
      <c r="Y115" s="322">
        <v>0</v>
      </c>
      <c r="Z115" s="321">
        <v>0</v>
      </c>
      <c r="AA115" s="322">
        <v>0</v>
      </c>
      <c r="AB115" s="321">
        <v>0</v>
      </c>
      <c r="AC115" s="322">
        <v>0</v>
      </c>
      <c r="AD115" s="321">
        <v>0</v>
      </c>
      <c r="AE115" s="322">
        <v>0</v>
      </c>
      <c r="AF115" s="321"/>
      <c r="AG115" s="322"/>
      <c r="AH115" s="321"/>
      <c r="AI115" s="322"/>
      <c r="AJ115" s="321">
        <v>0</v>
      </c>
      <c r="AK115" s="322">
        <v>0</v>
      </c>
      <c r="AL115" s="321">
        <v>0</v>
      </c>
      <c r="AM115" s="322">
        <v>0</v>
      </c>
      <c r="AN115" s="321">
        <v>0</v>
      </c>
      <c r="AO115" s="322">
        <v>0</v>
      </c>
      <c r="AP115" s="321">
        <v>0</v>
      </c>
      <c r="AQ115" s="322">
        <v>0</v>
      </c>
      <c r="AR115" s="321">
        <v>0</v>
      </c>
      <c r="AS115" s="322">
        <v>0</v>
      </c>
      <c r="AT115" s="321"/>
      <c r="AU115" s="322"/>
      <c r="AV115" s="321"/>
      <c r="AW115" s="322"/>
      <c r="AX115" s="321">
        <v>0</v>
      </c>
      <c r="AY115" s="322">
        <v>0</v>
      </c>
      <c r="AZ115" s="321">
        <v>0</v>
      </c>
      <c r="BA115" s="322">
        <v>0</v>
      </c>
      <c r="BB115" s="321">
        <v>0</v>
      </c>
      <c r="BC115" s="322">
        <v>0</v>
      </c>
      <c r="BD115" s="321">
        <v>0</v>
      </c>
      <c r="BE115" s="322">
        <v>0</v>
      </c>
      <c r="BF115" s="321">
        <v>0</v>
      </c>
      <c r="BG115" s="322">
        <v>0</v>
      </c>
      <c r="BH115" s="321"/>
      <c r="BI115" s="322"/>
      <c r="BJ115" s="321"/>
      <c r="BK115" s="322"/>
      <c r="BL115" s="321">
        <v>0</v>
      </c>
      <c r="BM115" s="322">
        <v>0</v>
      </c>
      <c r="BN115" s="321">
        <v>0</v>
      </c>
      <c r="BO115" s="322">
        <v>0</v>
      </c>
      <c r="BP115" s="321">
        <v>0</v>
      </c>
      <c r="BQ115" s="322">
        <v>0</v>
      </c>
      <c r="BR115" s="321">
        <v>0</v>
      </c>
      <c r="BS115" s="322">
        <v>0</v>
      </c>
      <c r="BT115" s="321"/>
      <c r="BU115" s="322"/>
      <c r="BV115" s="264">
        <f t="shared" si="45"/>
        <v>0</v>
      </c>
      <c r="BW115" s="264">
        <f t="shared" si="46"/>
        <v>0</v>
      </c>
    </row>
    <row r="116" spans="1:75" s="62" customFormat="1" ht="21.95" customHeight="1" x14ac:dyDescent="0.25">
      <c r="A116" s="344" t="s">
        <v>3264</v>
      </c>
      <c r="B116" s="433" t="s">
        <v>3265</v>
      </c>
      <c r="C116" s="434">
        <v>1</v>
      </c>
      <c r="D116" s="435" t="s">
        <v>3266</v>
      </c>
      <c r="E116" s="345" t="s">
        <v>3267</v>
      </c>
      <c r="F116" s="436" t="s">
        <v>3166</v>
      </c>
      <c r="G116" s="436" t="s">
        <v>3167</v>
      </c>
      <c r="H116" s="437" t="s">
        <v>1501</v>
      </c>
      <c r="I116" s="303" t="s">
        <v>1501</v>
      </c>
      <c r="J116" s="273" t="s">
        <v>3168</v>
      </c>
      <c r="K116" s="274" t="s">
        <v>3169</v>
      </c>
      <c r="L116" s="321">
        <v>0</v>
      </c>
      <c r="M116" s="322">
        <v>0</v>
      </c>
      <c r="N116" s="321">
        <v>0</v>
      </c>
      <c r="O116" s="322">
        <v>0</v>
      </c>
      <c r="P116" s="321">
        <v>0</v>
      </c>
      <c r="Q116" s="322">
        <v>0</v>
      </c>
      <c r="R116" s="321"/>
      <c r="S116" s="322"/>
      <c r="T116" s="321"/>
      <c r="U116" s="322"/>
      <c r="V116" s="321">
        <v>0</v>
      </c>
      <c r="W116" s="322">
        <v>0</v>
      </c>
      <c r="X116" s="321">
        <v>0</v>
      </c>
      <c r="Y116" s="322">
        <v>0</v>
      </c>
      <c r="Z116" s="321">
        <v>0</v>
      </c>
      <c r="AA116" s="322">
        <v>0</v>
      </c>
      <c r="AB116" s="321">
        <v>0</v>
      </c>
      <c r="AC116" s="322">
        <v>0</v>
      </c>
      <c r="AD116" s="321">
        <v>0</v>
      </c>
      <c r="AE116" s="322">
        <v>0</v>
      </c>
      <c r="AF116" s="321"/>
      <c r="AG116" s="322"/>
      <c r="AH116" s="321"/>
      <c r="AI116" s="322"/>
      <c r="AJ116" s="321">
        <v>0</v>
      </c>
      <c r="AK116" s="322">
        <v>0</v>
      </c>
      <c r="AL116" s="321">
        <v>0</v>
      </c>
      <c r="AM116" s="322">
        <v>0</v>
      </c>
      <c r="AN116" s="321">
        <v>0</v>
      </c>
      <c r="AO116" s="322">
        <v>0</v>
      </c>
      <c r="AP116" s="321">
        <v>0</v>
      </c>
      <c r="AQ116" s="322">
        <v>0</v>
      </c>
      <c r="AR116" s="321">
        <v>0</v>
      </c>
      <c r="AS116" s="322">
        <v>0</v>
      </c>
      <c r="AT116" s="321"/>
      <c r="AU116" s="322"/>
      <c r="AV116" s="321"/>
      <c r="AW116" s="322"/>
      <c r="AX116" s="321">
        <v>0</v>
      </c>
      <c r="AY116" s="322">
        <v>0</v>
      </c>
      <c r="AZ116" s="321">
        <v>0</v>
      </c>
      <c r="BA116" s="322">
        <v>0</v>
      </c>
      <c r="BB116" s="321">
        <v>0</v>
      </c>
      <c r="BC116" s="322">
        <v>0</v>
      </c>
      <c r="BD116" s="321">
        <v>0</v>
      </c>
      <c r="BE116" s="322">
        <v>0</v>
      </c>
      <c r="BF116" s="321">
        <v>0</v>
      </c>
      <c r="BG116" s="322">
        <v>0</v>
      </c>
      <c r="BH116" s="321"/>
      <c r="BI116" s="322"/>
      <c r="BJ116" s="321"/>
      <c r="BK116" s="322"/>
      <c r="BL116" s="321">
        <v>0</v>
      </c>
      <c r="BM116" s="322">
        <v>0</v>
      </c>
      <c r="BN116" s="321">
        <v>0</v>
      </c>
      <c r="BO116" s="322">
        <v>0</v>
      </c>
      <c r="BP116" s="321">
        <v>0</v>
      </c>
      <c r="BQ116" s="322">
        <v>0</v>
      </c>
      <c r="BR116" s="321">
        <v>0</v>
      </c>
      <c r="BS116" s="322">
        <v>0</v>
      </c>
      <c r="BT116" s="321"/>
      <c r="BU116" s="322"/>
      <c r="BV116" s="264">
        <f>L116+N116+P116+R116+T116+V116+X116+Z116+AB116+AD116+AF116+AH116+AJ116+AL116+AN116+AP116+AR116+AT116+AV116+AX116+AZ116+BB116+BD116+BF116+BH116+BJ116+BL116+BN116+BP116+BR116+BT116</f>
        <v>0</v>
      </c>
      <c r="BW116" s="264">
        <f>M116+O116+Q116+S116+U116+W116+Y116+AA116+AC116+AE116+AG116+AI116+AK116+AM116+AO116+AQ116+AS116+AU116+AW116+AY116+BA116+BC116+BE116+BG116+BI116+BK116+BM116+BO116+BQ116+BS116+BU116</f>
        <v>0</v>
      </c>
    </row>
    <row r="117" spans="1:75" s="62" customFormat="1" ht="21.95" customHeight="1" x14ac:dyDescent="0.2">
      <c r="A117" s="304" t="s">
        <v>3264</v>
      </c>
      <c r="B117" s="305" t="s">
        <v>3265</v>
      </c>
      <c r="C117" s="272" t="s">
        <v>3170</v>
      </c>
      <c r="D117" s="306" t="s">
        <v>3266</v>
      </c>
      <c r="E117" s="307" t="s">
        <v>3267</v>
      </c>
      <c r="F117" s="308" t="s">
        <v>3166</v>
      </c>
      <c r="G117" s="308" t="s">
        <v>3167</v>
      </c>
      <c r="H117" s="309" t="s">
        <v>1501</v>
      </c>
      <c r="I117" s="310" t="s">
        <v>1501</v>
      </c>
      <c r="J117" s="273" t="s">
        <v>3168</v>
      </c>
      <c r="K117" s="273" t="s">
        <v>3171</v>
      </c>
      <c r="L117" s="319">
        <v>0</v>
      </c>
      <c r="M117" s="320">
        <v>0</v>
      </c>
      <c r="N117" s="319">
        <v>0</v>
      </c>
      <c r="O117" s="320">
        <v>0</v>
      </c>
      <c r="P117" s="319">
        <v>0</v>
      </c>
      <c r="Q117" s="320">
        <v>0</v>
      </c>
      <c r="R117" s="319"/>
      <c r="S117" s="320"/>
      <c r="T117" s="319"/>
      <c r="U117" s="320"/>
      <c r="V117" s="319">
        <v>0</v>
      </c>
      <c r="W117" s="320">
        <v>0</v>
      </c>
      <c r="X117" s="319">
        <v>0</v>
      </c>
      <c r="Y117" s="320">
        <v>0</v>
      </c>
      <c r="Z117" s="319">
        <v>0</v>
      </c>
      <c r="AA117" s="320">
        <v>0</v>
      </c>
      <c r="AB117" s="319">
        <v>0</v>
      </c>
      <c r="AC117" s="320">
        <v>0</v>
      </c>
      <c r="AD117" s="319">
        <v>0</v>
      </c>
      <c r="AE117" s="320">
        <v>0</v>
      </c>
      <c r="AF117" s="319"/>
      <c r="AG117" s="320"/>
      <c r="AH117" s="319"/>
      <c r="AI117" s="320"/>
      <c r="AJ117" s="319">
        <v>0</v>
      </c>
      <c r="AK117" s="320">
        <v>0</v>
      </c>
      <c r="AL117" s="319">
        <v>0</v>
      </c>
      <c r="AM117" s="320">
        <v>0</v>
      </c>
      <c r="AN117" s="319">
        <v>0</v>
      </c>
      <c r="AO117" s="320">
        <v>0</v>
      </c>
      <c r="AP117" s="319">
        <v>0</v>
      </c>
      <c r="AQ117" s="320">
        <v>0</v>
      </c>
      <c r="AR117" s="319">
        <v>0</v>
      </c>
      <c r="AS117" s="320">
        <v>0</v>
      </c>
      <c r="AT117" s="319"/>
      <c r="AU117" s="320"/>
      <c r="AV117" s="319"/>
      <c r="AW117" s="320"/>
      <c r="AX117" s="319">
        <v>0</v>
      </c>
      <c r="AY117" s="320">
        <v>0</v>
      </c>
      <c r="AZ117" s="319">
        <v>0</v>
      </c>
      <c r="BA117" s="320">
        <v>0</v>
      </c>
      <c r="BB117" s="319">
        <v>0</v>
      </c>
      <c r="BC117" s="320">
        <v>0</v>
      </c>
      <c r="BD117" s="319">
        <v>0</v>
      </c>
      <c r="BE117" s="320">
        <v>0</v>
      </c>
      <c r="BF117" s="319">
        <v>0</v>
      </c>
      <c r="BG117" s="320">
        <v>0</v>
      </c>
      <c r="BH117" s="319"/>
      <c r="BI117" s="320"/>
      <c r="BJ117" s="319"/>
      <c r="BK117" s="320"/>
      <c r="BL117" s="319">
        <v>0</v>
      </c>
      <c r="BM117" s="320">
        <v>0</v>
      </c>
      <c r="BN117" s="319">
        <v>0</v>
      </c>
      <c r="BO117" s="320">
        <v>0</v>
      </c>
      <c r="BP117" s="319">
        <v>0</v>
      </c>
      <c r="BQ117" s="320">
        <v>0</v>
      </c>
      <c r="BR117" s="319">
        <v>0</v>
      </c>
      <c r="BS117" s="320">
        <v>0</v>
      </c>
      <c r="BT117" s="319"/>
      <c r="BU117" s="320"/>
      <c r="BV117" s="264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264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2" customFormat="1" ht="21.95" customHeight="1" x14ac:dyDescent="0.2">
      <c r="A118" s="304" t="s">
        <v>3264</v>
      </c>
      <c r="B118" s="305" t="s">
        <v>3265</v>
      </c>
      <c r="C118" s="311" t="s">
        <v>3170</v>
      </c>
      <c r="D118" s="306" t="s">
        <v>3266</v>
      </c>
      <c r="E118" s="307" t="s">
        <v>3267</v>
      </c>
      <c r="F118" s="308" t="s">
        <v>3166</v>
      </c>
      <c r="G118" s="308" t="s">
        <v>3167</v>
      </c>
      <c r="H118" s="309" t="s">
        <v>1501</v>
      </c>
      <c r="I118" s="310" t="s">
        <v>1501</v>
      </c>
      <c r="J118" s="273" t="s">
        <v>3168</v>
      </c>
      <c r="K118" s="275" t="s">
        <v>3172</v>
      </c>
      <c r="L118" s="319">
        <v>0</v>
      </c>
      <c r="M118" s="320">
        <v>0</v>
      </c>
      <c r="N118" s="319">
        <v>0</v>
      </c>
      <c r="O118" s="320">
        <v>0</v>
      </c>
      <c r="P118" s="319">
        <v>0</v>
      </c>
      <c r="Q118" s="320">
        <v>0</v>
      </c>
      <c r="R118" s="319"/>
      <c r="S118" s="320"/>
      <c r="T118" s="319"/>
      <c r="U118" s="320"/>
      <c r="V118" s="319">
        <v>0</v>
      </c>
      <c r="W118" s="320">
        <v>0</v>
      </c>
      <c r="X118" s="319">
        <v>0</v>
      </c>
      <c r="Y118" s="320">
        <v>0</v>
      </c>
      <c r="Z118" s="319">
        <v>0</v>
      </c>
      <c r="AA118" s="320">
        <v>0</v>
      </c>
      <c r="AB118" s="319">
        <v>0</v>
      </c>
      <c r="AC118" s="320">
        <v>0</v>
      </c>
      <c r="AD118" s="319">
        <v>0</v>
      </c>
      <c r="AE118" s="320">
        <v>0</v>
      </c>
      <c r="AF118" s="319"/>
      <c r="AG118" s="320"/>
      <c r="AH118" s="319"/>
      <c r="AI118" s="320"/>
      <c r="AJ118" s="319">
        <v>0</v>
      </c>
      <c r="AK118" s="320">
        <v>0</v>
      </c>
      <c r="AL118" s="319">
        <v>0</v>
      </c>
      <c r="AM118" s="320">
        <v>0</v>
      </c>
      <c r="AN118" s="319">
        <v>0</v>
      </c>
      <c r="AO118" s="320">
        <v>0</v>
      </c>
      <c r="AP118" s="319">
        <v>0</v>
      </c>
      <c r="AQ118" s="320">
        <v>0</v>
      </c>
      <c r="AR118" s="319">
        <v>0</v>
      </c>
      <c r="AS118" s="320">
        <v>0</v>
      </c>
      <c r="AT118" s="319"/>
      <c r="AU118" s="320"/>
      <c r="AV118" s="319"/>
      <c r="AW118" s="320"/>
      <c r="AX118" s="319">
        <v>0</v>
      </c>
      <c r="AY118" s="320">
        <v>0</v>
      </c>
      <c r="AZ118" s="319">
        <v>0</v>
      </c>
      <c r="BA118" s="320">
        <v>0</v>
      </c>
      <c r="BB118" s="319">
        <v>0</v>
      </c>
      <c r="BC118" s="320">
        <v>0</v>
      </c>
      <c r="BD118" s="319">
        <v>0</v>
      </c>
      <c r="BE118" s="320">
        <v>0</v>
      </c>
      <c r="BF118" s="319">
        <v>0</v>
      </c>
      <c r="BG118" s="320">
        <v>0</v>
      </c>
      <c r="BH118" s="319"/>
      <c r="BI118" s="320"/>
      <c r="BJ118" s="319"/>
      <c r="BK118" s="320"/>
      <c r="BL118" s="319">
        <v>0</v>
      </c>
      <c r="BM118" s="320">
        <v>0</v>
      </c>
      <c r="BN118" s="319">
        <v>0</v>
      </c>
      <c r="BO118" s="320">
        <v>0</v>
      </c>
      <c r="BP118" s="319">
        <v>0</v>
      </c>
      <c r="BQ118" s="320">
        <v>0</v>
      </c>
      <c r="BR118" s="319">
        <v>0</v>
      </c>
      <c r="BS118" s="320">
        <v>0</v>
      </c>
      <c r="BT118" s="319"/>
      <c r="BU118" s="320"/>
      <c r="BV118" s="264">
        <f t="shared" si="47"/>
        <v>0</v>
      </c>
      <c r="BW118" s="264">
        <f t="shared" si="48"/>
        <v>0</v>
      </c>
    </row>
    <row r="119" spans="1:75" s="62" customFormat="1" ht="21.95" customHeight="1" x14ac:dyDescent="0.2">
      <c r="A119" s="304" t="s">
        <v>3264</v>
      </c>
      <c r="B119" s="305" t="s">
        <v>3265</v>
      </c>
      <c r="C119" s="311" t="s">
        <v>3170</v>
      </c>
      <c r="D119" s="306" t="s">
        <v>3266</v>
      </c>
      <c r="E119" s="307" t="s">
        <v>3267</v>
      </c>
      <c r="F119" s="308" t="s">
        <v>3166</v>
      </c>
      <c r="G119" s="308" t="s">
        <v>3167</v>
      </c>
      <c r="H119" s="309" t="s">
        <v>1501</v>
      </c>
      <c r="I119" s="310" t="s">
        <v>1501</v>
      </c>
      <c r="J119" s="273" t="s">
        <v>3168</v>
      </c>
      <c r="K119" s="276" t="s">
        <v>3173</v>
      </c>
      <c r="L119" s="319">
        <v>0</v>
      </c>
      <c r="M119" s="320">
        <v>0</v>
      </c>
      <c r="N119" s="319">
        <v>0</v>
      </c>
      <c r="O119" s="320">
        <v>0</v>
      </c>
      <c r="P119" s="319">
        <v>0</v>
      </c>
      <c r="Q119" s="320">
        <v>0</v>
      </c>
      <c r="R119" s="319"/>
      <c r="S119" s="320"/>
      <c r="T119" s="319"/>
      <c r="U119" s="320"/>
      <c r="V119" s="319">
        <v>0</v>
      </c>
      <c r="W119" s="320">
        <v>0</v>
      </c>
      <c r="X119" s="319">
        <v>0</v>
      </c>
      <c r="Y119" s="320">
        <v>0</v>
      </c>
      <c r="Z119" s="319">
        <v>0</v>
      </c>
      <c r="AA119" s="320">
        <v>0</v>
      </c>
      <c r="AB119" s="319">
        <v>0</v>
      </c>
      <c r="AC119" s="320">
        <v>0</v>
      </c>
      <c r="AD119" s="319">
        <v>0</v>
      </c>
      <c r="AE119" s="320">
        <v>0</v>
      </c>
      <c r="AF119" s="319"/>
      <c r="AG119" s="320"/>
      <c r="AH119" s="319"/>
      <c r="AI119" s="320"/>
      <c r="AJ119" s="319">
        <v>0</v>
      </c>
      <c r="AK119" s="320">
        <v>0</v>
      </c>
      <c r="AL119" s="319">
        <v>0</v>
      </c>
      <c r="AM119" s="320">
        <v>0</v>
      </c>
      <c r="AN119" s="319">
        <v>0</v>
      </c>
      <c r="AO119" s="320">
        <v>0</v>
      </c>
      <c r="AP119" s="319">
        <v>0</v>
      </c>
      <c r="AQ119" s="320">
        <v>0</v>
      </c>
      <c r="AR119" s="319">
        <v>0</v>
      </c>
      <c r="AS119" s="320">
        <v>0</v>
      </c>
      <c r="AT119" s="319"/>
      <c r="AU119" s="320"/>
      <c r="AV119" s="319"/>
      <c r="AW119" s="320"/>
      <c r="AX119" s="319">
        <v>0</v>
      </c>
      <c r="AY119" s="320">
        <v>0</v>
      </c>
      <c r="AZ119" s="319">
        <v>0</v>
      </c>
      <c r="BA119" s="320">
        <v>0</v>
      </c>
      <c r="BB119" s="319">
        <v>0</v>
      </c>
      <c r="BC119" s="320">
        <v>0</v>
      </c>
      <c r="BD119" s="319">
        <v>0</v>
      </c>
      <c r="BE119" s="320">
        <v>0</v>
      </c>
      <c r="BF119" s="319">
        <v>0</v>
      </c>
      <c r="BG119" s="320">
        <v>0</v>
      </c>
      <c r="BH119" s="319"/>
      <c r="BI119" s="320"/>
      <c r="BJ119" s="319"/>
      <c r="BK119" s="320"/>
      <c r="BL119" s="319">
        <v>0</v>
      </c>
      <c r="BM119" s="320">
        <v>0</v>
      </c>
      <c r="BN119" s="319">
        <v>0</v>
      </c>
      <c r="BO119" s="320">
        <v>0</v>
      </c>
      <c r="BP119" s="319">
        <v>0</v>
      </c>
      <c r="BQ119" s="320">
        <v>0</v>
      </c>
      <c r="BR119" s="319">
        <v>0</v>
      </c>
      <c r="BS119" s="320">
        <v>0</v>
      </c>
      <c r="BT119" s="319"/>
      <c r="BU119" s="320"/>
      <c r="BV119" s="264">
        <f t="shared" si="47"/>
        <v>0</v>
      </c>
      <c r="BW119" s="264">
        <f t="shared" si="48"/>
        <v>0</v>
      </c>
    </row>
    <row r="120" spans="1:75" s="62" customFormat="1" ht="21.95" customHeight="1" thickBot="1" x14ac:dyDescent="0.25">
      <c r="A120" s="567" t="s">
        <v>3264</v>
      </c>
      <c r="B120" s="312" t="s">
        <v>3265</v>
      </c>
      <c r="C120" s="313" t="s">
        <v>3170</v>
      </c>
      <c r="D120" s="314" t="s">
        <v>3266</v>
      </c>
      <c r="E120" s="330" t="s">
        <v>3267</v>
      </c>
      <c r="F120" s="315" t="s">
        <v>3166</v>
      </c>
      <c r="G120" s="315" t="s">
        <v>3167</v>
      </c>
      <c r="H120" s="316" t="s">
        <v>1501</v>
      </c>
      <c r="I120" s="568" t="s">
        <v>1501</v>
      </c>
      <c r="J120" s="273" t="s">
        <v>3168</v>
      </c>
      <c r="K120" s="277" t="s">
        <v>53</v>
      </c>
      <c r="L120" s="321">
        <v>0</v>
      </c>
      <c r="M120" s="322">
        <v>0</v>
      </c>
      <c r="N120" s="321">
        <v>0</v>
      </c>
      <c r="O120" s="322">
        <v>0</v>
      </c>
      <c r="P120" s="321">
        <v>0</v>
      </c>
      <c r="Q120" s="322">
        <v>0</v>
      </c>
      <c r="R120" s="321"/>
      <c r="S120" s="322"/>
      <c r="T120" s="321"/>
      <c r="U120" s="322"/>
      <c r="V120" s="321">
        <v>0</v>
      </c>
      <c r="W120" s="322">
        <v>0</v>
      </c>
      <c r="X120" s="321">
        <v>0</v>
      </c>
      <c r="Y120" s="322">
        <v>0</v>
      </c>
      <c r="Z120" s="321">
        <v>0</v>
      </c>
      <c r="AA120" s="322">
        <v>0</v>
      </c>
      <c r="AB120" s="321">
        <v>0</v>
      </c>
      <c r="AC120" s="322">
        <v>0</v>
      </c>
      <c r="AD120" s="321">
        <v>0</v>
      </c>
      <c r="AE120" s="322">
        <v>0</v>
      </c>
      <c r="AF120" s="321"/>
      <c r="AG120" s="322"/>
      <c r="AH120" s="321"/>
      <c r="AI120" s="322"/>
      <c r="AJ120" s="321">
        <v>0</v>
      </c>
      <c r="AK120" s="322">
        <v>0</v>
      </c>
      <c r="AL120" s="321">
        <v>0</v>
      </c>
      <c r="AM120" s="322">
        <v>0</v>
      </c>
      <c r="AN120" s="321">
        <v>0</v>
      </c>
      <c r="AO120" s="322">
        <v>0</v>
      </c>
      <c r="AP120" s="321">
        <v>0</v>
      </c>
      <c r="AQ120" s="322">
        <v>0</v>
      </c>
      <c r="AR120" s="321">
        <v>0</v>
      </c>
      <c r="AS120" s="322">
        <v>0</v>
      </c>
      <c r="AT120" s="321"/>
      <c r="AU120" s="322"/>
      <c r="AV120" s="321"/>
      <c r="AW120" s="322"/>
      <c r="AX120" s="321">
        <v>0</v>
      </c>
      <c r="AY120" s="322">
        <v>0</v>
      </c>
      <c r="AZ120" s="321">
        <v>0</v>
      </c>
      <c r="BA120" s="322">
        <v>0</v>
      </c>
      <c r="BB120" s="321">
        <v>0</v>
      </c>
      <c r="BC120" s="322">
        <v>0</v>
      </c>
      <c r="BD120" s="321">
        <v>0</v>
      </c>
      <c r="BE120" s="322">
        <v>0</v>
      </c>
      <c r="BF120" s="321">
        <v>0</v>
      </c>
      <c r="BG120" s="322">
        <v>0</v>
      </c>
      <c r="BH120" s="321"/>
      <c r="BI120" s="322"/>
      <c r="BJ120" s="321"/>
      <c r="BK120" s="322"/>
      <c r="BL120" s="321">
        <v>0</v>
      </c>
      <c r="BM120" s="322">
        <v>0</v>
      </c>
      <c r="BN120" s="321">
        <v>0</v>
      </c>
      <c r="BO120" s="322">
        <v>0</v>
      </c>
      <c r="BP120" s="321">
        <v>0</v>
      </c>
      <c r="BQ120" s="322">
        <v>0</v>
      </c>
      <c r="BR120" s="321">
        <v>0</v>
      </c>
      <c r="BS120" s="322">
        <v>0</v>
      </c>
      <c r="BT120" s="321"/>
      <c r="BU120" s="322"/>
      <c r="BV120" s="264">
        <f t="shared" si="47"/>
        <v>0</v>
      </c>
      <c r="BW120" s="264">
        <f t="shared" si="48"/>
        <v>0</v>
      </c>
    </row>
    <row r="121" spans="1:75" s="62" customFormat="1" ht="21.95" customHeight="1" x14ac:dyDescent="0.25">
      <c r="A121" s="344" t="s">
        <v>3268</v>
      </c>
      <c r="B121" s="433" t="s">
        <v>3269</v>
      </c>
      <c r="C121" s="434">
        <v>1</v>
      </c>
      <c r="D121" s="435" t="s">
        <v>3270</v>
      </c>
      <c r="E121" s="345" t="s">
        <v>3271</v>
      </c>
      <c r="F121" s="436" t="s">
        <v>3166</v>
      </c>
      <c r="G121" s="436" t="s">
        <v>3167</v>
      </c>
      <c r="H121" s="437" t="s">
        <v>1502</v>
      </c>
      <c r="I121" s="303" t="s">
        <v>1502</v>
      </c>
      <c r="J121" s="273" t="s">
        <v>3168</v>
      </c>
      <c r="K121" s="274" t="s">
        <v>3169</v>
      </c>
      <c r="L121" s="321">
        <v>0</v>
      </c>
      <c r="M121" s="322">
        <v>0</v>
      </c>
      <c r="N121" s="321">
        <v>0</v>
      </c>
      <c r="O121" s="322">
        <v>0</v>
      </c>
      <c r="P121" s="321">
        <v>0</v>
      </c>
      <c r="Q121" s="322">
        <v>0</v>
      </c>
      <c r="R121" s="321"/>
      <c r="S121" s="322"/>
      <c r="T121" s="321"/>
      <c r="U121" s="322"/>
      <c r="V121" s="321">
        <v>0</v>
      </c>
      <c r="W121" s="322">
        <v>0</v>
      </c>
      <c r="X121" s="321">
        <v>0</v>
      </c>
      <c r="Y121" s="322">
        <v>0</v>
      </c>
      <c r="Z121" s="321">
        <v>0</v>
      </c>
      <c r="AA121" s="322">
        <v>0</v>
      </c>
      <c r="AB121" s="321">
        <v>0</v>
      </c>
      <c r="AC121" s="322">
        <v>0</v>
      </c>
      <c r="AD121" s="321">
        <v>0</v>
      </c>
      <c r="AE121" s="322">
        <v>0</v>
      </c>
      <c r="AF121" s="321"/>
      <c r="AG121" s="322"/>
      <c r="AH121" s="321"/>
      <c r="AI121" s="322"/>
      <c r="AJ121" s="321">
        <v>0</v>
      </c>
      <c r="AK121" s="322">
        <v>0</v>
      </c>
      <c r="AL121" s="321">
        <v>0</v>
      </c>
      <c r="AM121" s="322">
        <v>0</v>
      </c>
      <c r="AN121" s="321">
        <v>0</v>
      </c>
      <c r="AO121" s="322">
        <v>0</v>
      </c>
      <c r="AP121" s="321">
        <v>0</v>
      </c>
      <c r="AQ121" s="322">
        <v>0</v>
      </c>
      <c r="AR121" s="321">
        <v>0</v>
      </c>
      <c r="AS121" s="322">
        <v>0</v>
      </c>
      <c r="AT121" s="321"/>
      <c r="AU121" s="322"/>
      <c r="AV121" s="321"/>
      <c r="AW121" s="322"/>
      <c r="AX121" s="321">
        <v>0</v>
      </c>
      <c r="AY121" s="322">
        <v>0</v>
      </c>
      <c r="AZ121" s="321">
        <v>0</v>
      </c>
      <c r="BA121" s="322">
        <v>0</v>
      </c>
      <c r="BB121" s="321">
        <v>0</v>
      </c>
      <c r="BC121" s="322">
        <v>0</v>
      </c>
      <c r="BD121" s="321">
        <v>0</v>
      </c>
      <c r="BE121" s="322">
        <v>0</v>
      </c>
      <c r="BF121" s="321">
        <v>0</v>
      </c>
      <c r="BG121" s="322">
        <v>0</v>
      </c>
      <c r="BH121" s="321"/>
      <c r="BI121" s="322"/>
      <c r="BJ121" s="321"/>
      <c r="BK121" s="322"/>
      <c r="BL121" s="321">
        <v>0</v>
      </c>
      <c r="BM121" s="322">
        <v>0</v>
      </c>
      <c r="BN121" s="321">
        <v>0</v>
      </c>
      <c r="BO121" s="322">
        <v>0</v>
      </c>
      <c r="BP121" s="321">
        <v>0</v>
      </c>
      <c r="BQ121" s="322">
        <v>0</v>
      </c>
      <c r="BR121" s="321">
        <v>0</v>
      </c>
      <c r="BS121" s="322">
        <v>0</v>
      </c>
      <c r="BT121" s="321"/>
      <c r="BU121" s="322"/>
      <c r="BV121" s="264">
        <f>L121+N121+P121+R121+T121+V121+X121+Z121+AB121+AD121+AF121+AH121+AJ121+AL121+AN121+AP121+AR121+AT121+AV121+AX121+AZ121+BB121+BD121+BF121+BH121+BJ121+BL121+BN121+BP121+BR121+BT121</f>
        <v>0</v>
      </c>
      <c r="BW121" s="264">
        <f>M121+O121+Q121+S121+U121+W121+Y121+AA121+AC121+AE121+AG121+AI121+AK121+AM121+AO121+AQ121+AS121+AU121+AW121+AY121+BA121+BC121+BE121+BG121+BI121+BK121+BM121+BO121+BQ121+BS121+BU121</f>
        <v>0</v>
      </c>
    </row>
    <row r="122" spans="1:75" s="62" customFormat="1" ht="21.95" customHeight="1" x14ac:dyDescent="0.2">
      <c r="A122" s="304" t="s">
        <v>3268</v>
      </c>
      <c r="B122" s="305" t="s">
        <v>3269</v>
      </c>
      <c r="C122" s="272" t="s">
        <v>3170</v>
      </c>
      <c r="D122" s="306" t="s">
        <v>3270</v>
      </c>
      <c r="E122" s="307" t="s">
        <v>3271</v>
      </c>
      <c r="F122" s="308" t="s">
        <v>3166</v>
      </c>
      <c r="G122" s="308" t="s">
        <v>3167</v>
      </c>
      <c r="H122" s="309" t="s">
        <v>1502</v>
      </c>
      <c r="I122" s="310" t="s">
        <v>1502</v>
      </c>
      <c r="J122" s="273" t="s">
        <v>3168</v>
      </c>
      <c r="K122" s="273" t="s">
        <v>3171</v>
      </c>
      <c r="L122" s="319">
        <v>0</v>
      </c>
      <c r="M122" s="320">
        <v>0</v>
      </c>
      <c r="N122" s="319">
        <v>0</v>
      </c>
      <c r="O122" s="320">
        <v>0</v>
      </c>
      <c r="P122" s="319">
        <v>0</v>
      </c>
      <c r="Q122" s="320">
        <v>0</v>
      </c>
      <c r="R122" s="319"/>
      <c r="S122" s="320"/>
      <c r="T122" s="319"/>
      <c r="U122" s="320"/>
      <c r="V122" s="319">
        <v>0</v>
      </c>
      <c r="W122" s="320">
        <v>0</v>
      </c>
      <c r="X122" s="319">
        <v>0</v>
      </c>
      <c r="Y122" s="320">
        <v>0</v>
      </c>
      <c r="Z122" s="319">
        <v>0</v>
      </c>
      <c r="AA122" s="320">
        <v>0</v>
      </c>
      <c r="AB122" s="319">
        <v>0</v>
      </c>
      <c r="AC122" s="320">
        <v>0</v>
      </c>
      <c r="AD122" s="319">
        <v>0</v>
      </c>
      <c r="AE122" s="320">
        <v>0</v>
      </c>
      <c r="AF122" s="319"/>
      <c r="AG122" s="320"/>
      <c r="AH122" s="319"/>
      <c r="AI122" s="320"/>
      <c r="AJ122" s="319">
        <v>0</v>
      </c>
      <c r="AK122" s="320">
        <v>0</v>
      </c>
      <c r="AL122" s="319">
        <v>0</v>
      </c>
      <c r="AM122" s="320">
        <v>0</v>
      </c>
      <c r="AN122" s="319">
        <v>0</v>
      </c>
      <c r="AO122" s="320">
        <v>0</v>
      </c>
      <c r="AP122" s="319">
        <v>0</v>
      </c>
      <c r="AQ122" s="320">
        <v>0</v>
      </c>
      <c r="AR122" s="319">
        <v>0</v>
      </c>
      <c r="AS122" s="320">
        <v>0</v>
      </c>
      <c r="AT122" s="319"/>
      <c r="AU122" s="320"/>
      <c r="AV122" s="319"/>
      <c r="AW122" s="320"/>
      <c r="AX122" s="319">
        <v>0</v>
      </c>
      <c r="AY122" s="320">
        <v>0</v>
      </c>
      <c r="AZ122" s="319">
        <v>0</v>
      </c>
      <c r="BA122" s="320">
        <v>0</v>
      </c>
      <c r="BB122" s="319">
        <v>0</v>
      </c>
      <c r="BC122" s="320">
        <v>0</v>
      </c>
      <c r="BD122" s="319">
        <v>0</v>
      </c>
      <c r="BE122" s="320">
        <v>0</v>
      </c>
      <c r="BF122" s="319">
        <v>0</v>
      </c>
      <c r="BG122" s="320">
        <v>0</v>
      </c>
      <c r="BH122" s="319"/>
      <c r="BI122" s="320"/>
      <c r="BJ122" s="319"/>
      <c r="BK122" s="320"/>
      <c r="BL122" s="319">
        <v>0</v>
      </c>
      <c r="BM122" s="320">
        <v>0</v>
      </c>
      <c r="BN122" s="319">
        <v>0</v>
      </c>
      <c r="BO122" s="320">
        <v>0</v>
      </c>
      <c r="BP122" s="319">
        <v>0</v>
      </c>
      <c r="BQ122" s="320">
        <v>0</v>
      </c>
      <c r="BR122" s="319">
        <v>0</v>
      </c>
      <c r="BS122" s="320">
        <v>0</v>
      </c>
      <c r="BT122" s="319"/>
      <c r="BU122" s="320"/>
      <c r="BV122" s="264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264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2" customFormat="1" ht="21.95" customHeight="1" x14ac:dyDescent="0.2">
      <c r="A123" s="304" t="s">
        <v>3268</v>
      </c>
      <c r="B123" s="305" t="s">
        <v>3269</v>
      </c>
      <c r="C123" s="311" t="s">
        <v>3170</v>
      </c>
      <c r="D123" s="306" t="s">
        <v>3270</v>
      </c>
      <c r="E123" s="307" t="s">
        <v>3271</v>
      </c>
      <c r="F123" s="308" t="s">
        <v>3166</v>
      </c>
      <c r="G123" s="308" t="s">
        <v>3167</v>
      </c>
      <c r="H123" s="309" t="s">
        <v>1502</v>
      </c>
      <c r="I123" s="310" t="s">
        <v>1502</v>
      </c>
      <c r="J123" s="273" t="s">
        <v>3168</v>
      </c>
      <c r="K123" s="275" t="s">
        <v>3172</v>
      </c>
      <c r="L123" s="319">
        <v>0</v>
      </c>
      <c r="M123" s="320">
        <v>0</v>
      </c>
      <c r="N123" s="319">
        <v>0</v>
      </c>
      <c r="O123" s="320">
        <v>0</v>
      </c>
      <c r="P123" s="319">
        <v>0</v>
      </c>
      <c r="Q123" s="320">
        <v>0</v>
      </c>
      <c r="R123" s="319"/>
      <c r="S123" s="320"/>
      <c r="T123" s="319"/>
      <c r="U123" s="320"/>
      <c r="V123" s="319">
        <v>0</v>
      </c>
      <c r="W123" s="320">
        <v>0</v>
      </c>
      <c r="X123" s="319">
        <v>0</v>
      </c>
      <c r="Y123" s="320">
        <v>0</v>
      </c>
      <c r="Z123" s="319">
        <v>0</v>
      </c>
      <c r="AA123" s="320">
        <v>0</v>
      </c>
      <c r="AB123" s="319">
        <v>0</v>
      </c>
      <c r="AC123" s="320">
        <v>0</v>
      </c>
      <c r="AD123" s="319">
        <v>0</v>
      </c>
      <c r="AE123" s="320">
        <v>0</v>
      </c>
      <c r="AF123" s="319"/>
      <c r="AG123" s="320"/>
      <c r="AH123" s="319"/>
      <c r="AI123" s="320"/>
      <c r="AJ123" s="319">
        <v>0</v>
      </c>
      <c r="AK123" s="320">
        <v>0</v>
      </c>
      <c r="AL123" s="319">
        <v>0</v>
      </c>
      <c r="AM123" s="320">
        <v>0</v>
      </c>
      <c r="AN123" s="319">
        <v>0</v>
      </c>
      <c r="AO123" s="320">
        <v>0</v>
      </c>
      <c r="AP123" s="319">
        <v>0</v>
      </c>
      <c r="AQ123" s="320">
        <v>0</v>
      </c>
      <c r="AR123" s="319">
        <v>0</v>
      </c>
      <c r="AS123" s="320">
        <v>0</v>
      </c>
      <c r="AT123" s="319"/>
      <c r="AU123" s="320"/>
      <c r="AV123" s="319"/>
      <c r="AW123" s="320"/>
      <c r="AX123" s="319">
        <v>0</v>
      </c>
      <c r="AY123" s="320">
        <v>0</v>
      </c>
      <c r="AZ123" s="319">
        <v>0</v>
      </c>
      <c r="BA123" s="320">
        <v>0</v>
      </c>
      <c r="BB123" s="319">
        <v>0</v>
      </c>
      <c r="BC123" s="320">
        <v>0</v>
      </c>
      <c r="BD123" s="319">
        <v>0</v>
      </c>
      <c r="BE123" s="320">
        <v>0</v>
      </c>
      <c r="BF123" s="319">
        <v>0</v>
      </c>
      <c r="BG123" s="320">
        <v>0</v>
      </c>
      <c r="BH123" s="319"/>
      <c r="BI123" s="320"/>
      <c r="BJ123" s="319"/>
      <c r="BK123" s="320"/>
      <c r="BL123" s="319">
        <v>0</v>
      </c>
      <c r="BM123" s="320">
        <v>0</v>
      </c>
      <c r="BN123" s="319">
        <v>0</v>
      </c>
      <c r="BO123" s="320">
        <v>0</v>
      </c>
      <c r="BP123" s="319">
        <v>0</v>
      </c>
      <c r="BQ123" s="320">
        <v>0</v>
      </c>
      <c r="BR123" s="319">
        <v>0</v>
      </c>
      <c r="BS123" s="320">
        <v>0</v>
      </c>
      <c r="BT123" s="319"/>
      <c r="BU123" s="320"/>
      <c r="BV123" s="264">
        <f t="shared" si="49"/>
        <v>0</v>
      </c>
      <c r="BW123" s="264">
        <f t="shared" si="50"/>
        <v>0</v>
      </c>
    </row>
    <row r="124" spans="1:75" s="62" customFormat="1" ht="21.95" customHeight="1" x14ac:dyDescent="0.2">
      <c r="A124" s="304" t="s">
        <v>3268</v>
      </c>
      <c r="B124" s="305" t="s">
        <v>3269</v>
      </c>
      <c r="C124" s="311" t="s">
        <v>3170</v>
      </c>
      <c r="D124" s="306" t="s">
        <v>3270</v>
      </c>
      <c r="E124" s="307" t="s">
        <v>3271</v>
      </c>
      <c r="F124" s="308" t="s">
        <v>3166</v>
      </c>
      <c r="G124" s="308" t="s">
        <v>3167</v>
      </c>
      <c r="H124" s="309" t="s">
        <v>1502</v>
      </c>
      <c r="I124" s="310" t="s">
        <v>1502</v>
      </c>
      <c r="J124" s="273" t="s">
        <v>3168</v>
      </c>
      <c r="K124" s="276" t="s">
        <v>3173</v>
      </c>
      <c r="L124" s="319">
        <v>0</v>
      </c>
      <c r="M124" s="320">
        <v>0</v>
      </c>
      <c r="N124" s="319">
        <v>0</v>
      </c>
      <c r="O124" s="320">
        <v>0</v>
      </c>
      <c r="P124" s="319">
        <v>0</v>
      </c>
      <c r="Q124" s="320">
        <v>0</v>
      </c>
      <c r="R124" s="319"/>
      <c r="S124" s="320"/>
      <c r="T124" s="319"/>
      <c r="U124" s="320"/>
      <c r="V124" s="319">
        <v>0</v>
      </c>
      <c r="W124" s="320">
        <v>0</v>
      </c>
      <c r="X124" s="319">
        <v>0</v>
      </c>
      <c r="Y124" s="320">
        <v>0</v>
      </c>
      <c r="Z124" s="319">
        <v>0</v>
      </c>
      <c r="AA124" s="320">
        <v>0</v>
      </c>
      <c r="AB124" s="319">
        <v>0</v>
      </c>
      <c r="AC124" s="320">
        <v>0</v>
      </c>
      <c r="AD124" s="319">
        <v>0</v>
      </c>
      <c r="AE124" s="320">
        <v>0</v>
      </c>
      <c r="AF124" s="319"/>
      <c r="AG124" s="320"/>
      <c r="AH124" s="319"/>
      <c r="AI124" s="320"/>
      <c r="AJ124" s="319">
        <v>0</v>
      </c>
      <c r="AK124" s="320">
        <v>0</v>
      </c>
      <c r="AL124" s="319">
        <v>0</v>
      </c>
      <c r="AM124" s="320">
        <v>0</v>
      </c>
      <c r="AN124" s="319">
        <v>0</v>
      </c>
      <c r="AO124" s="320">
        <v>0</v>
      </c>
      <c r="AP124" s="319">
        <v>0</v>
      </c>
      <c r="AQ124" s="320">
        <v>0</v>
      </c>
      <c r="AR124" s="319">
        <v>0</v>
      </c>
      <c r="AS124" s="320">
        <v>0</v>
      </c>
      <c r="AT124" s="319"/>
      <c r="AU124" s="320"/>
      <c r="AV124" s="319"/>
      <c r="AW124" s="320"/>
      <c r="AX124" s="319">
        <v>0</v>
      </c>
      <c r="AY124" s="320">
        <v>0</v>
      </c>
      <c r="AZ124" s="319">
        <v>0</v>
      </c>
      <c r="BA124" s="320">
        <v>0</v>
      </c>
      <c r="BB124" s="319">
        <v>0</v>
      </c>
      <c r="BC124" s="320">
        <v>0</v>
      </c>
      <c r="BD124" s="319">
        <v>0</v>
      </c>
      <c r="BE124" s="320">
        <v>0</v>
      </c>
      <c r="BF124" s="319">
        <v>0</v>
      </c>
      <c r="BG124" s="320">
        <v>0</v>
      </c>
      <c r="BH124" s="319"/>
      <c r="BI124" s="320"/>
      <c r="BJ124" s="319"/>
      <c r="BK124" s="320"/>
      <c r="BL124" s="319">
        <v>0</v>
      </c>
      <c r="BM124" s="320">
        <v>0</v>
      </c>
      <c r="BN124" s="319">
        <v>0</v>
      </c>
      <c r="BO124" s="320">
        <v>0</v>
      </c>
      <c r="BP124" s="319">
        <v>0</v>
      </c>
      <c r="BQ124" s="320">
        <v>0</v>
      </c>
      <c r="BR124" s="319">
        <v>0</v>
      </c>
      <c r="BS124" s="320">
        <v>0</v>
      </c>
      <c r="BT124" s="319"/>
      <c r="BU124" s="320"/>
      <c r="BV124" s="264">
        <f t="shared" si="49"/>
        <v>0</v>
      </c>
      <c r="BW124" s="264">
        <f t="shared" si="50"/>
        <v>0</v>
      </c>
    </row>
    <row r="125" spans="1:75" s="62" customFormat="1" ht="21.95" customHeight="1" thickBot="1" x14ac:dyDescent="0.25">
      <c r="A125" s="567" t="s">
        <v>3268</v>
      </c>
      <c r="B125" s="312" t="s">
        <v>3269</v>
      </c>
      <c r="C125" s="313" t="s">
        <v>3170</v>
      </c>
      <c r="D125" s="314" t="s">
        <v>3270</v>
      </c>
      <c r="E125" s="330" t="s">
        <v>3271</v>
      </c>
      <c r="F125" s="315" t="s">
        <v>3166</v>
      </c>
      <c r="G125" s="315" t="s">
        <v>3167</v>
      </c>
      <c r="H125" s="316" t="s">
        <v>1502</v>
      </c>
      <c r="I125" s="568" t="s">
        <v>1502</v>
      </c>
      <c r="J125" s="273" t="s">
        <v>3168</v>
      </c>
      <c r="K125" s="277" t="s">
        <v>53</v>
      </c>
      <c r="L125" s="321">
        <v>0</v>
      </c>
      <c r="M125" s="322">
        <v>0</v>
      </c>
      <c r="N125" s="321">
        <v>0</v>
      </c>
      <c r="O125" s="322">
        <v>0</v>
      </c>
      <c r="P125" s="321">
        <v>0</v>
      </c>
      <c r="Q125" s="322">
        <v>0</v>
      </c>
      <c r="R125" s="321"/>
      <c r="S125" s="322"/>
      <c r="T125" s="321"/>
      <c r="U125" s="322"/>
      <c r="V125" s="321">
        <v>0</v>
      </c>
      <c r="W125" s="322">
        <v>0</v>
      </c>
      <c r="X125" s="321">
        <v>0</v>
      </c>
      <c r="Y125" s="322">
        <v>0</v>
      </c>
      <c r="Z125" s="321">
        <v>0</v>
      </c>
      <c r="AA125" s="322">
        <v>0</v>
      </c>
      <c r="AB125" s="321">
        <v>0</v>
      </c>
      <c r="AC125" s="322">
        <v>0</v>
      </c>
      <c r="AD125" s="321">
        <v>0</v>
      </c>
      <c r="AE125" s="322">
        <v>0</v>
      </c>
      <c r="AF125" s="321"/>
      <c r="AG125" s="322"/>
      <c r="AH125" s="321"/>
      <c r="AI125" s="322"/>
      <c r="AJ125" s="321">
        <v>0</v>
      </c>
      <c r="AK125" s="322">
        <v>0</v>
      </c>
      <c r="AL125" s="321">
        <v>0</v>
      </c>
      <c r="AM125" s="322">
        <v>0</v>
      </c>
      <c r="AN125" s="321">
        <v>0</v>
      </c>
      <c r="AO125" s="322">
        <v>0</v>
      </c>
      <c r="AP125" s="321">
        <v>0</v>
      </c>
      <c r="AQ125" s="322">
        <v>0</v>
      </c>
      <c r="AR125" s="321">
        <v>0</v>
      </c>
      <c r="AS125" s="322">
        <v>0</v>
      </c>
      <c r="AT125" s="321"/>
      <c r="AU125" s="322"/>
      <c r="AV125" s="321"/>
      <c r="AW125" s="322"/>
      <c r="AX125" s="321">
        <v>0</v>
      </c>
      <c r="AY125" s="322">
        <v>0</v>
      </c>
      <c r="AZ125" s="321">
        <v>0</v>
      </c>
      <c r="BA125" s="322">
        <v>0</v>
      </c>
      <c r="BB125" s="321">
        <v>0</v>
      </c>
      <c r="BC125" s="322">
        <v>0</v>
      </c>
      <c r="BD125" s="321">
        <v>0</v>
      </c>
      <c r="BE125" s="322">
        <v>0</v>
      </c>
      <c r="BF125" s="321">
        <v>0</v>
      </c>
      <c r="BG125" s="322">
        <v>0</v>
      </c>
      <c r="BH125" s="321"/>
      <c r="BI125" s="322"/>
      <c r="BJ125" s="321"/>
      <c r="BK125" s="322"/>
      <c r="BL125" s="321">
        <v>0</v>
      </c>
      <c r="BM125" s="322">
        <v>0</v>
      </c>
      <c r="BN125" s="321">
        <v>0</v>
      </c>
      <c r="BO125" s="322">
        <v>0</v>
      </c>
      <c r="BP125" s="321">
        <v>0</v>
      </c>
      <c r="BQ125" s="322">
        <v>0</v>
      </c>
      <c r="BR125" s="321">
        <v>0</v>
      </c>
      <c r="BS125" s="322">
        <v>0</v>
      </c>
      <c r="BT125" s="321"/>
      <c r="BU125" s="322"/>
      <c r="BV125" s="264">
        <f t="shared" si="49"/>
        <v>0</v>
      </c>
      <c r="BW125" s="264">
        <f t="shared" si="50"/>
        <v>0</v>
      </c>
    </row>
    <row r="126" spans="1:75" s="62" customFormat="1" ht="21.95" customHeight="1" x14ac:dyDescent="0.25">
      <c r="A126" s="344" t="s">
        <v>3272</v>
      </c>
      <c r="B126" s="433" t="s">
        <v>3273</v>
      </c>
      <c r="C126" s="434">
        <v>1</v>
      </c>
      <c r="D126" s="435" t="s">
        <v>3274</v>
      </c>
      <c r="E126" s="345" t="s">
        <v>3275</v>
      </c>
      <c r="F126" s="436" t="s">
        <v>3166</v>
      </c>
      <c r="G126" s="436" t="s">
        <v>3167</v>
      </c>
      <c r="H126" s="437" t="s">
        <v>1503</v>
      </c>
      <c r="I126" s="303" t="s">
        <v>1503</v>
      </c>
      <c r="J126" s="273" t="s">
        <v>3168</v>
      </c>
      <c r="K126" s="274" t="s">
        <v>3169</v>
      </c>
      <c r="L126" s="321">
        <v>0</v>
      </c>
      <c r="M126" s="322">
        <v>0</v>
      </c>
      <c r="N126" s="321">
        <v>0</v>
      </c>
      <c r="O126" s="322">
        <v>0</v>
      </c>
      <c r="P126" s="321">
        <v>0</v>
      </c>
      <c r="Q126" s="322">
        <v>0</v>
      </c>
      <c r="R126" s="321"/>
      <c r="S126" s="322"/>
      <c r="T126" s="321"/>
      <c r="U126" s="322"/>
      <c r="V126" s="321">
        <v>0</v>
      </c>
      <c r="W126" s="322">
        <v>0</v>
      </c>
      <c r="X126" s="321">
        <v>0</v>
      </c>
      <c r="Y126" s="322">
        <v>0</v>
      </c>
      <c r="Z126" s="321">
        <v>0</v>
      </c>
      <c r="AA126" s="322">
        <v>0</v>
      </c>
      <c r="AB126" s="321">
        <v>0</v>
      </c>
      <c r="AC126" s="322">
        <v>0</v>
      </c>
      <c r="AD126" s="321">
        <v>0</v>
      </c>
      <c r="AE126" s="322">
        <v>0</v>
      </c>
      <c r="AF126" s="321"/>
      <c r="AG126" s="322"/>
      <c r="AH126" s="321"/>
      <c r="AI126" s="322"/>
      <c r="AJ126" s="321">
        <v>0</v>
      </c>
      <c r="AK126" s="322">
        <v>0</v>
      </c>
      <c r="AL126" s="321">
        <v>0</v>
      </c>
      <c r="AM126" s="322">
        <v>0</v>
      </c>
      <c r="AN126" s="321">
        <v>0</v>
      </c>
      <c r="AO126" s="322">
        <v>0</v>
      </c>
      <c r="AP126" s="321">
        <v>0</v>
      </c>
      <c r="AQ126" s="322">
        <v>0</v>
      </c>
      <c r="AR126" s="321">
        <v>0</v>
      </c>
      <c r="AS126" s="322">
        <v>0</v>
      </c>
      <c r="AT126" s="321"/>
      <c r="AU126" s="322"/>
      <c r="AV126" s="321"/>
      <c r="AW126" s="322"/>
      <c r="AX126" s="321">
        <v>0</v>
      </c>
      <c r="AY126" s="322">
        <v>0</v>
      </c>
      <c r="AZ126" s="321">
        <v>0</v>
      </c>
      <c r="BA126" s="322">
        <v>0</v>
      </c>
      <c r="BB126" s="321">
        <v>0</v>
      </c>
      <c r="BC126" s="322">
        <v>0</v>
      </c>
      <c r="BD126" s="321">
        <v>0</v>
      </c>
      <c r="BE126" s="322">
        <v>0</v>
      </c>
      <c r="BF126" s="321">
        <v>0</v>
      </c>
      <c r="BG126" s="322">
        <v>0</v>
      </c>
      <c r="BH126" s="321"/>
      <c r="BI126" s="322"/>
      <c r="BJ126" s="321"/>
      <c r="BK126" s="322"/>
      <c r="BL126" s="321">
        <v>0</v>
      </c>
      <c r="BM126" s="322">
        <v>0</v>
      </c>
      <c r="BN126" s="321">
        <v>0</v>
      </c>
      <c r="BO126" s="322">
        <v>0</v>
      </c>
      <c r="BP126" s="321">
        <v>0</v>
      </c>
      <c r="BQ126" s="322">
        <v>0</v>
      </c>
      <c r="BR126" s="321">
        <v>0</v>
      </c>
      <c r="BS126" s="322">
        <v>0</v>
      </c>
      <c r="BT126" s="321"/>
      <c r="BU126" s="322"/>
      <c r="BV126" s="264">
        <f>L126+N126+P126+R126+T126+V126+X126+Z126+AB126+AD126+AF126+AH126+AJ126+AL126+AN126+AP126+AR126+AT126+AV126+AX126+AZ126+BB126+BD126+BF126+BH126+BJ126+BL126+BN126+BP126+BR126+BT126</f>
        <v>0</v>
      </c>
      <c r="BW126" s="264">
        <f>M126+O126+Q126+S126+U126+W126+Y126+AA126+AC126+AE126+AG126+AI126+AK126+AM126+AO126+AQ126+AS126+AU126+AW126+AY126+BA126+BC126+BE126+BG126+BI126+BK126+BM126+BO126+BQ126+BS126+BU126</f>
        <v>0</v>
      </c>
    </row>
    <row r="127" spans="1:75" s="62" customFormat="1" ht="21.95" customHeight="1" x14ac:dyDescent="0.2">
      <c r="A127" s="304" t="s">
        <v>3272</v>
      </c>
      <c r="B127" s="305" t="s">
        <v>3273</v>
      </c>
      <c r="C127" s="272" t="s">
        <v>3170</v>
      </c>
      <c r="D127" s="306" t="s">
        <v>3274</v>
      </c>
      <c r="E127" s="307" t="s">
        <v>3275</v>
      </c>
      <c r="F127" s="308" t="s">
        <v>3166</v>
      </c>
      <c r="G127" s="308" t="s">
        <v>3167</v>
      </c>
      <c r="H127" s="309" t="s">
        <v>1503</v>
      </c>
      <c r="I127" s="310" t="s">
        <v>1503</v>
      </c>
      <c r="J127" s="273" t="s">
        <v>3168</v>
      </c>
      <c r="K127" s="273" t="s">
        <v>3171</v>
      </c>
      <c r="L127" s="319">
        <v>0</v>
      </c>
      <c r="M127" s="320">
        <v>0</v>
      </c>
      <c r="N127" s="319">
        <v>0</v>
      </c>
      <c r="O127" s="320">
        <v>0</v>
      </c>
      <c r="P127" s="319">
        <v>0</v>
      </c>
      <c r="Q127" s="320">
        <v>0</v>
      </c>
      <c r="R127" s="319"/>
      <c r="S127" s="320"/>
      <c r="T127" s="319"/>
      <c r="U127" s="320"/>
      <c r="V127" s="319">
        <v>0</v>
      </c>
      <c r="W127" s="320">
        <v>0</v>
      </c>
      <c r="X127" s="319">
        <v>0</v>
      </c>
      <c r="Y127" s="320">
        <v>0</v>
      </c>
      <c r="Z127" s="319">
        <v>0</v>
      </c>
      <c r="AA127" s="320">
        <v>0</v>
      </c>
      <c r="AB127" s="319">
        <v>0</v>
      </c>
      <c r="AC127" s="320">
        <v>0</v>
      </c>
      <c r="AD127" s="319">
        <v>0</v>
      </c>
      <c r="AE127" s="320">
        <v>0</v>
      </c>
      <c r="AF127" s="319"/>
      <c r="AG127" s="320"/>
      <c r="AH127" s="319"/>
      <c r="AI127" s="320"/>
      <c r="AJ127" s="319">
        <v>0</v>
      </c>
      <c r="AK127" s="320">
        <v>0</v>
      </c>
      <c r="AL127" s="319">
        <v>0</v>
      </c>
      <c r="AM127" s="320">
        <v>0</v>
      </c>
      <c r="AN127" s="319">
        <v>0</v>
      </c>
      <c r="AO127" s="320">
        <v>0</v>
      </c>
      <c r="AP127" s="319">
        <v>0</v>
      </c>
      <c r="AQ127" s="320">
        <v>0</v>
      </c>
      <c r="AR127" s="319">
        <v>0</v>
      </c>
      <c r="AS127" s="320">
        <v>0</v>
      </c>
      <c r="AT127" s="319"/>
      <c r="AU127" s="320"/>
      <c r="AV127" s="319"/>
      <c r="AW127" s="320"/>
      <c r="AX127" s="319">
        <v>0</v>
      </c>
      <c r="AY127" s="320">
        <v>0</v>
      </c>
      <c r="AZ127" s="319">
        <v>0</v>
      </c>
      <c r="BA127" s="320">
        <v>0</v>
      </c>
      <c r="BB127" s="319">
        <v>0</v>
      </c>
      <c r="BC127" s="320">
        <v>0</v>
      </c>
      <c r="BD127" s="319">
        <v>0</v>
      </c>
      <c r="BE127" s="320">
        <v>0</v>
      </c>
      <c r="BF127" s="319">
        <v>0</v>
      </c>
      <c r="BG127" s="320">
        <v>0</v>
      </c>
      <c r="BH127" s="319"/>
      <c r="BI127" s="320"/>
      <c r="BJ127" s="319"/>
      <c r="BK127" s="320"/>
      <c r="BL127" s="319">
        <v>0</v>
      </c>
      <c r="BM127" s="320">
        <v>0</v>
      </c>
      <c r="BN127" s="319">
        <v>0</v>
      </c>
      <c r="BO127" s="320">
        <v>0</v>
      </c>
      <c r="BP127" s="319">
        <v>0</v>
      </c>
      <c r="BQ127" s="320">
        <v>0</v>
      </c>
      <c r="BR127" s="319">
        <v>0</v>
      </c>
      <c r="BS127" s="320">
        <v>0</v>
      </c>
      <c r="BT127" s="319"/>
      <c r="BU127" s="320"/>
      <c r="BV127" s="264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264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2" customFormat="1" ht="21.95" customHeight="1" x14ac:dyDescent="0.2">
      <c r="A128" s="304" t="s">
        <v>3272</v>
      </c>
      <c r="B128" s="305" t="s">
        <v>3273</v>
      </c>
      <c r="C128" s="311" t="s">
        <v>3170</v>
      </c>
      <c r="D128" s="306" t="s">
        <v>3274</v>
      </c>
      <c r="E128" s="307" t="s">
        <v>3275</v>
      </c>
      <c r="F128" s="308" t="s">
        <v>3166</v>
      </c>
      <c r="G128" s="308" t="s">
        <v>3167</v>
      </c>
      <c r="H128" s="309" t="s">
        <v>1503</v>
      </c>
      <c r="I128" s="310" t="s">
        <v>1503</v>
      </c>
      <c r="J128" s="273" t="s">
        <v>3168</v>
      </c>
      <c r="K128" s="275" t="s">
        <v>3172</v>
      </c>
      <c r="L128" s="319">
        <v>0</v>
      </c>
      <c r="M128" s="320">
        <v>0</v>
      </c>
      <c r="N128" s="319">
        <v>0</v>
      </c>
      <c r="O128" s="320">
        <v>0</v>
      </c>
      <c r="P128" s="319">
        <v>0</v>
      </c>
      <c r="Q128" s="320">
        <v>0</v>
      </c>
      <c r="R128" s="319"/>
      <c r="S128" s="320"/>
      <c r="T128" s="319"/>
      <c r="U128" s="320"/>
      <c r="V128" s="319">
        <v>0</v>
      </c>
      <c r="W128" s="320">
        <v>0</v>
      </c>
      <c r="X128" s="319">
        <v>0</v>
      </c>
      <c r="Y128" s="320">
        <v>0</v>
      </c>
      <c r="Z128" s="319">
        <v>0</v>
      </c>
      <c r="AA128" s="320">
        <v>0</v>
      </c>
      <c r="AB128" s="319">
        <v>0</v>
      </c>
      <c r="AC128" s="320">
        <v>0</v>
      </c>
      <c r="AD128" s="319">
        <v>0</v>
      </c>
      <c r="AE128" s="320">
        <v>0</v>
      </c>
      <c r="AF128" s="319"/>
      <c r="AG128" s="320"/>
      <c r="AH128" s="319"/>
      <c r="AI128" s="320"/>
      <c r="AJ128" s="319">
        <v>0</v>
      </c>
      <c r="AK128" s="320">
        <v>0</v>
      </c>
      <c r="AL128" s="319">
        <v>0</v>
      </c>
      <c r="AM128" s="320">
        <v>0</v>
      </c>
      <c r="AN128" s="319">
        <v>0</v>
      </c>
      <c r="AO128" s="320">
        <v>0</v>
      </c>
      <c r="AP128" s="319">
        <v>0</v>
      </c>
      <c r="AQ128" s="320">
        <v>0</v>
      </c>
      <c r="AR128" s="319">
        <v>0</v>
      </c>
      <c r="AS128" s="320">
        <v>0</v>
      </c>
      <c r="AT128" s="319"/>
      <c r="AU128" s="320"/>
      <c r="AV128" s="319"/>
      <c r="AW128" s="320"/>
      <c r="AX128" s="319">
        <v>0</v>
      </c>
      <c r="AY128" s="320">
        <v>0</v>
      </c>
      <c r="AZ128" s="319">
        <v>0</v>
      </c>
      <c r="BA128" s="320">
        <v>0</v>
      </c>
      <c r="BB128" s="319">
        <v>0</v>
      </c>
      <c r="BC128" s="320">
        <v>0</v>
      </c>
      <c r="BD128" s="319">
        <v>0</v>
      </c>
      <c r="BE128" s="320">
        <v>0</v>
      </c>
      <c r="BF128" s="319">
        <v>0</v>
      </c>
      <c r="BG128" s="320">
        <v>0</v>
      </c>
      <c r="BH128" s="319"/>
      <c r="BI128" s="320"/>
      <c r="BJ128" s="319"/>
      <c r="BK128" s="320"/>
      <c r="BL128" s="319">
        <v>0</v>
      </c>
      <c r="BM128" s="320">
        <v>0</v>
      </c>
      <c r="BN128" s="319">
        <v>0</v>
      </c>
      <c r="BO128" s="320">
        <v>0</v>
      </c>
      <c r="BP128" s="319">
        <v>0</v>
      </c>
      <c r="BQ128" s="320">
        <v>0</v>
      </c>
      <c r="BR128" s="319">
        <v>0</v>
      </c>
      <c r="BS128" s="320">
        <v>0</v>
      </c>
      <c r="BT128" s="319"/>
      <c r="BU128" s="320"/>
      <c r="BV128" s="264">
        <f t="shared" si="51"/>
        <v>0</v>
      </c>
      <c r="BW128" s="264">
        <f t="shared" si="52"/>
        <v>0</v>
      </c>
    </row>
    <row r="129" spans="1:75" s="62" customFormat="1" ht="21.95" customHeight="1" x14ac:dyDescent="0.2">
      <c r="A129" s="304" t="s">
        <v>3272</v>
      </c>
      <c r="B129" s="305" t="s">
        <v>3273</v>
      </c>
      <c r="C129" s="311" t="s">
        <v>3170</v>
      </c>
      <c r="D129" s="306" t="s">
        <v>3274</v>
      </c>
      <c r="E129" s="307" t="s">
        <v>3275</v>
      </c>
      <c r="F129" s="308" t="s">
        <v>3166</v>
      </c>
      <c r="G129" s="308" t="s">
        <v>3167</v>
      </c>
      <c r="H129" s="309" t="s">
        <v>1503</v>
      </c>
      <c r="I129" s="310" t="s">
        <v>1503</v>
      </c>
      <c r="J129" s="273" t="s">
        <v>3168</v>
      </c>
      <c r="K129" s="276" t="s">
        <v>3173</v>
      </c>
      <c r="L129" s="319">
        <v>0</v>
      </c>
      <c r="M129" s="320">
        <v>0</v>
      </c>
      <c r="N129" s="319">
        <v>0</v>
      </c>
      <c r="O129" s="320">
        <v>0</v>
      </c>
      <c r="P129" s="319">
        <v>0</v>
      </c>
      <c r="Q129" s="320">
        <v>0</v>
      </c>
      <c r="R129" s="319"/>
      <c r="S129" s="320"/>
      <c r="T129" s="319"/>
      <c r="U129" s="320"/>
      <c r="V129" s="319">
        <v>0</v>
      </c>
      <c r="W129" s="320">
        <v>0</v>
      </c>
      <c r="X129" s="319">
        <v>0</v>
      </c>
      <c r="Y129" s="320">
        <v>0</v>
      </c>
      <c r="Z129" s="319">
        <v>0</v>
      </c>
      <c r="AA129" s="320">
        <v>0</v>
      </c>
      <c r="AB129" s="319">
        <v>0</v>
      </c>
      <c r="AC129" s="320">
        <v>0</v>
      </c>
      <c r="AD129" s="319">
        <v>0</v>
      </c>
      <c r="AE129" s="320">
        <v>0</v>
      </c>
      <c r="AF129" s="319"/>
      <c r="AG129" s="320"/>
      <c r="AH129" s="319"/>
      <c r="AI129" s="320"/>
      <c r="AJ129" s="319">
        <v>0</v>
      </c>
      <c r="AK129" s="320">
        <v>0</v>
      </c>
      <c r="AL129" s="319">
        <v>0</v>
      </c>
      <c r="AM129" s="320">
        <v>0</v>
      </c>
      <c r="AN129" s="319">
        <v>0</v>
      </c>
      <c r="AO129" s="320">
        <v>0</v>
      </c>
      <c r="AP129" s="319">
        <v>0</v>
      </c>
      <c r="AQ129" s="320">
        <v>0</v>
      </c>
      <c r="AR129" s="319">
        <v>0</v>
      </c>
      <c r="AS129" s="320">
        <v>0</v>
      </c>
      <c r="AT129" s="319"/>
      <c r="AU129" s="320"/>
      <c r="AV129" s="319"/>
      <c r="AW129" s="320"/>
      <c r="AX129" s="319">
        <v>0</v>
      </c>
      <c r="AY129" s="320">
        <v>0</v>
      </c>
      <c r="AZ129" s="319">
        <v>0</v>
      </c>
      <c r="BA129" s="320">
        <v>0</v>
      </c>
      <c r="BB129" s="319">
        <v>0</v>
      </c>
      <c r="BC129" s="320">
        <v>0</v>
      </c>
      <c r="BD129" s="319">
        <v>0</v>
      </c>
      <c r="BE129" s="320">
        <v>0</v>
      </c>
      <c r="BF129" s="319">
        <v>0</v>
      </c>
      <c r="BG129" s="320">
        <v>0</v>
      </c>
      <c r="BH129" s="319"/>
      <c r="BI129" s="320"/>
      <c r="BJ129" s="319"/>
      <c r="BK129" s="320"/>
      <c r="BL129" s="319">
        <v>0</v>
      </c>
      <c r="BM129" s="320">
        <v>0</v>
      </c>
      <c r="BN129" s="319">
        <v>0</v>
      </c>
      <c r="BO129" s="320">
        <v>0</v>
      </c>
      <c r="BP129" s="319">
        <v>0</v>
      </c>
      <c r="BQ129" s="320">
        <v>0</v>
      </c>
      <c r="BR129" s="319">
        <v>0</v>
      </c>
      <c r="BS129" s="320">
        <v>0</v>
      </c>
      <c r="BT129" s="319"/>
      <c r="BU129" s="320"/>
      <c r="BV129" s="264">
        <f t="shared" si="51"/>
        <v>0</v>
      </c>
      <c r="BW129" s="264">
        <f t="shared" si="52"/>
        <v>0</v>
      </c>
    </row>
    <row r="130" spans="1:75" s="62" customFormat="1" ht="21.95" customHeight="1" thickBot="1" x14ac:dyDescent="0.25">
      <c r="A130" s="567" t="s">
        <v>3272</v>
      </c>
      <c r="B130" s="312" t="s">
        <v>3273</v>
      </c>
      <c r="C130" s="313" t="s">
        <v>3170</v>
      </c>
      <c r="D130" s="314" t="s">
        <v>3274</v>
      </c>
      <c r="E130" s="330" t="s">
        <v>3275</v>
      </c>
      <c r="F130" s="315" t="s">
        <v>3166</v>
      </c>
      <c r="G130" s="315" t="s">
        <v>3167</v>
      </c>
      <c r="H130" s="316" t="s">
        <v>1503</v>
      </c>
      <c r="I130" s="568" t="s">
        <v>1503</v>
      </c>
      <c r="J130" s="273" t="s">
        <v>3168</v>
      </c>
      <c r="K130" s="277" t="s">
        <v>53</v>
      </c>
      <c r="L130" s="321">
        <v>0</v>
      </c>
      <c r="M130" s="322">
        <v>0</v>
      </c>
      <c r="N130" s="321">
        <v>0</v>
      </c>
      <c r="O130" s="322">
        <v>0</v>
      </c>
      <c r="P130" s="321">
        <v>0</v>
      </c>
      <c r="Q130" s="322">
        <v>0</v>
      </c>
      <c r="R130" s="321"/>
      <c r="S130" s="322"/>
      <c r="T130" s="321"/>
      <c r="U130" s="322"/>
      <c r="V130" s="321">
        <v>0</v>
      </c>
      <c r="W130" s="322">
        <v>0</v>
      </c>
      <c r="X130" s="321">
        <v>0</v>
      </c>
      <c r="Y130" s="322">
        <v>0</v>
      </c>
      <c r="Z130" s="321">
        <v>0</v>
      </c>
      <c r="AA130" s="322">
        <v>0</v>
      </c>
      <c r="AB130" s="321">
        <v>0</v>
      </c>
      <c r="AC130" s="322">
        <v>0</v>
      </c>
      <c r="AD130" s="321">
        <v>0</v>
      </c>
      <c r="AE130" s="322">
        <v>0</v>
      </c>
      <c r="AF130" s="321"/>
      <c r="AG130" s="322"/>
      <c r="AH130" s="321"/>
      <c r="AI130" s="322"/>
      <c r="AJ130" s="321">
        <v>0</v>
      </c>
      <c r="AK130" s="322">
        <v>0</v>
      </c>
      <c r="AL130" s="321">
        <v>0</v>
      </c>
      <c r="AM130" s="322">
        <v>0</v>
      </c>
      <c r="AN130" s="321">
        <v>0</v>
      </c>
      <c r="AO130" s="322">
        <v>0</v>
      </c>
      <c r="AP130" s="321">
        <v>0</v>
      </c>
      <c r="AQ130" s="322">
        <v>0</v>
      </c>
      <c r="AR130" s="321">
        <v>0</v>
      </c>
      <c r="AS130" s="322">
        <v>0</v>
      </c>
      <c r="AT130" s="321"/>
      <c r="AU130" s="322"/>
      <c r="AV130" s="321"/>
      <c r="AW130" s="322"/>
      <c r="AX130" s="321">
        <v>0</v>
      </c>
      <c r="AY130" s="322">
        <v>0</v>
      </c>
      <c r="AZ130" s="321">
        <v>0</v>
      </c>
      <c r="BA130" s="322">
        <v>0</v>
      </c>
      <c r="BB130" s="321">
        <v>0</v>
      </c>
      <c r="BC130" s="322">
        <v>0</v>
      </c>
      <c r="BD130" s="321">
        <v>0</v>
      </c>
      <c r="BE130" s="322">
        <v>0</v>
      </c>
      <c r="BF130" s="321">
        <v>0</v>
      </c>
      <c r="BG130" s="322">
        <v>0</v>
      </c>
      <c r="BH130" s="321"/>
      <c r="BI130" s="322"/>
      <c r="BJ130" s="321"/>
      <c r="BK130" s="322"/>
      <c r="BL130" s="321">
        <v>0</v>
      </c>
      <c r="BM130" s="322">
        <v>0</v>
      </c>
      <c r="BN130" s="321">
        <v>0</v>
      </c>
      <c r="BO130" s="322">
        <v>0</v>
      </c>
      <c r="BP130" s="321">
        <v>0</v>
      </c>
      <c r="BQ130" s="322">
        <v>0</v>
      </c>
      <c r="BR130" s="321">
        <v>0</v>
      </c>
      <c r="BS130" s="322">
        <v>0</v>
      </c>
      <c r="BT130" s="321"/>
      <c r="BU130" s="322"/>
      <c r="BV130" s="264">
        <f t="shared" si="51"/>
        <v>0</v>
      </c>
      <c r="BW130" s="264">
        <f t="shared" si="52"/>
        <v>0</v>
      </c>
    </row>
    <row r="131" spans="1:75" s="62" customFormat="1" ht="21.95" customHeight="1" x14ac:dyDescent="0.25">
      <c r="A131" s="344" t="s">
        <v>3276</v>
      </c>
      <c r="B131" s="433" t="s">
        <v>3277</v>
      </c>
      <c r="C131" s="434">
        <v>1</v>
      </c>
      <c r="D131" s="435" t="s">
        <v>3278</v>
      </c>
      <c r="E131" s="345" t="s">
        <v>3279</v>
      </c>
      <c r="F131" s="436" t="s">
        <v>3166</v>
      </c>
      <c r="G131" s="436" t="s">
        <v>3167</v>
      </c>
      <c r="H131" s="437" t="s">
        <v>1504</v>
      </c>
      <c r="I131" s="303" t="s">
        <v>1504</v>
      </c>
      <c r="J131" s="273" t="s">
        <v>3168</v>
      </c>
      <c r="K131" s="274" t="s">
        <v>3169</v>
      </c>
      <c r="L131" s="321">
        <v>0</v>
      </c>
      <c r="M131" s="322">
        <v>0</v>
      </c>
      <c r="N131" s="321">
        <v>0</v>
      </c>
      <c r="O131" s="322">
        <v>0</v>
      </c>
      <c r="P131" s="321">
        <v>0</v>
      </c>
      <c r="Q131" s="322">
        <v>0</v>
      </c>
      <c r="R131" s="321"/>
      <c r="S131" s="322"/>
      <c r="T131" s="321"/>
      <c r="U131" s="322"/>
      <c r="V131" s="321">
        <v>0</v>
      </c>
      <c r="W131" s="322">
        <v>0</v>
      </c>
      <c r="X131" s="321">
        <v>0</v>
      </c>
      <c r="Y131" s="322">
        <v>0</v>
      </c>
      <c r="Z131" s="321">
        <v>0</v>
      </c>
      <c r="AA131" s="322">
        <v>0</v>
      </c>
      <c r="AB131" s="321">
        <v>0</v>
      </c>
      <c r="AC131" s="322">
        <v>0</v>
      </c>
      <c r="AD131" s="321">
        <v>0</v>
      </c>
      <c r="AE131" s="322">
        <v>0</v>
      </c>
      <c r="AF131" s="321"/>
      <c r="AG131" s="322"/>
      <c r="AH131" s="321"/>
      <c r="AI131" s="322"/>
      <c r="AJ131" s="321">
        <v>0</v>
      </c>
      <c r="AK131" s="322">
        <v>0</v>
      </c>
      <c r="AL131" s="321">
        <v>0</v>
      </c>
      <c r="AM131" s="322">
        <v>0</v>
      </c>
      <c r="AN131" s="321">
        <v>0</v>
      </c>
      <c r="AO131" s="322">
        <v>0</v>
      </c>
      <c r="AP131" s="321">
        <v>0</v>
      </c>
      <c r="AQ131" s="322">
        <v>0</v>
      </c>
      <c r="AR131" s="321">
        <v>0</v>
      </c>
      <c r="AS131" s="322">
        <v>0</v>
      </c>
      <c r="AT131" s="321"/>
      <c r="AU131" s="322"/>
      <c r="AV131" s="321"/>
      <c r="AW131" s="322"/>
      <c r="AX131" s="321">
        <v>0</v>
      </c>
      <c r="AY131" s="322">
        <v>0</v>
      </c>
      <c r="AZ131" s="321">
        <v>0</v>
      </c>
      <c r="BA131" s="322">
        <v>0</v>
      </c>
      <c r="BB131" s="321">
        <v>0</v>
      </c>
      <c r="BC131" s="322">
        <v>0</v>
      </c>
      <c r="BD131" s="321">
        <v>0</v>
      </c>
      <c r="BE131" s="322">
        <v>0</v>
      </c>
      <c r="BF131" s="321">
        <v>0</v>
      </c>
      <c r="BG131" s="322">
        <v>0</v>
      </c>
      <c r="BH131" s="321"/>
      <c r="BI131" s="322"/>
      <c r="BJ131" s="321"/>
      <c r="BK131" s="322"/>
      <c r="BL131" s="321">
        <v>0</v>
      </c>
      <c r="BM131" s="322">
        <v>0</v>
      </c>
      <c r="BN131" s="321">
        <v>0</v>
      </c>
      <c r="BO131" s="322">
        <v>0</v>
      </c>
      <c r="BP131" s="321">
        <v>0</v>
      </c>
      <c r="BQ131" s="322">
        <v>0</v>
      </c>
      <c r="BR131" s="321">
        <v>0</v>
      </c>
      <c r="BS131" s="322">
        <v>0</v>
      </c>
      <c r="BT131" s="321"/>
      <c r="BU131" s="322"/>
      <c r="BV131" s="264">
        <f>L131+N131+P131+R131+T131+V131+X131+Z131+AB131+AD131+AF131+AH131+AJ131+AL131+AN131+AP131+AR131+AT131+AV131+AX131+AZ131+BB131+BD131+BF131+BH131+BJ131+BL131+BN131+BP131+BR131+BT131</f>
        <v>0</v>
      </c>
      <c r="BW131" s="264">
        <f>M131+O131+Q131+S131+U131+W131+Y131+AA131+AC131+AE131+AG131+AI131+AK131+AM131+AO131+AQ131+AS131+AU131+AW131+AY131+BA131+BC131+BE131+BG131+BI131+BK131+BM131+BO131+BQ131+BS131+BU131</f>
        <v>0</v>
      </c>
    </row>
    <row r="132" spans="1:75" s="62" customFormat="1" ht="21.95" customHeight="1" x14ac:dyDescent="0.2">
      <c r="A132" s="304" t="s">
        <v>3276</v>
      </c>
      <c r="B132" s="305" t="s">
        <v>3277</v>
      </c>
      <c r="C132" s="272" t="s">
        <v>3170</v>
      </c>
      <c r="D132" s="306" t="s">
        <v>3278</v>
      </c>
      <c r="E132" s="307" t="s">
        <v>3279</v>
      </c>
      <c r="F132" s="308" t="s">
        <v>3166</v>
      </c>
      <c r="G132" s="308" t="s">
        <v>3167</v>
      </c>
      <c r="H132" s="309" t="s">
        <v>1504</v>
      </c>
      <c r="I132" s="310" t="s">
        <v>1504</v>
      </c>
      <c r="J132" s="273" t="s">
        <v>3168</v>
      </c>
      <c r="K132" s="273" t="s">
        <v>3171</v>
      </c>
      <c r="L132" s="319">
        <v>0</v>
      </c>
      <c r="M132" s="320">
        <v>0</v>
      </c>
      <c r="N132" s="319">
        <v>0</v>
      </c>
      <c r="O132" s="320">
        <v>0</v>
      </c>
      <c r="P132" s="319">
        <v>0</v>
      </c>
      <c r="Q132" s="320">
        <v>0</v>
      </c>
      <c r="R132" s="319"/>
      <c r="S132" s="320"/>
      <c r="T132" s="319"/>
      <c r="U132" s="320"/>
      <c r="V132" s="319">
        <v>5</v>
      </c>
      <c r="W132" s="320">
        <v>0</v>
      </c>
      <c r="X132" s="319">
        <v>0</v>
      </c>
      <c r="Y132" s="320">
        <v>0</v>
      </c>
      <c r="Z132" s="319">
        <v>0</v>
      </c>
      <c r="AA132" s="320">
        <v>0</v>
      </c>
      <c r="AB132" s="319">
        <v>0</v>
      </c>
      <c r="AC132" s="320">
        <v>0</v>
      </c>
      <c r="AD132" s="319">
        <v>0</v>
      </c>
      <c r="AE132" s="320">
        <v>0</v>
      </c>
      <c r="AF132" s="319"/>
      <c r="AG132" s="320"/>
      <c r="AH132" s="319"/>
      <c r="AI132" s="320"/>
      <c r="AJ132" s="319">
        <v>5</v>
      </c>
      <c r="AK132" s="320">
        <v>0</v>
      </c>
      <c r="AL132" s="319">
        <v>0</v>
      </c>
      <c r="AM132" s="320">
        <v>0</v>
      </c>
      <c r="AN132" s="319">
        <v>0</v>
      </c>
      <c r="AO132" s="320">
        <v>0</v>
      </c>
      <c r="AP132" s="319">
        <v>0</v>
      </c>
      <c r="AQ132" s="320">
        <v>0</v>
      </c>
      <c r="AR132" s="319">
        <v>0</v>
      </c>
      <c r="AS132" s="320">
        <v>0</v>
      </c>
      <c r="AT132" s="319"/>
      <c r="AU132" s="320"/>
      <c r="AV132" s="319"/>
      <c r="AW132" s="320"/>
      <c r="AX132" s="319">
        <v>5</v>
      </c>
      <c r="AY132" s="320">
        <v>0</v>
      </c>
      <c r="AZ132" s="319">
        <v>0</v>
      </c>
      <c r="BA132" s="320">
        <v>0</v>
      </c>
      <c r="BB132" s="319">
        <v>0</v>
      </c>
      <c r="BC132" s="320">
        <v>0</v>
      </c>
      <c r="BD132" s="319">
        <v>0</v>
      </c>
      <c r="BE132" s="320">
        <v>0</v>
      </c>
      <c r="BF132" s="319">
        <v>0</v>
      </c>
      <c r="BG132" s="320">
        <v>0</v>
      </c>
      <c r="BH132" s="319"/>
      <c r="BI132" s="320"/>
      <c r="BJ132" s="319"/>
      <c r="BK132" s="320"/>
      <c r="BL132" s="319">
        <v>5</v>
      </c>
      <c r="BM132" s="320">
        <v>0</v>
      </c>
      <c r="BN132" s="319">
        <v>0</v>
      </c>
      <c r="BO132" s="320">
        <v>0</v>
      </c>
      <c r="BP132" s="319">
        <v>0</v>
      </c>
      <c r="BQ132" s="320">
        <v>0</v>
      </c>
      <c r="BR132" s="319">
        <v>0</v>
      </c>
      <c r="BS132" s="320">
        <v>0</v>
      </c>
      <c r="BT132" s="319"/>
      <c r="BU132" s="320"/>
      <c r="BV132" s="264">
        <f t="shared" ref="BV132:BV135" si="53">L132+N132+P132+R132+T132+V132+X132+Z132+AB132+AD132+AF132+AH132+AJ132+AL132+AN132+AP132+AR132+AT132+AV132+AX132+AZ132+BB132+BD132+BF132+BH132+BJ132+BL132+BN132+BP132+BR132+BT132</f>
        <v>20</v>
      </c>
      <c r="BW132" s="264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2" customFormat="1" ht="21.95" customHeight="1" x14ac:dyDescent="0.2">
      <c r="A133" s="304" t="s">
        <v>3276</v>
      </c>
      <c r="B133" s="305" t="s">
        <v>3277</v>
      </c>
      <c r="C133" s="311" t="s">
        <v>3170</v>
      </c>
      <c r="D133" s="306" t="s">
        <v>3278</v>
      </c>
      <c r="E133" s="307" t="s">
        <v>3279</v>
      </c>
      <c r="F133" s="308" t="s">
        <v>3166</v>
      </c>
      <c r="G133" s="308" t="s">
        <v>3167</v>
      </c>
      <c r="H133" s="309" t="s">
        <v>1504</v>
      </c>
      <c r="I133" s="310" t="s">
        <v>1504</v>
      </c>
      <c r="J133" s="273" t="s">
        <v>3168</v>
      </c>
      <c r="K133" s="275" t="s">
        <v>3172</v>
      </c>
      <c r="L133" s="319">
        <v>0</v>
      </c>
      <c r="M133" s="320">
        <v>0</v>
      </c>
      <c r="N133" s="319">
        <v>0</v>
      </c>
      <c r="O133" s="320">
        <v>0</v>
      </c>
      <c r="P133" s="319">
        <v>0</v>
      </c>
      <c r="Q133" s="320">
        <v>0</v>
      </c>
      <c r="R133" s="319"/>
      <c r="S133" s="320"/>
      <c r="T133" s="319"/>
      <c r="U133" s="320"/>
      <c r="V133" s="319">
        <v>0</v>
      </c>
      <c r="W133" s="320">
        <v>0</v>
      </c>
      <c r="X133" s="319">
        <v>0</v>
      </c>
      <c r="Y133" s="320">
        <v>0</v>
      </c>
      <c r="Z133" s="319">
        <v>0</v>
      </c>
      <c r="AA133" s="320">
        <v>0</v>
      </c>
      <c r="AB133" s="319">
        <v>0</v>
      </c>
      <c r="AC133" s="320">
        <v>0</v>
      </c>
      <c r="AD133" s="319">
        <v>0</v>
      </c>
      <c r="AE133" s="320">
        <v>0</v>
      </c>
      <c r="AF133" s="319"/>
      <c r="AG133" s="320"/>
      <c r="AH133" s="319"/>
      <c r="AI133" s="320"/>
      <c r="AJ133" s="319">
        <v>0</v>
      </c>
      <c r="AK133" s="320">
        <v>0</v>
      </c>
      <c r="AL133" s="319">
        <v>0</v>
      </c>
      <c r="AM133" s="320">
        <v>0</v>
      </c>
      <c r="AN133" s="319">
        <v>0</v>
      </c>
      <c r="AO133" s="320">
        <v>0</v>
      </c>
      <c r="AP133" s="319">
        <v>0</v>
      </c>
      <c r="AQ133" s="320">
        <v>0</v>
      </c>
      <c r="AR133" s="319">
        <v>0</v>
      </c>
      <c r="AS133" s="320">
        <v>0</v>
      </c>
      <c r="AT133" s="319"/>
      <c r="AU133" s="320"/>
      <c r="AV133" s="319"/>
      <c r="AW133" s="320"/>
      <c r="AX133" s="319">
        <v>0</v>
      </c>
      <c r="AY133" s="320">
        <v>0</v>
      </c>
      <c r="AZ133" s="319">
        <v>0</v>
      </c>
      <c r="BA133" s="320">
        <v>0</v>
      </c>
      <c r="BB133" s="319">
        <v>0</v>
      </c>
      <c r="BC133" s="320">
        <v>0</v>
      </c>
      <c r="BD133" s="319">
        <v>0</v>
      </c>
      <c r="BE133" s="320">
        <v>0</v>
      </c>
      <c r="BF133" s="319">
        <v>0</v>
      </c>
      <c r="BG133" s="320">
        <v>0</v>
      </c>
      <c r="BH133" s="319"/>
      <c r="BI133" s="320"/>
      <c r="BJ133" s="319"/>
      <c r="BK133" s="320"/>
      <c r="BL133" s="319">
        <v>0</v>
      </c>
      <c r="BM133" s="320">
        <v>0</v>
      </c>
      <c r="BN133" s="319">
        <v>0</v>
      </c>
      <c r="BO133" s="320">
        <v>0</v>
      </c>
      <c r="BP133" s="319">
        <v>0</v>
      </c>
      <c r="BQ133" s="320">
        <v>0</v>
      </c>
      <c r="BR133" s="319">
        <v>0</v>
      </c>
      <c r="BS133" s="320">
        <v>0</v>
      </c>
      <c r="BT133" s="319"/>
      <c r="BU133" s="320"/>
      <c r="BV133" s="264">
        <f t="shared" si="53"/>
        <v>0</v>
      </c>
      <c r="BW133" s="264">
        <f t="shared" si="54"/>
        <v>0</v>
      </c>
    </row>
    <row r="134" spans="1:75" s="62" customFormat="1" ht="21.95" customHeight="1" x14ac:dyDescent="0.2">
      <c r="A134" s="304" t="s">
        <v>3276</v>
      </c>
      <c r="B134" s="305" t="s">
        <v>3277</v>
      </c>
      <c r="C134" s="311" t="s">
        <v>3170</v>
      </c>
      <c r="D134" s="306" t="s">
        <v>3278</v>
      </c>
      <c r="E134" s="307" t="s">
        <v>3279</v>
      </c>
      <c r="F134" s="308" t="s">
        <v>3166</v>
      </c>
      <c r="G134" s="308" t="s">
        <v>3167</v>
      </c>
      <c r="H134" s="309" t="s">
        <v>1504</v>
      </c>
      <c r="I134" s="310" t="s">
        <v>1504</v>
      </c>
      <c r="J134" s="273" t="s">
        <v>3168</v>
      </c>
      <c r="K134" s="276" t="s">
        <v>3173</v>
      </c>
      <c r="L134" s="319">
        <v>0</v>
      </c>
      <c r="M134" s="320">
        <v>0</v>
      </c>
      <c r="N134" s="319">
        <v>0</v>
      </c>
      <c r="O134" s="320">
        <v>0</v>
      </c>
      <c r="P134" s="319">
        <v>0</v>
      </c>
      <c r="Q134" s="320">
        <v>0</v>
      </c>
      <c r="R134" s="319"/>
      <c r="S134" s="320"/>
      <c r="T134" s="319"/>
      <c r="U134" s="320"/>
      <c r="V134" s="319">
        <v>0</v>
      </c>
      <c r="W134" s="320">
        <v>0</v>
      </c>
      <c r="X134" s="319">
        <v>0</v>
      </c>
      <c r="Y134" s="320">
        <v>0</v>
      </c>
      <c r="Z134" s="319">
        <v>0</v>
      </c>
      <c r="AA134" s="320">
        <v>0</v>
      </c>
      <c r="AB134" s="319">
        <v>0</v>
      </c>
      <c r="AC134" s="320">
        <v>0</v>
      </c>
      <c r="AD134" s="319">
        <v>0</v>
      </c>
      <c r="AE134" s="320">
        <v>0</v>
      </c>
      <c r="AF134" s="319"/>
      <c r="AG134" s="320"/>
      <c r="AH134" s="319"/>
      <c r="AI134" s="320"/>
      <c r="AJ134" s="319">
        <v>0</v>
      </c>
      <c r="AK134" s="320">
        <v>0</v>
      </c>
      <c r="AL134" s="319">
        <v>0</v>
      </c>
      <c r="AM134" s="320">
        <v>0</v>
      </c>
      <c r="AN134" s="319">
        <v>0</v>
      </c>
      <c r="AO134" s="320">
        <v>0</v>
      </c>
      <c r="AP134" s="319">
        <v>0</v>
      </c>
      <c r="AQ134" s="320">
        <v>0</v>
      </c>
      <c r="AR134" s="319">
        <v>0</v>
      </c>
      <c r="AS134" s="320">
        <v>0</v>
      </c>
      <c r="AT134" s="319"/>
      <c r="AU134" s="320"/>
      <c r="AV134" s="319"/>
      <c r="AW134" s="320"/>
      <c r="AX134" s="319">
        <v>0</v>
      </c>
      <c r="AY134" s="320">
        <v>0</v>
      </c>
      <c r="AZ134" s="319">
        <v>0</v>
      </c>
      <c r="BA134" s="320">
        <v>0</v>
      </c>
      <c r="BB134" s="319">
        <v>0</v>
      </c>
      <c r="BC134" s="320">
        <v>0</v>
      </c>
      <c r="BD134" s="319">
        <v>0</v>
      </c>
      <c r="BE134" s="320">
        <v>0</v>
      </c>
      <c r="BF134" s="319">
        <v>0</v>
      </c>
      <c r="BG134" s="320">
        <v>0</v>
      </c>
      <c r="BH134" s="319"/>
      <c r="BI134" s="320"/>
      <c r="BJ134" s="319"/>
      <c r="BK134" s="320"/>
      <c r="BL134" s="319">
        <v>0</v>
      </c>
      <c r="BM134" s="320">
        <v>0</v>
      </c>
      <c r="BN134" s="319">
        <v>0</v>
      </c>
      <c r="BO134" s="320">
        <v>0</v>
      </c>
      <c r="BP134" s="319">
        <v>0</v>
      </c>
      <c r="BQ134" s="320">
        <v>0</v>
      </c>
      <c r="BR134" s="319">
        <v>0</v>
      </c>
      <c r="BS134" s="320">
        <v>0</v>
      </c>
      <c r="BT134" s="319"/>
      <c r="BU134" s="320"/>
      <c r="BV134" s="264">
        <f t="shared" si="53"/>
        <v>0</v>
      </c>
      <c r="BW134" s="264">
        <f t="shared" si="54"/>
        <v>0</v>
      </c>
    </row>
    <row r="135" spans="1:75" s="62" customFormat="1" ht="21.95" customHeight="1" thickBot="1" x14ac:dyDescent="0.25">
      <c r="A135" s="567" t="s">
        <v>3276</v>
      </c>
      <c r="B135" s="312" t="s">
        <v>3277</v>
      </c>
      <c r="C135" s="313" t="s">
        <v>3170</v>
      </c>
      <c r="D135" s="314" t="s">
        <v>3278</v>
      </c>
      <c r="E135" s="330" t="s">
        <v>3279</v>
      </c>
      <c r="F135" s="315" t="s">
        <v>3166</v>
      </c>
      <c r="G135" s="315" t="s">
        <v>3167</v>
      </c>
      <c r="H135" s="316" t="s">
        <v>1504</v>
      </c>
      <c r="I135" s="568" t="s">
        <v>1504</v>
      </c>
      <c r="J135" s="273" t="s">
        <v>3168</v>
      </c>
      <c r="K135" s="277" t="s">
        <v>53</v>
      </c>
      <c r="L135" s="321">
        <v>0</v>
      </c>
      <c r="M135" s="322">
        <v>0</v>
      </c>
      <c r="N135" s="321">
        <v>0</v>
      </c>
      <c r="O135" s="322">
        <v>0</v>
      </c>
      <c r="P135" s="321">
        <v>0</v>
      </c>
      <c r="Q135" s="322">
        <v>0</v>
      </c>
      <c r="R135" s="321"/>
      <c r="S135" s="322"/>
      <c r="T135" s="321"/>
      <c r="U135" s="322"/>
      <c r="V135" s="321">
        <v>0</v>
      </c>
      <c r="W135" s="322">
        <v>0</v>
      </c>
      <c r="X135" s="321">
        <v>0</v>
      </c>
      <c r="Y135" s="322">
        <v>0</v>
      </c>
      <c r="Z135" s="321">
        <v>0</v>
      </c>
      <c r="AA135" s="322">
        <v>0</v>
      </c>
      <c r="AB135" s="321">
        <v>0</v>
      </c>
      <c r="AC135" s="322">
        <v>0</v>
      </c>
      <c r="AD135" s="321">
        <v>0</v>
      </c>
      <c r="AE135" s="322">
        <v>0</v>
      </c>
      <c r="AF135" s="321"/>
      <c r="AG135" s="322"/>
      <c r="AH135" s="321"/>
      <c r="AI135" s="322"/>
      <c r="AJ135" s="321">
        <v>0</v>
      </c>
      <c r="AK135" s="322">
        <v>0</v>
      </c>
      <c r="AL135" s="321">
        <v>0</v>
      </c>
      <c r="AM135" s="322">
        <v>0</v>
      </c>
      <c r="AN135" s="321">
        <v>0</v>
      </c>
      <c r="AO135" s="322">
        <v>0</v>
      </c>
      <c r="AP135" s="321">
        <v>0</v>
      </c>
      <c r="AQ135" s="322">
        <v>0</v>
      </c>
      <c r="AR135" s="321">
        <v>0</v>
      </c>
      <c r="AS135" s="322">
        <v>0</v>
      </c>
      <c r="AT135" s="321"/>
      <c r="AU135" s="322"/>
      <c r="AV135" s="321"/>
      <c r="AW135" s="322"/>
      <c r="AX135" s="321">
        <v>0</v>
      </c>
      <c r="AY135" s="322">
        <v>0</v>
      </c>
      <c r="AZ135" s="321">
        <v>0</v>
      </c>
      <c r="BA135" s="322">
        <v>0</v>
      </c>
      <c r="BB135" s="321">
        <v>0</v>
      </c>
      <c r="BC135" s="322">
        <v>0</v>
      </c>
      <c r="BD135" s="321">
        <v>0</v>
      </c>
      <c r="BE135" s="322">
        <v>0</v>
      </c>
      <c r="BF135" s="321">
        <v>0</v>
      </c>
      <c r="BG135" s="322">
        <v>0</v>
      </c>
      <c r="BH135" s="321"/>
      <c r="BI135" s="322"/>
      <c r="BJ135" s="321"/>
      <c r="BK135" s="322"/>
      <c r="BL135" s="321">
        <v>0</v>
      </c>
      <c r="BM135" s="322">
        <v>0</v>
      </c>
      <c r="BN135" s="321">
        <v>0</v>
      </c>
      <c r="BO135" s="322">
        <v>0</v>
      </c>
      <c r="BP135" s="321">
        <v>0</v>
      </c>
      <c r="BQ135" s="322">
        <v>0</v>
      </c>
      <c r="BR135" s="321">
        <v>0</v>
      </c>
      <c r="BS135" s="322">
        <v>0</v>
      </c>
      <c r="BT135" s="321"/>
      <c r="BU135" s="322"/>
      <c r="BV135" s="264">
        <f t="shared" si="53"/>
        <v>0</v>
      </c>
      <c r="BW135" s="264">
        <f t="shared" si="54"/>
        <v>0</v>
      </c>
    </row>
    <row r="136" spans="1:75" s="62" customFormat="1" ht="21.95" customHeight="1" x14ac:dyDescent="0.25">
      <c r="A136" s="344" t="s">
        <v>3280</v>
      </c>
      <c r="B136" s="433" t="s">
        <v>3281</v>
      </c>
      <c r="C136" s="434">
        <v>1</v>
      </c>
      <c r="D136" s="435" t="s">
        <v>3282</v>
      </c>
      <c r="E136" s="345" t="s">
        <v>3283</v>
      </c>
      <c r="F136" s="436" t="s">
        <v>3166</v>
      </c>
      <c r="G136" s="436" t="s">
        <v>3167</v>
      </c>
      <c r="H136" s="437" t="s">
        <v>1505</v>
      </c>
      <c r="I136" s="303" t="s">
        <v>1505</v>
      </c>
      <c r="J136" s="273" t="s">
        <v>3168</v>
      </c>
      <c r="K136" s="274" t="s">
        <v>3169</v>
      </c>
      <c r="L136" s="321">
        <v>0</v>
      </c>
      <c r="M136" s="322">
        <v>0</v>
      </c>
      <c r="N136" s="321">
        <v>0</v>
      </c>
      <c r="O136" s="322">
        <v>0</v>
      </c>
      <c r="P136" s="321">
        <v>0</v>
      </c>
      <c r="Q136" s="322">
        <v>0</v>
      </c>
      <c r="R136" s="321"/>
      <c r="S136" s="322"/>
      <c r="T136" s="321"/>
      <c r="U136" s="322"/>
      <c r="V136" s="321">
        <v>0</v>
      </c>
      <c r="W136" s="322">
        <v>0</v>
      </c>
      <c r="X136" s="321">
        <v>0</v>
      </c>
      <c r="Y136" s="322">
        <v>0</v>
      </c>
      <c r="Z136" s="321">
        <v>0</v>
      </c>
      <c r="AA136" s="322">
        <v>0</v>
      </c>
      <c r="AB136" s="321">
        <v>0</v>
      </c>
      <c r="AC136" s="322">
        <v>0</v>
      </c>
      <c r="AD136" s="321">
        <v>0</v>
      </c>
      <c r="AE136" s="322">
        <v>0</v>
      </c>
      <c r="AF136" s="321"/>
      <c r="AG136" s="322"/>
      <c r="AH136" s="321"/>
      <c r="AI136" s="322"/>
      <c r="AJ136" s="321">
        <v>0</v>
      </c>
      <c r="AK136" s="322">
        <v>0</v>
      </c>
      <c r="AL136" s="321">
        <v>0</v>
      </c>
      <c r="AM136" s="322">
        <v>0</v>
      </c>
      <c r="AN136" s="321">
        <v>0</v>
      </c>
      <c r="AO136" s="322">
        <v>0</v>
      </c>
      <c r="AP136" s="321">
        <v>0</v>
      </c>
      <c r="AQ136" s="322">
        <v>0</v>
      </c>
      <c r="AR136" s="321">
        <v>0</v>
      </c>
      <c r="AS136" s="322">
        <v>0</v>
      </c>
      <c r="AT136" s="321"/>
      <c r="AU136" s="322"/>
      <c r="AV136" s="321"/>
      <c r="AW136" s="322"/>
      <c r="AX136" s="321">
        <v>0</v>
      </c>
      <c r="AY136" s="322">
        <v>0</v>
      </c>
      <c r="AZ136" s="321">
        <v>0</v>
      </c>
      <c r="BA136" s="322">
        <v>0</v>
      </c>
      <c r="BB136" s="321">
        <v>0</v>
      </c>
      <c r="BC136" s="322">
        <v>0</v>
      </c>
      <c r="BD136" s="321">
        <v>0</v>
      </c>
      <c r="BE136" s="322">
        <v>0</v>
      </c>
      <c r="BF136" s="321">
        <v>0</v>
      </c>
      <c r="BG136" s="322">
        <v>0</v>
      </c>
      <c r="BH136" s="321"/>
      <c r="BI136" s="322"/>
      <c r="BJ136" s="321"/>
      <c r="BK136" s="322"/>
      <c r="BL136" s="321">
        <v>0</v>
      </c>
      <c r="BM136" s="322">
        <v>0</v>
      </c>
      <c r="BN136" s="321">
        <v>0</v>
      </c>
      <c r="BO136" s="322">
        <v>0</v>
      </c>
      <c r="BP136" s="321">
        <v>0</v>
      </c>
      <c r="BQ136" s="322">
        <v>0</v>
      </c>
      <c r="BR136" s="321">
        <v>0</v>
      </c>
      <c r="BS136" s="322">
        <v>0</v>
      </c>
      <c r="BT136" s="321"/>
      <c r="BU136" s="322"/>
      <c r="BV136" s="264">
        <f>L136+N136+P136+R136+T136+V136+X136+Z136+AB136+AD136+AF136+AH136+AJ136+AL136+AN136+AP136+AR136+AT136+AV136+AX136+AZ136+BB136+BD136+BF136+BH136+BJ136+BL136+BN136+BP136+BR136+BT136</f>
        <v>0</v>
      </c>
      <c r="BW136" s="264">
        <f>M136+O136+Q136+S136+U136+W136+Y136+AA136+AC136+AE136+AG136+AI136+AK136+AM136+AO136+AQ136+AS136+AU136+AW136+AY136+BA136+BC136+BE136+BG136+BI136+BK136+BM136+BO136+BQ136+BS136+BU136</f>
        <v>0</v>
      </c>
    </row>
    <row r="137" spans="1:75" s="62" customFormat="1" ht="21.95" customHeight="1" x14ac:dyDescent="0.2">
      <c r="A137" s="304" t="s">
        <v>3280</v>
      </c>
      <c r="B137" s="305" t="s">
        <v>3281</v>
      </c>
      <c r="C137" s="272" t="s">
        <v>3170</v>
      </c>
      <c r="D137" s="306" t="s">
        <v>3282</v>
      </c>
      <c r="E137" s="307" t="s">
        <v>3283</v>
      </c>
      <c r="F137" s="308" t="s">
        <v>3166</v>
      </c>
      <c r="G137" s="308" t="s">
        <v>3167</v>
      </c>
      <c r="H137" s="309" t="s">
        <v>1505</v>
      </c>
      <c r="I137" s="310" t="s">
        <v>1505</v>
      </c>
      <c r="J137" s="273" t="s">
        <v>3168</v>
      </c>
      <c r="K137" s="273" t="s">
        <v>3171</v>
      </c>
      <c r="L137" s="319">
        <v>0</v>
      </c>
      <c r="M137" s="320">
        <v>0</v>
      </c>
      <c r="N137" s="319">
        <v>0</v>
      </c>
      <c r="O137" s="320">
        <v>0</v>
      </c>
      <c r="P137" s="319">
        <v>0</v>
      </c>
      <c r="Q137" s="320">
        <v>0</v>
      </c>
      <c r="R137" s="319"/>
      <c r="S137" s="320"/>
      <c r="T137" s="319"/>
      <c r="U137" s="320"/>
      <c r="V137" s="319">
        <v>0</v>
      </c>
      <c r="W137" s="320">
        <v>0</v>
      </c>
      <c r="X137" s="319">
        <v>0</v>
      </c>
      <c r="Y137" s="320">
        <v>0</v>
      </c>
      <c r="Z137" s="319">
        <v>0</v>
      </c>
      <c r="AA137" s="320">
        <v>0</v>
      </c>
      <c r="AB137" s="319">
        <v>0</v>
      </c>
      <c r="AC137" s="320">
        <v>0</v>
      </c>
      <c r="AD137" s="319">
        <v>0</v>
      </c>
      <c r="AE137" s="320">
        <v>0</v>
      </c>
      <c r="AF137" s="319"/>
      <c r="AG137" s="320"/>
      <c r="AH137" s="319"/>
      <c r="AI137" s="320"/>
      <c r="AJ137" s="319">
        <v>0</v>
      </c>
      <c r="AK137" s="320">
        <v>0</v>
      </c>
      <c r="AL137" s="319">
        <v>0</v>
      </c>
      <c r="AM137" s="320">
        <v>0</v>
      </c>
      <c r="AN137" s="319">
        <v>0</v>
      </c>
      <c r="AO137" s="320">
        <v>0</v>
      </c>
      <c r="AP137" s="319">
        <v>0</v>
      </c>
      <c r="AQ137" s="320">
        <v>0</v>
      </c>
      <c r="AR137" s="319">
        <v>0</v>
      </c>
      <c r="AS137" s="320">
        <v>0</v>
      </c>
      <c r="AT137" s="319"/>
      <c r="AU137" s="320"/>
      <c r="AV137" s="319"/>
      <c r="AW137" s="320"/>
      <c r="AX137" s="319">
        <v>0</v>
      </c>
      <c r="AY137" s="320">
        <v>0</v>
      </c>
      <c r="AZ137" s="319">
        <v>0</v>
      </c>
      <c r="BA137" s="320">
        <v>0</v>
      </c>
      <c r="BB137" s="319">
        <v>0</v>
      </c>
      <c r="BC137" s="320">
        <v>0</v>
      </c>
      <c r="BD137" s="319">
        <v>0</v>
      </c>
      <c r="BE137" s="320">
        <v>0</v>
      </c>
      <c r="BF137" s="319">
        <v>0</v>
      </c>
      <c r="BG137" s="320">
        <v>0</v>
      </c>
      <c r="BH137" s="319"/>
      <c r="BI137" s="320"/>
      <c r="BJ137" s="319"/>
      <c r="BK137" s="320"/>
      <c r="BL137" s="319">
        <v>0</v>
      </c>
      <c r="BM137" s="320">
        <v>0</v>
      </c>
      <c r="BN137" s="319">
        <v>0</v>
      </c>
      <c r="BO137" s="320">
        <v>0</v>
      </c>
      <c r="BP137" s="319">
        <v>0</v>
      </c>
      <c r="BQ137" s="320">
        <v>0</v>
      </c>
      <c r="BR137" s="319">
        <v>0</v>
      </c>
      <c r="BS137" s="320">
        <v>0</v>
      </c>
      <c r="BT137" s="319"/>
      <c r="BU137" s="320"/>
      <c r="BV137" s="264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264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2" customFormat="1" ht="21.95" customHeight="1" x14ac:dyDescent="0.2">
      <c r="A138" s="304" t="s">
        <v>3280</v>
      </c>
      <c r="B138" s="305" t="s">
        <v>3281</v>
      </c>
      <c r="C138" s="311" t="s">
        <v>3170</v>
      </c>
      <c r="D138" s="306" t="s">
        <v>3282</v>
      </c>
      <c r="E138" s="307" t="s">
        <v>3283</v>
      </c>
      <c r="F138" s="308" t="s">
        <v>3166</v>
      </c>
      <c r="G138" s="308" t="s">
        <v>3167</v>
      </c>
      <c r="H138" s="309" t="s">
        <v>1505</v>
      </c>
      <c r="I138" s="310" t="s">
        <v>1505</v>
      </c>
      <c r="J138" s="273" t="s">
        <v>3168</v>
      </c>
      <c r="K138" s="275" t="s">
        <v>3172</v>
      </c>
      <c r="L138" s="319">
        <v>0</v>
      </c>
      <c r="M138" s="320">
        <v>0</v>
      </c>
      <c r="N138" s="319">
        <v>0</v>
      </c>
      <c r="O138" s="320">
        <v>0</v>
      </c>
      <c r="P138" s="319">
        <v>0</v>
      </c>
      <c r="Q138" s="320">
        <v>0</v>
      </c>
      <c r="R138" s="319"/>
      <c r="S138" s="320"/>
      <c r="T138" s="319"/>
      <c r="U138" s="320"/>
      <c r="V138" s="319">
        <v>0</v>
      </c>
      <c r="W138" s="320">
        <v>0</v>
      </c>
      <c r="X138" s="319">
        <v>0</v>
      </c>
      <c r="Y138" s="320">
        <v>0</v>
      </c>
      <c r="Z138" s="319">
        <v>0</v>
      </c>
      <c r="AA138" s="320">
        <v>0</v>
      </c>
      <c r="AB138" s="319">
        <v>0</v>
      </c>
      <c r="AC138" s="320">
        <v>0</v>
      </c>
      <c r="AD138" s="319">
        <v>0</v>
      </c>
      <c r="AE138" s="320">
        <v>0</v>
      </c>
      <c r="AF138" s="319"/>
      <c r="AG138" s="320"/>
      <c r="AH138" s="319"/>
      <c r="AI138" s="320"/>
      <c r="AJ138" s="319">
        <v>0</v>
      </c>
      <c r="AK138" s="320">
        <v>0</v>
      </c>
      <c r="AL138" s="319">
        <v>0</v>
      </c>
      <c r="AM138" s="320">
        <v>0</v>
      </c>
      <c r="AN138" s="319">
        <v>0</v>
      </c>
      <c r="AO138" s="320">
        <v>0</v>
      </c>
      <c r="AP138" s="319">
        <v>0</v>
      </c>
      <c r="AQ138" s="320">
        <v>0</v>
      </c>
      <c r="AR138" s="319">
        <v>0</v>
      </c>
      <c r="AS138" s="320">
        <v>0</v>
      </c>
      <c r="AT138" s="319"/>
      <c r="AU138" s="320"/>
      <c r="AV138" s="319"/>
      <c r="AW138" s="320"/>
      <c r="AX138" s="319">
        <v>0</v>
      </c>
      <c r="AY138" s="320">
        <v>0</v>
      </c>
      <c r="AZ138" s="319">
        <v>0</v>
      </c>
      <c r="BA138" s="320">
        <v>0</v>
      </c>
      <c r="BB138" s="319">
        <v>0</v>
      </c>
      <c r="BC138" s="320">
        <v>0</v>
      </c>
      <c r="BD138" s="319">
        <v>0</v>
      </c>
      <c r="BE138" s="320">
        <v>0</v>
      </c>
      <c r="BF138" s="319">
        <v>0</v>
      </c>
      <c r="BG138" s="320">
        <v>0</v>
      </c>
      <c r="BH138" s="319"/>
      <c r="BI138" s="320"/>
      <c r="BJ138" s="319"/>
      <c r="BK138" s="320"/>
      <c r="BL138" s="319">
        <v>0</v>
      </c>
      <c r="BM138" s="320">
        <v>0</v>
      </c>
      <c r="BN138" s="319">
        <v>0</v>
      </c>
      <c r="BO138" s="320">
        <v>0</v>
      </c>
      <c r="BP138" s="319">
        <v>0</v>
      </c>
      <c r="BQ138" s="320">
        <v>0</v>
      </c>
      <c r="BR138" s="319">
        <v>0</v>
      </c>
      <c r="BS138" s="320">
        <v>0</v>
      </c>
      <c r="BT138" s="319"/>
      <c r="BU138" s="320"/>
      <c r="BV138" s="264">
        <f t="shared" si="55"/>
        <v>0</v>
      </c>
      <c r="BW138" s="264">
        <f t="shared" si="56"/>
        <v>0</v>
      </c>
    </row>
    <row r="139" spans="1:75" s="62" customFormat="1" ht="21.95" customHeight="1" x14ac:dyDescent="0.2">
      <c r="A139" s="304" t="s">
        <v>3280</v>
      </c>
      <c r="B139" s="305" t="s">
        <v>3281</v>
      </c>
      <c r="C139" s="311" t="s">
        <v>3170</v>
      </c>
      <c r="D139" s="306" t="s">
        <v>3282</v>
      </c>
      <c r="E139" s="307" t="s">
        <v>3283</v>
      </c>
      <c r="F139" s="308" t="s">
        <v>3166</v>
      </c>
      <c r="G139" s="308" t="s">
        <v>3167</v>
      </c>
      <c r="H139" s="309" t="s">
        <v>1505</v>
      </c>
      <c r="I139" s="310" t="s">
        <v>1505</v>
      </c>
      <c r="J139" s="273" t="s">
        <v>3168</v>
      </c>
      <c r="K139" s="276" t="s">
        <v>3173</v>
      </c>
      <c r="L139" s="319">
        <v>0</v>
      </c>
      <c r="M139" s="320">
        <v>0</v>
      </c>
      <c r="N139" s="319">
        <v>0</v>
      </c>
      <c r="O139" s="320">
        <v>0</v>
      </c>
      <c r="P139" s="319">
        <v>0</v>
      </c>
      <c r="Q139" s="320">
        <v>0</v>
      </c>
      <c r="R139" s="319"/>
      <c r="S139" s="320"/>
      <c r="T139" s="319"/>
      <c r="U139" s="320"/>
      <c r="V139" s="319">
        <v>0</v>
      </c>
      <c r="W139" s="320">
        <v>0</v>
      </c>
      <c r="X139" s="319">
        <v>0</v>
      </c>
      <c r="Y139" s="320">
        <v>0</v>
      </c>
      <c r="Z139" s="319">
        <v>0</v>
      </c>
      <c r="AA139" s="320">
        <v>0</v>
      </c>
      <c r="AB139" s="319">
        <v>0</v>
      </c>
      <c r="AC139" s="320">
        <v>0</v>
      </c>
      <c r="AD139" s="319">
        <v>0</v>
      </c>
      <c r="AE139" s="320">
        <v>0</v>
      </c>
      <c r="AF139" s="319"/>
      <c r="AG139" s="320"/>
      <c r="AH139" s="319"/>
      <c r="AI139" s="320"/>
      <c r="AJ139" s="319">
        <v>0</v>
      </c>
      <c r="AK139" s="320">
        <v>0</v>
      </c>
      <c r="AL139" s="319">
        <v>0</v>
      </c>
      <c r="AM139" s="320">
        <v>0</v>
      </c>
      <c r="AN139" s="319">
        <v>0</v>
      </c>
      <c r="AO139" s="320">
        <v>0</v>
      </c>
      <c r="AP139" s="319">
        <v>0</v>
      </c>
      <c r="AQ139" s="320">
        <v>0</v>
      </c>
      <c r="AR139" s="319">
        <v>0</v>
      </c>
      <c r="AS139" s="320">
        <v>0</v>
      </c>
      <c r="AT139" s="319"/>
      <c r="AU139" s="320"/>
      <c r="AV139" s="319"/>
      <c r="AW139" s="320"/>
      <c r="AX139" s="319">
        <v>0</v>
      </c>
      <c r="AY139" s="320">
        <v>0</v>
      </c>
      <c r="AZ139" s="319">
        <v>0</v>
      </c>
      <c r="BA139" s="320">
        <v>0</v>
      </c>
      <c r="BB139" s="319">
        <v>0</v>
      </c>
      <c r="BC139" s="320">
        <v>0</v>
      </c>
      <c r="BD139" s="319">
        <v>0</v>
      </c>
      <c r="BE139" s="320">
        <v>0</v>
      </c>
      <c r="BF139" s="319">
        <v>0</v>
      </c>
      <c r="BG139" s="320">
        <v>0</v>
      </c>
      <c r="BH139" s="319"/>
      <c r="BI139" s="320"/>
      <c r="BJ139" s="319"/>
      <c r="BK139" s="320"/>
      <c r="BL139" s="319">
        <v>0</v>
      </c>
      <c r="BM139" s="320">
        <v>0</v>
      </c>
      <c r="BN139" s="319">
        <v>0</v>
      </c>
      <c r="BO139" s="320">
        <v>0</v>
      </c>
      <c r="BP139" s="319">
        <v>0</v>
      </c>
      <c r="BQ139" s="320">
        <v>0</v>
      </c>
      <c r="BR139" s="319">
        <v>0</v>
      </c>
      <c r="BS139" s="320">
        <v>0</v>
      </c>
      <c r="BT139" s="319"/>
      <c r="BU139" s="320"/>
      <c r="BV139" s="264">
        <f t="shared" si="55"/>
        <v>0</v>
      </c>
      <c r="BW139" s="264">
        <f t="shared" si="56"/>
        <v>0</v>
      </c>
    </row>
    <row r="140" spans="1:75" s="62" customFormat="1" ht="21.95" customHeight="1" thickBot="1" x14ac:dyDescent="0.25">
      <c r="A140" s="567" t="s">
        <v>3280</v>
      </c>
      <c r="B140" s="312" t="s">
        <v>3281</v>
      </c>
      <c r="C140" s="313" t="s">
        <v>3170</v>
      </c>
      <c r="D140" s="314" t="s">
        <v>3282</v>
      </c>
      <c r="E140" s="330" t="s">
        <v>3283</v>
      </c>
      <c r="F140" s="315" t="s">
        <v>3166</v>
      </c>
      <c r="G140" s="315" t="s">
        <v>3167</v>
      </c>
      <c r="H140" s="316" t="s">
        <v>1505</v>
      </c>
      <c r="I140" s="568" t="s">
        <v>1505</v>
      </c>
      <c r="J140" s="273" t="s">
        <v>3168</v>
      </c>
      <c r="K140" s="277" t="s">
        <v>53</v>
      </c>
      <c r="L140" s="321">
        <v>0</v>
      </c>
      <c r="M140" s="322">
        <v>0</v>
      </c>
      <c r="N140" s="321">
        <v>0</v>
      </c>
      <c r="O140" s="322">
        <v>0</v>
      </c>
      <c r="P140" s="321">
        <v>0</v>
      </c>
      <c r="Q140" s="322">
        <v>0</v>
      </c>
      <c r="R140" s="321"/>
      <c r="S140" s="322"/>
      <c r="T140" s="321"/>
      <c r="U140" s="322"/>
      <c r="V140" s="321">
        <v>0</v>
      </c>
      <c r="W140" s="322">
        <v>0</v>
      </c>
      <c r="X140" s="321">
        <v>0</v>
      </c>
      <c r="Y140" s="322">
        <v>0</v>
      </c>
      <c r="Z140" s="321">
        <v>0</v>
      </c>
      <c r="AA140" s="322">
        <v>0</v>
      </c>
      <c r="AB140" s="321">
        <v>0</v>
      </c>
      <c r="AC140" s="322">
        <v>0</v>
      </c>
      <c r="AD140" s="321">
        <v>0</v>
      </c>
      <c r="AE140" s="322">
        <v>0</v>
      </c>
      <c r="AF140" s="321"/>
      <c r="AG140" s="322"/>
      <c r="AH140" s="321"/>
      <c r="AI140" s="322"/>
      <c r="AJ140" s="321">
        <v>0</v>
      </c>
      <c r="AK140" s="322">
        <v>0</v>
      </c>
      <c r="AL140" s="321">
        <v>0</v>
      </c>
      <c r="AM140" s="322">
        <v>0</v>
      </c>
      <c r="AN140" s="321">
        <v>0</v>
      </c>
      <c r="AO140" s="322">
        <v>0</v>
      </c>
      <c r="AP140" s="321">
        <v>0</v>
      </c>
      <c r="AQ140" s="322">
        <v>0</v>
      </c>
      <c r="AR140" s="321">
        <v>0</v>
      </c>
      <c r="AS140" s="322">
        <v>0</v>
      </c>
      <c r="AT140" s="321"/>
      <c r="AU140" s="322"/>
      <c r="AV140" s="321"/>
      <c r="AW140" s="322"/>
      <c r="AX140" s="321">
        <v>0</v>
      </c>
      <c r="AY140" s="322">
        <v>0</v>
      </c>
      <c r="AZ140" s="321">
        <v>0</v>
      </c>
      <c r="BA140" s="322">
        <v>0</v>
      </c>
      <c r="BB140" s="321">
        <v>0</v>
      </c>
      <c r="BC140" s="322">
        <v>0</v>
      </c>
      <c r="BD140" s="321">
        <v>0</v>
      </c>
      <c r="BE140" s="322">
        <v>0</v>
      </c>
      <c r="BF140" s="321">
        <v>0</v>
      </c>
      <c r="BG140" s="322">
        <v>0</v>
      </c>
      <c r="BH140" s="321"/>
      <c r="BI140" s="322"/>
      <c r="BJ140" s="321"/>
      <c r="BK140" s="322"/>
      <c r="BL140" s="321">
        <v>0</v>
      </c>
      <c r="BM140" s="322">
        <v>0</v>
      </c>
      <c r="BN140" s="321">
        <v>0</v>
      </c>
      <c r="BO140" s="322">
        <v>0</v>
      </c>
      <c r="BP140" s="321">
        <v>0</v>
      </c>
      <c r="BQ140" s="322">
        <v>0</v>
      </c>
      <c r="BR140" s="321">
        <v>0</v>
      </c>
      <c r="BS140" s="322">
        <v>0</v>
      </c>
      <c r="BT140" s="321"/>
      <c r="BU140" s="322"/>
      <c r="BV140" s="264">
        <f t="shared" si="55"/>
        <v>0</v>
      </c>
      <c r="BW140" s="264">
        <f t="shared" si="56"/>
        <v>0</v>
      </c>
    </row>
    <row r="141" spans="1:75" s="62" customFormat="1" ht="21.95" customHeight="1" x14ac:dyDescent="0.25">
      <c r="A141" s="344" t="s">
        <v>3284</v>
      </c>
      <c r="B141" s="433" t="s">
        <v>3285</v>
      </c>
      <c r="C141" s="434">
        <v>1</v>
      </c>
      <c r="D141" s="435" t="s">
        <v>3286</v>
      </c>
      <c r="E141" s="345" t="s">
        <v>3287</v>
      </c>
      <c r="F141" s="436" t="s">
        <v>3166</v>
      </c>
      <c r="G141" s="436" t="s">
        <v>3167</v>
      </c>
      <c r="H141" s="437" t="s">
        <v>1509</v>
      </c>
      <c r="I141" s="303" t="s">
        <v>1509</v>
      </c>
      <c r="J141" s="273" t="s">
        <v>3168</v>
      </c>
      <c r="K141" s="274" t="s">
        <v>3169</v>
      </c>
      <c r="L141" s="321">
        <v>0</v>
      </c>
      <c r="M141" s="322">
        <v>0</v>
      </c>
      <c r="N141" s="321">
        <v>0</v>
      </c>
      <c r="O141" s="322">
        <v>0</v>
      </c>
      <c r="P141" s="321">
        <v>0</v>
      </c>
      <c r="Q141" s="322">
        <v>0</v>
      </c>
      <c r="R141" s="321"/>
      <c r="S141" s="322"/>
      <c r="T141" s="321"/>
      <c r="U141" s="322"/>
      <c r="V141" s="321">
        <v>0</v>
      </c>
      <c r="W141" s="322">
        <v>0</v>
      </c>
      <c r="X141" s="321">
        <v>0</v>
      </c>
      <c r="Y141" s="322">
        <v>0</v>
      </c>
      <c r="Z141" s="321">
        <v>0</v>
      </c>
      <c r="AA141" s="322">
        <v>0</v>
      </c>
      <c r="AB141" s="321">
        <v>0</v>
      </c>
      <c r="AC141" s="322">
        <v>0</v>
      </c>
      <c r="AD141" s="321">
        <v>0</v>
      </c>
      <c r="AE141" s="322">
        <v>0</v>
      </c>
      <c r="AF141" s="321"/>
      <c r="AG141" s="322"/>
      <c r="AH141" s="321"/>
      <c r="AI141" s="322"/>
      <c r="AJ141" s="321">
        <v>0</v>
      </c>
      <c r="AK141" s="322">
        <v>0</v>
      </c>
      <c r="AL141" s="321">
        <v>0</v>
      </c>
      <c r="AM141" s="322">
        <v>0</v>
      </c>
      <c r="AN141" s="321">
        <v>0</v>
      </c>
      <c r="AO141" s="322">
        <v>0</v>
      </c>
      <c r="AP141" s="321">
        <v>0</v>
      </c>
      <c r="AQ141" s="322">
        <v>0</v>
      </c>
      <c r="AR141" s="321">
        <v>0</v>
      </c>
      <c r="AS141" s="322">
        <v>0</v>
      </c>
      <c r="AT141" s="321"/>
      <c r="AU141" s="322"/>
      <c r="AV141" s="321"/>
      <c r="AW141" s="322"/>
      <c r="AX141" s="321">
        <v>0</v>
      </c>
      <c r="AY141" s="322">
        <v>0</v>
      </c>
      <c r="AZ141" s="321">
        <v>0</v>
      </c>
      <c r="BA141" s="322">
        <v>0</v>
      </c>
      <c r="BB141" s="321">
        <v>0</v>
      </c>
      <c r="BC141" s="322">
        <v>0</v>
      </c>
      <c r="BD141" s="321">
        <v>0</v>
      </c>
      <c r="BE141" s="322">
        <v>0</v>
      </c>
      <c r="BF141" s="321">
        <v>0</v>
      </c>
      <c r="BG141" s="322">
        <v>0</v>
      </c>
      <c r="BH141" s="321"/>
      <c r="BI141" s="322"/>
      <c r="BJ141" s="321"/>
      <c r="BK141" s="322"/>
      <c r="BL141" s="321">
        <v>0</v>
      </c>
      <c r="BM141" s="322">
        <v>0</v>
      </c>
      <c r="BN141" s="321">
        <v>0</v>
      </c>
      <c r="BO141" s="322">
        <v>0</v>
      </c>
      <c r="BP141" s="321">
        <v>0</v>
      </c>
      <c r="BQ141" s="322">
        <v>0</v>
      </c>
      <c r="BR141" s="321">
        <v>0</v>
      </c>
      <c r="BS141" s="322">
        <v>0</v>
      </c>
      <c r="BT141" s="321"/>
      <c r="BU141" s="322"/>
      <c r="BV141" s="264">
        <f>L141+N141+P141+R141+T141+V141+X141+Z141+AB141+AD141+AF141+AH141+AJ141+AL141+AN141+AP141+AR141+AT141+AV141+AX141+AZ141+BB141+BD141+BF141+BH141+BJ141+BL141+BN141+BP141+BR141+BT141</f>
        <v>0</v>
      </c>
      <c r="BW141" s="264">
        <f>M141+O141+Q141+S141+U141+W141+Y141+AA141+AC141+AE141+AG141+AI141+AK141+AM141+AO141+AQ141+AS141+AU141+AW141+AY141+BA141+BC141+BE141+BG141+BI141+BK141+BM141+BO141+BQ141+BS141+BU141</f>
        <v>0</v>
      </c>
    </row>
    <row r="142" spans="1:75" s="62" customFormat="1" ht="21.95" customHeight="1" x14ac:dyDescent="0.2">
      <c r="A142" s="304" t="s">
        <v>3284</v>
      </c>
      <c r="B142" s="305" t="s">
        <v>3285</v>
      </c>
      <c r="C142" s="272" t="s">
        <v>3170</v>
      </c>
      <c r="D142" s="306" t="s">
        <v>3286</v>
      </c>
      <c r="E142" s="307" t="s">
        <v>3287</v>
      </c>
      <c r="F142" s="308" t="s">
        <v>3166</v>
      </c>
      <c r="G142" s="308" t="s">
        <v>3167</v>
      </c>
      <c r="H142" s="309" t="s">
        <v>1509</v>
      </c>
      <c r="I142" s="310" t="s">
        <v>1509</v>
      </c>
      <c r="J142" s="273" t="s">
        <v>3168</v>
      </c>
      <c r="K142" s="273" t="s">
        <v>3171</v>
      </c>
      <c r="L142" s="319">
        <v>0</v>
      </c>
      <c r="M142" s="320">
        <v>0</v>
      </c>
      <c r="N142" s="319">
        <v>0</v>
      </c>
      <c r="O142" s="320">
        <v>0</v>
      </c>
      <c r="P142" s="319">
        <v>0</v>
      </c>
      <c r="Q142" s="320">
        <v>0</v>
      </c>
      <c r="R142" s="319"/>
      <c r="S142" s="320"/>
      <c r="T142" s="319"/>
      <c r="U142" s="320"/>
      <c r="V142" s="319">
        <v>3</v>
      </c>
      <c r="W142" s="320">
        <v>0</v>
      </c>
      <c r="X142" s="319">
        <v>0</v>
      </c>
      <c r="Y142" s="320">
        <v>0</v>
      </c>
      <c r="Z142" s="319">
        <v>0</v>
      </c>
      <c r="AA142" s="320">
        <v>0</v>
      </c>
      <c r="AB142" s="319">
        <v>0</v>
      </c>
      <c r="AC142" s="320">
        <v>0</v>
      </c>
      <c r="AD142" s="319">
        <v>0</v>
      </c>
      <c r="AE142" s="320">
        <v>0</v>
      </c>
      <c r="AF142" s="319"/>
      <c r="AG142" s="320"/>
      <c r="AH142" s="319"/>
      <c r="AI142" s="320"/>
      <c r="AJ142" s="319">
        <v>3</v>
      </c>
      <c r="AK142" s="320">
        <v>0</v>
      </c>
      <c r="AL142" s="319">
        <v>0</v>
      </c>
      <c r="AM142" s="320">
        <v>0</v>
      </c>
      <c r="AN142" s="319">
        <v>0</v>
      </c>
      <c r="AO142" s="320">
        <v>0</v>
      </c>
      <c r="AP142" s="319">
        <v>0</v>
      </c>
      <c r="AQ142" s="320">
        <v>0</v>
      </c>
      <c r="AR142" s="319">
        <v>0</v>
      </c>
      <c r="AS142" s="320">
        <v>0</v>
      </c>
      <c r="AT142" s="319"/>
      <c r="AU142" s="320"/>
      <c r="AV142" s="319"/>
      <c r="AW142" s="320"/>
      <c r="AX142" s="319">
        <v>3</v>
      </c>
      <c r="AY142" s="320">
        <v>0</v>
      </c>
      <c r="AZ142" s="319">
        <v>0</v>
      </c>
      <c r="BA142" s="320">
        <v>0</v>
      </c>
      <c r="BB142" s="319">
        <v>0</v>
      </c>
      <c r="BC142" s="320">
        <v>0</v>
      </c>
      <c r="BD142" s="319">
        <v>0</v>
      </c>
      <c r="BE142" s="320">
        <v>0</v>
      </c>
      <c r="BF142" s="319">
        <v>0</v>
      </c>
      <c r="BG142" s="320">
        <v>0</v>
      </c>
      <c r="BH142" s="319"/>
      <c r="BI142" s="320"/>
      <c r="BJ142" s="319"/>
      <c r="BK142" s="320"/>
      <c r="BL142" s="319">
        <v>3</v>
      </c>
      <c r="BM142" s="320">
        <v>0</v>
      </c>
      <c r="BN142" s="319">
        <v>0</v>
      </c>
      <c r="BO142" s="320">
        <v>0</v>
      </c>
      <c r="BP142" s="319">
        <v>0</v>
      </c>
      <c r="BQ142" s="320">
        <v>0</v>
      </c>
      <c r="BR142" s="319">
        <v>0</v>
      </c>
      <c r="BS142" s="320">
        <v>0</v>
      </c>
      <c r="BT142" s="319"/>
      <c r="BU142" s="320"/>
      <c r="BV142" s="264">
        <f t="shared" ref="BV142:BV145" si="57">L142+N142+P142+R142+T142+V142+X142+Z142+AB142+AD142+AF142+AH142+AJ142+AL142+AN142+AP142+AR142+AT142+AV142+AX142+AZ142+BB142+BD142+BF142+BH142+BJ142+BL142+BN142+BP142+BR142+BT142</f>
        <v>12</v>
      </c>
      <c r="BW142" s="264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2" customFormat="1" ht="21.95" customHeight="1" x14ac:dyDescent="0.2">
      <c r="A143" s="304" t="s">
        <v>3284</v>
      </c>
      <c r="B143" s="305" t="s">
        <v>3285</v>
      </c>
      <c r="C143" s="311" t="s">
        <v>3170</v>
      </c>
      <c r="D143" s="306" t="s">
        <v>3286</v>
      </c>
      <c r="E143" s="307" t="s">
        <v>3287</v>
      </c>
      <c r="F143" s="308" t="s">
        <v>3166</v>
      </c>
      <c r="G143" s="308" t="s">
        <v>3167</v>
      </c>
      <c r="H143" s="309" t="s">
        <v>1509</v>
      </c>
      <c r="I143" s="310" t="s">
        <v>1509</v>
      </c>
      <c r="J143" s="273" t="s">
        <v>3168</v>
      </c>
      <c r="K143" s="275" t="s">
        <v>3172</v>
      </c>
      <c r="L143" s="319">
        <v>0</v>
      </c>
      <c r="M143" s="320">
        <v>0</v>
      </c>
      <c r="N143" s="319">
        <v>0</v>
      </c>
      <c r="O143" s="320">
        <v>0</v>
      </c>
      <c r="P143" s="319">
        <v>0</v>
      </c>
      <c r="Q143" s="320">
        <v>0</v>
      </c>
      <c r="R143" s="319"/>
      <c r="S143" s="320"/>
      <c r="T143" s="319"/>
      <c r="U143" s="320"/>
      <c r="V143" s="319">
        <v>0</v>
      </c>
      <c r="W143" s="320">
        <v>0</v>
      </c>
      <c r="X143" s="319">
        <v>0</v>
      </c>
      <c r="Y143" s="320">
        <v>0</v>
      </c>
      <c r="Z143" s="319">
        <v>0</v>
      </c>
      <c r="AA143" s="320">
        <v>0</v>
      </c>
      <c r="AB143" s="319">
        <v>0</v>
      </c>
      <c r="AC143" s="320">
        <v>0</v>
      </c>
      <c r="AD143" s="319">
        <v>0</v>
      </c>
      <c r="AE143" s="320">
        <v>0</v>
      </c>
      <c r="AF143" s="319"/>
      <c r="AG143" s="320"/>
      <c r="AH143" s="319"/>
      <c r="AI143" s="320"/>
      <c r="AJ143" s="319">
        <v>0</v>
      </c>
      <c r="AK143" s="320">
        <v>0</v>
      </c>
      <c r="AL143" s="319">
        <v>0</v>
      </c>
      <c r="AM143" s="320">
        <v>0</v>
      </c>
      <c r="AN143" s="319">
        <v>0</v>
      </c>
      <c r="AO143" s="320">
        <v>0</v>
      </c>
      <c r="AP143" s="319">
        <v>0</v>
      </c>
      <c r="AQ143" s="320">
        <v>0</v>
      </c>
      <c r="AR143" s="319">
        <v>0</v>
      </c>
      <c r="AS143" s="320">
        <v>0</v>
      </c>
      <c r="AT143" s="319"/>
      <c r="AU143" s="320"/>
      <c r="AV143" s="319"/>
      <c r="AW143" s="320"/>
      <c r="AX143" s="319">
        <v>0</v>
      </c>
      <c r="AY143" s="320">
        <v>0</v>
      </c>
      <c r="AZ143" s="319">
        <v>0</v>
      </c>
      <c r="BA143" s="320">
        <v>0</v>
      </c>
      <c r="BB143" s="319">
        <v>0</v>
      </c>
      <c r="BC143" s="320">
        <v>0</v>
      </c>
      <c r="BD143" s="319">
        <v>0</v>
      </c>
      <c r="BE143" s="320">
        <v>0</v>
      </c>
      <c r="BF143" s="319">
        <v>0</v>
      </c>
      <c r="BG143" s="320">
        <v>0</v>
      </c>
      <c r="BH143" s="319"/>
      <c r="BI143" s="320"/>
      <c r="BJ143" s="319"/>
      <c r="BK143" s="320"/>
      <c r="BL143" s="319">
        <v>0</v>
      </c>
      <c r="BM143" s="320">
        <v>0</v>
      </c>
      <c r="BN143" s="319">
        <v>0</v>
      </c>
      <c r="BO143" s="320">
        <v>0</v>
      </c>
      <c r="BP143" s="319">
        <v>0</v>
      </c>
      <c r="BQ143" s="320">
        <v>0</v>
      </c>
      <c r="BR143" s="319">
        <v>0</v>
      </c>
      <c r="BS143" s="320">
        <v>0</v>
      </c>
      <c r="BT143" s="319"/>
      <c r="BU143" s="320"/>
      <c r="BV143" s="264">
        <f t="shared" si="57"/>
        <v>0</v>
      </c>
      <c r="BW143" s="264">
        <f t="shared" si="58"/>
        <v>0</v>
      </c>
    </row>
    <row r="144" spans="1:75" s="62" customFormat="1" ht="21.95" customHeight="1" x14ac:dyDescent="0.2">
      <c r="A144" s="304" t="s">
        <v>3284</v>
      </c>
      <c r="B144" s="305" t="s">
        <v>3285</v>
      </c>
      <c r="C144" s="311" t="s">
        <v>3170</v>
      </c>
      <c r="D144" s="306" t="s">
        <v>3286</v>
      </c>
      <c r="E144" s="307" t="s">
        <v>3287</v>
      </c>
      <c r="F144" s="308" t="s">
        <v>3166</v>
      </c>
      <c r="G144" s="308" t="s">
        <v>3167</v>
      </c>
      <c r="H144" s="309" t="s">
        <v>1509</v>
      </c>
      <c r="I144" s="310" t="s">
        <v>1509</v>
      </c>
      <c r="J144" s="273" t="s">
        <v>3168</v>
      </c>
      <c r="K144" s="276" t="s">
        <v>3173</v>
      </c>
      <c r="L144" s="319">
        <v>0</v>
      </c>
      <c r="M144" s="320">
        <v>0</v>
      </c>
      <c r="N144" s="319">
        <v>0</v>
      </c>
      <c r="O144" s="320">
        <v>0</v>
      </c>
      <c r="P144" s="319">
        <v>0</v>
      </c>
      <c r="Q144" s="320">
        <v>0</v>
      </c>
      <c r="R144" s="319"/>
      <c r="S144" s="320"/>
      <c r="T144" s="319"/>
      <c r="U144" s="320"/>
      <c r="V144" s="319">
        <v>0</v>
      </c>
      <c r="W144" s="320">
        <v>0</v>
      </c>
      <c r="X144" s="319">
        <v>0</v>
      </c>
      <c r="Y144" s="320">
        <v>0</v>
      </c>
      <c r="Z144" s="319">
        <v>0</v>
      </c>
      <c r="AA144" s="320">
        <v>0</v>
      </c>
      <c r="AB144" s="319">
        <v>0</v>
      </c>
      <c r="AC144" s="320">
        <v>0</v>
      </c>
      <c r="AD144" s="319">
        <v>0</v>
      </c>
      <c r="AE144" s="320">
        <v>0</v>
      </c>
      <c r="AF144" s="319"/>
      <c r="AG144" s="320"/>
      <c r="AH144" s="319"/>
      <c r="AI144" s="320"/>
      <c r="AJ144" s="319">
        <v>0</v>
      </c>
      <c r="AK144" s="320">
        <v>0</v>
      </c>
      <c r="AL144" s="319">
        <v>0</v>
      </c>
      <c r="AM144" s="320">
        <v>0</v>
      </c>
      <c r="AN144" s="319">
        <v>0</v>
      </c>
      <c r="AO144" s="320">
        <v>0</v>
      </c>
      <c r="AP144" s="319">
        <v>0</v>
      </c>
      <c r="AQ144" s="320">
        <v>0</v>
      </c>
      <c r="AR144" s="319">
        <v>0</v>
      </c>
      <c r="AS144" s="320">
        <v>0</v>
      </c>
      <c r="AT144" s="319"/>
      <c r="AU144" s="320"/>
      <c r="AV144" s="319"/>
      <c r="AW144" s="320"/>
      <c r="AX144" s="319">
        <v>0</v>
      </c>
      <c r="AY144" s="320">
        <v>0</v>
      </c>
      <c r="AZ144" s="319">
        <v>0</v>
      </c>
      <c r="BA144" s="320">
        <v>0</v>
      </c>
      <c r="BB144" s="319">
        <v>0</v>
      </c>
      <c r="BC144" s="320">
        <v>0</v>
      </c>
      <c r="BD144" s="319">
        <v>0</v>
      </c>
      <c r="BE144" s="320">
        <v>0</v>
      </c>
      <c r="BF144" s="319">
        <v>0</v>
      </c>
      <c r="BG144" s="320">
        <v>0</v>
      </c>
      <c r="BH144" s="319"/>
      <c r="BI144" s="320"/>
      <c r="BJ144" s="319"/>
      <c r="BK144" s="320"/>
      <c r="BL144" s="319">
        <v>0</v>
      </c>
      <c r="BM144" s="320">
        <v>0</v>
      </c>
      <c r="BN144" s="319">
        <v>0</v>
      </c>
      <c r="BO144" s="320">
        <v>0</v>
      </c>
      <c r="BP144" s="319">
        <v>0</v>
      </c>
      <c r="BQ144" s="320">
        <v>0</v>
      </c>
      <c r="BR144" s="319">
        <v>0</v>
      </c>
      <c r="BS144" s="320">
        <v>0</v>
      </c>
      <c r="BT144" s="319"/>
      <c r="BU144" s="320"/>
      <c r="BV144" s="264">
        <f t="shared" si="57"/>
        <v>0</v>
      </c>
      <c r="BW144" s="264">
        <f t="shared" si="58"/>
        <v>0</v>
      </c>
    </row>
    <row r="145" spans="1:75" s="62" customFormat="1" ht="21.95" customHeight="1" thickBot="1" x14ac:dyDescent="0.25">
      <c r="A145" s="567" t="s">
        <v>3284</v>
      </c>
      <c r="B145" s="312" t="s">
        <v>3285</v>
      </c>
      <c r="C145" s="313" t="s">
        <v>3170</v>
      </c>
      <c r="D145" s="314" t="s">
        <v>3286</v>
      </c>
      <c r="E145" s="330" t="s">
        <v>3287</v>
      </c>
      <c r="F145" s="315" t="s">
        <v>3166</v>
      </c>
      <c r="G145" s="315" t="s">
        <v>3167</v>
      </c>
      <c r="H145" s="316" t="s">
        <v>1509</v>
      </c>
      <c r="I145" s="568" t="s">
        <v>1509</v>
      </c>
      <c r="J145" s="273" t="s">
        <v>3168</v>
      </c>
      <c r="K145" s="277" t="s">
        <v>53</v>
      </c>
      <c r="L145" s="321">
        <v>0</v>
      </c>
      <c r="M145" s="322">
        <v>0</v>
      </c>
      <c r="N145" s="321">
        <v>0</v>
      </c>
      <c r="O145" s="322">
        <v>0</v>
      </c>
      <c r="P145" s="321">
        <v>0</v>
      </c>
      <c r="Q145" s="322">
        <v>0</v>
      </c>
      <c r="R145" s="321"/>
      <c r="S145" s="322"/>
      <c r="T145" s="321"/>
      <c r="U145" s="322"/>
      <c r="V145" s="321">
        <v>0</v>
      </c>
      <c r="W145" s="322">
        <v>0</v>
      </c>
      <c r="X145" s="321">
        <v>0</v>
      </c>
      <c r="Y145" s="322">
        <v>0</v>
      </c>
      <c r="Z145" s="321">
        <v>0</v>
      </c>
      <c r="AA145" s="322">
        <v>0</v>
      </c>
      <c r="AB145" s="321">
        <v>0</v>
      </c>
      <c r="AC145" s="322">
        <v>0</v>
      </c>
      <c r="AD145" s="321">
        <v>0</v>
      </c>
      <c r="AE145" s="322">
        <v>0</v>
      </c>
      <c r="AF145" s="321"/>
      <c r="AG145" s="322"/>
      <c r="AH145" s="321"/>
      <c r="AI145" s="322"/>
      <c r="AJ145" s="321">
        <v>0</v>
      </c>
      <c r="AK145" s="322">
        <v>0</v>
      </c>
      <c r="AL145" s="321">
        <v>0</v>
      </c>
      <c r="AM145" s="322">
        <v>0</v>
      </c>
      <c r="AN145" s="321">
        <v>0</v>
      </c>
      <c r="AO145" s="322">
        <v>0</v>
      </c>
      <c r="AP145" s="321">
        <v>0</v>
      </c>
      <c r="AQ145" s="322">
        <v>0</v>
      </c>
      <c r="AR145" s="321">
        <v>0</v>
      </c>
      <c r="AS145" s="322">
        <v>0</v>
      </c>
      <c r="AT145" s="321"/>
      <c r="AU145" s="322"/>
      <c r="AV145" s="321"/>
      <c r="AW145" s="322"/>
      <c r="AX145" s="321">
        <v>0</v>
      </c>
      <c r="AY145" s="322">
        <v>0</v>
      </c>
      <c r="AZ145" s="321">
        <v>0</v>
      </c>
      <c r="BA145" s="322">
        <v>0</v>
      </c>
      <c r="BB145" s="321">
        <v>0</v>
      </c>
      <c r="BC145" s="322">
        <v>0</v>
      </c>
      <c r="BD145" s="321">
        <v>0</v>
      </c>
      <c r="BE145" s="322">
        <v>0</v>
      </c>
      <c r="BF145" s="321">
        <v>0</v>
      </c>
      <c r="BG145" s="322">
        <v>0</v>
      </c>
      <c r="BH145" s="321"/>
      <c r="BI145" s="322"/>
      <c r="BJ145" s="321"/>
      <c r="BK145" s="322"/>
      <c r="BL145" s="321">
        <v>0</v>
      </c>
      <c r="BM145" s="322">
        <v>0</v>
      </c>
      <c r="BN145" s="321">
        <v>0</v>
      </c>
      <c r="BO145" s="322">
        <v>0</v>
      </c>
      <c r="BP145" s="321">
        <v>0</v>
      </c>
      <c r="BQ145" s="322">
        <v>0</v>
      </c>
      <c r="BR145" s="321">
        <v>0</v>
      </c>
      <c r="BS145" s="322">
        <v>0</v>
      </c>
      <c r="BT145" s="321"/>
      <c r="BU145" s="322"/>
      <c r="BV145" s="264">
        <f t="shared" si="57"/>
        <v>0</v>
      </c>
      <c r="BW145" s="264">
        <f t="shared" si="58"/>
        <v>0</v>
      </c>
    </row>
    <row r="146" spans="1:75" s="62" customFormat="1" ht="21.95" customHeight="1" x14ac:dyDescent="0.25">
      <c r="A146" s="344" t="s">
        <v>3288</v>
      </c>
      <c r="B146" s="433" t="s">
        <v>3289</v>
      </c>
      <c r="C146" s="434">
        <v>1</v>
      </c>
      <c r="D146" s="435" t="s">
        <v>3290</v>
      </c>
      <c r="E146" s="345" t="s">
        <v>3291</v>
      </c>
      <c r="F146" s="436" t="s">
        <v>3166</v>
      </c>
      <c r="G146" s="436" t="s">
        <v>3167</v>
      </c>
      <c r="H146" s="437" t="s">
        <v>1510</v>
      </c>
      <c r="I146" s="303" t="s">
        <v>1510</v>
      </c>
      <c r="J146" s="273" t="s">
        <v>3168</v>
      </c>
      <c r="K146" s="274" t="s">
        <v>3169</v>
      </c>
      <c r="L146" s="321">
        <v>0</v>
      </c>
      <c r="M146" s="322">
        <v>0</v>
      </c>
      <c r="N146" s="321">
        <v>0</v>
      </c>
      <c r="O146" s="322">
        <v>0</v>
      </c>
      <c r="P146" s="321">
        <v>0</v>
      </c>
      <c r="Q146" s="322">
        <v>0</v>
      </c>
      <c r="R146" s="321"/>
      <c r="S146" s="322"/>
      <c r="T146" s="321"/>
      <c r="U146" s="322"/>
      <c r="V146" s="321">
        <v>0</v>
      </c>
      <c r="W146" s="322">
        <v>0</v>
      </c>
      <c r="X146" s="321">
        <v>0</v>
      </c>
      <c r="Y146" s="322">
        <v>0</v>
      </c>
      <c r="Z146" s="321">
        <v>0</v>
      </c>
      <c r="AA146" s="322">
        <v>0</v>
      </c>
      <c r="AB146" s="321">
        <v>0</v>
      </c>
      <c r="AC146" s="322">
        <v>0</v>
      </c>
      <c r="AD146" s="321">
        <v>0</v>
      </c>
      <c r="AE146" s="322">
        <v>0</v>
      </c>
      <c r="AF146" s="321"/>
      <c r="AG146" s="322"/>
      <c r="AH146" s="321"/>
      <c r="AI146" s="322"/>
      <c r="AJ146" s="321">
        <v>0</v>
      </c>
      <c r="AK146" s="322">
        <v>0</v>
      </c>
      <c r="AL146" s="321">
        <v>0</v>
      </c>
      <c r="AM146" s="322">
        <v>0</v>
      </c>
      <c r="AN146" s="321">
        <v>0</v>
      </c>
      <c r="AO146" s="322">
        <v>0</v>
      </c>
      <c r="AP146" s="321">
        <v>0</v>
      </c>
      <c r="AQ146" s="322">
        <v>0</v>
      </c>
      <c r="AR146" s="321">
        <v>0</v>
      </c>
      <c r="AS146" s="322">
        <v>0</v>
      </c>
      <c r="AT146" s="321"/>
      <c r="AU146" s="322"/>
      <c r="AV146" s="321"/>
      <c r="AW146" s="322"/>
      <c r="AX146" s="321">
        <v>0</v>
      </c>
      <c r="AY146" s="322">
        <v>0</v>
      </c>
      <c r="AZ146" s="321">
        <v>0</v>
      </c>
      <c r="BA146" s="322">
        <v>0</v>
      </c>
      <c r="BB146" s="321">
        <v>0</v>
      </c>
      <c r="BC146" s="322">
        <v>0</v>
      </c>
      <c r="BD146" s="321">
        <v>0</v>
      </c>
      <c r="BE146" s="322">
        <v>0</v>
      </c>
      <c r="BF146" s="321">
        <v>0</v>
      </c>
      <c r="BG146" s="322">
        <v>0</v>
      </c>
      <c r="BH146" s="321"/>
      <c r="BI146" s="322"/>
      <c r="BJ146" s="321"/>
      <c r="BK146" s="322"/>
      <c r="BL146" s="321">
        <v>0</v>
      </c>
      <c r="BM146" s="322">
        <v>0</v>
      </c>
      <c r="BN146" s="321">
        <v>0</v>
      </c>
      <c r="BO146" s="322">
        <v>0</v>
      </c>
      <c r="BP146" s="321">
        <v>0</v>
      </c>
      <c r="BQ146" s="322">
        <v>0</v>
      </c>
      <c r="BR146" s="321">
        <v>0</v>
      </c>
      <c r="BS146" s="322">
        <v>0</v>
      </c>
      <c r="BT146" s="321"/>
      <c r="BU146" s="322"/>
      <c r="BV146" s="264">
        <f>L146+N146+P146+R146+T146+V146+X146+Z146+AB146+AD146+AF146+AH146+AJ146+AL146+AN146+AP146+AR146+AT146+AV146+AX146+AZ146+BB146+BD146+BF146+BH146+BJ146+BL146+BN146+BP146+BR146+BT146</f>
        <v>0</v>
      </c>
      <c r="BW146" s="264">
        <f>M146+O146+Q146+S146+U146+W146+Y146+AA146+AC146+AE146+AG146+AI146+AK146+AM146+AO146+AQ146+AS146+AU146+AW146+AY146+BA146+BC146+BE146+BG146+BI146+BK146+BM146+BO146+BQ146+BS146+BU146</f>
        <v>0</v>
      </c>
    </row>
    <row r="147" spans="1:75" s="62" customFormat="1" ht="21.95" customHeight="1" x14ac:dyDescent="0.2">
      <c r="A147" s="304" t="s">
        <v>3288</v>
      </c>
      <c r="B147" s="305" t="s">
        <v>3289</v>
      </c>
      <c r="C147" s="272" t="s">
        <v>3170</v>
      </c>
      <c r="D147" s="306" t="s">
        <v>3290</v>
      </c>
      <c r="E147" s="307" t="s">
        <v>3291</v>
      </c>
      <c r="F147" s="308" t="s">
        <v>3166</v>
      </c>
      <c r="G147" s="308" t="s">
        <v>3167</v>
      </c>
      <c r="H147" s="309" t="s">
        <v>1510</v>
      </c>
      <c r="I147" s="310" t="s">
        <v>1510</v>
      </c>
      <c r="J147" s="273" t="s">
        <v>3168</v>
      </c>
      <c r="K147" s="273" t="s">
        <v>3171</v>
      </c>
      <c r="L147" s="319">
        <v>0</v>
      </c>
      <c r="M147" s="320">
        <v>0</v>
      </c>
      <c r="N147" s="319">
        <v>0</v>
      </c>
      <c r="O147" s="320">
        <v>0</v>
      </c>
      <c r="P147" s="319">
        <v>0</v>
      </c>
      <c r="Q147" s="320">
        <v>0</v>
      </c>
      <c r="R147" s="319"/>
      <c r="S147" s="320"/>
      <c r="T147" s="319"/>
      <c r="U147" s="320"/>
      <c r="V147" s="319">
        <v>13</v>
      </c>
      <c r="W147" s="320">
        <v>0</v>
      </c>
      <c r="X147" s="319">
        <v>0</v>
      </c>
      <c r="Y147" s="320">
        <v>0</v>
      </c>
      <c r="Z147" s="319">
        <v>0</v>
      </c>
      <c r="AA147" s="320">
        <v>0</v>
      </c>
      <c r="AB147" s="319">
        <v>0</v>
      </c>
      <c r="AC147" s="320">
        <v>0</v>
      </c>
      <c r="AD147" s="319">
        <v>0</v>
      </c>
      <c r="AE147" s="320">
        <v>0</v>
      </c>
      <c r="AF147" s="319"/>
      <c r="AG147" s="320"/>
      <c r="AH147" s="319"/>
      <c r="AI147" s="320"/>
      <c r="AJ147" s="319">
        <v>13</v>
      </c>
      <c r="AK147" s="320">
        <v>0</v>
      </c>
      <c r="AL147" s="319">
        <v>0</v>
      </c>
      <c r="AM147" s="320">
        <v>0</v>
      </c>
      <c r="AN147" s="319">
        <v>0</v>
      </c>
      <c r="AO147" s="320">
        <v>0</v>
      </c>
      <c r="AP147" s="319">
        <v>0</v>
      </c>
      <c r="AQ147" s="320">
        <v>0</v>
      </c>
      <c r="AR147" s="319">
        <v>0</v>
      </c>
      <c r="AS147" s="320">
        <v>0</v>
      </c>
      <c r="AT147" s="319"/>
      <c r="AU147" s="320"/>
      <c r="AV147" s="319"/>
      <c r="AW147" s="320"/>
      <c r="AX147" s="319">
        <v>13</v>
      </c>
      <c r="AY147" s="320">
        <v>0</v>
      </c>
      <c r="AZ147" s="319">
        <v>0</v>
      </c>
      <c r="BA147" s="320">
        <v>0</v>
      </c>
      <c r="BB147" s="319">
        <v>0</v>
      </c>
      <c r="BC147" s="320">
        <v>0</v>
      </c>
      <c r="BD147" s="319">
        <v>0</v>
      </c>
      <c r="BE147" s="320">
        <v>0</v>
      </c>
      <c r="BF147" s="319">
        <v>0</v>
      </c>
      <c r="BG147" s="320">
        <v>0</v>
      </c>
      <c r="BH147" s="319"/>
      <c r="BI147" s="320"/>
      <c r="BJ147" s="319"/>
      <c r="BK147" s="320"/>
      <c r="BL147" s="319">
        <v>13</v>
      </c>
      <c r="BM147" s="320">
        <v>0</v>
      </c>
      <c r="BN147" s="319">
        <v>0</v>
      </c>
      <c r="BO147" s="320">
        <v>0</v>
      </c>
      <c r="BP147" s="319">
        <v>0</v>
      </c>
      <c r="BQ147" s="320">
        <v>0</v>
      </c>
      <c r="BR147" s="319">
        <v>0</v>
      </c>
      <c r="BS147" s="320">
        <v>0</v>
      </c>
      <c r="BT147" s="319"/>
      <c r="BU147" s="320"/>
      <c r="BV147" s="264">
        <f t="shared" ref="BV147:BV150" si="59">L147+N147+P147+R147+T147+V147+X147+Z147+AB147+AD147+AF147+AH147+AJ147+AL147+AN147+AP147+AR147+AT147+AV147+AX147+AZ147+BB147+BD147+BF147+BH147+BJ147+BL147+BN147+BP147+BR147+BT147</f>
        <v>52</v>
      </c>
      <c r="BW147" s="264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2" customFormat="1" ht="21.95" customHeight="1" x14ac:dyDescent="0.2">
      <c r="A148" s="304" t="s">
        <v>3288</v>
      </c>
      <c r="B148" s="305" t="s">
        <v>3289</v>
      </c>
      <c r="C148" s="311" t="s">
        <v>3170</v>
      </c>
      <c r="D148" s="306" t="s">
        <v>3290</v>
      </c>
      <c r="E148" s="307" t="s">
        <v>3291</v>
      </c>
      <c r="F148" s="308" t="s">
        <v>3166</v>
      </c>
      <c r="G148" s="308" t="s">
        <v>3167</v>
      </c>
      <c r="H148" s="309" t="s">
        <v>1510</v>
      </c>
      <c r="I148" s="310" t="s">
        <v>1510</v>
      </c>
      <c r="J148" s="273" t="s">
        <v>3168</v>
      </c>
      <c r="K148" s="275" t="s">
        <v>3172</v>
      </c>
      <c r="L148" s="319">
        <v>0</v>
      </c>
      <c r="M148" s="320">
        <v>0</v>
      </c>
      <c r="N148" s="319">
        <v>0</v>
      </c>
      <c r="O148" s="320">
        <v>0</v>
      </c>
      <c r="P148" s="319">
        <v>0</v>
      </c>
      <c r="Q148" s="320">
        <v>0</v>
      </c>
      <c r="R148" s="319"/>
      <c r="S148" s="320"/>
      <c r="T148" s="319"/>
      <c r="U148" s="320"/>
      <c r="V148" s="319">
        <v>0</v>
      </c>
      <c r="W148" s="320">
        <v>0</v>
      </c>
      <c r="X148" s="319">
        <v>0</v>
      </c>
      <c r="Y148" s="320">
        <v>0</v>
      </c>
      <c r="Z148" s="319">
        <v>0</v>
      </c>
      <c r="AA148" s="320">
        <v>0</v>
      </c>
      <c r="AB148" s="319">
        <v>0</v>
      </c>
      <c r="AC148" s="320">
        <v>0</v>
      </c>
      <c r="AD148" s="319">
        <v>0</v>
      </c>
      <c r="AE148" s="320">
        <v>0</v>
      </c>
      <c r="AF148" s="319"/>
      <c r="AG148" s="320"/>
      <c r="AH148" s="319"/>
      <c r="AI148" s="320"/>
      <c r="AJ148" s="319">
        <v>0</v>
      </c>
      <c r="AK148" s="320">
        <v>0</v>
      </c>
      <c r="AL148" s="319">
        <v>0</v>
      </c>
      <c r="AM148" s="320">
        <v>0</v>
      </c>
      <c r="AN148" s="319">
        <v>0</v>
      </c>
      <c r="AO148" s="320">
        <v>0</v>
      </c>
      <c r="AP148" s="319">
        <v>0</v>
      </c>
      <c r="AQ148" s="320">
        <v>0</v>
      </c>
      <c r="AR148" s="319">
        <v>0</v>
      </c>
      <c r="AS148" s="320">
        <v>0</v>
      </c>
      <c r="AT148" s="319"/>
      <c r="AU148" s="320"/>
      <c r="AV148" s="319"/>
      <c r="AW148" s="320"/>
      <c r="AX148" s="319">
        <v>0</v>
      </c>
      <c r="AY148" s="320">
        <v>0</v>
      </c>
      <c r="AZ148" s="319">
        <v>0</v>
      </c>
      <c r="BA148" s="320">
        <v>0</v>
      </c>
      <c r="BB148" s="319">
        <v>0</v>
      </c>
      <c r="BC148" s="320">
        <v>0</v>
      </c>
      <c r="BD148" s="319">
        <v>0</v>
      </c>
      <c r="BE148" s="320">
        <v>0</v>
      </c>
      <c r="BF148" s="319">
        <v>0</v>
      </c>
      <c r="BG148" s="320">
        <v>0</v>
      </c>
      <c r="BH148" s="319"/>
      <c r="BI148" s="320"/>
      <c r="BJ148" s="319"/>
      <c r="BK148" s="320"/>
      <c r="BL148" s="319">
        <v>0</v>
      </c>
      <c r="BM148" s="320">
        <v>0</v>
      </c>
      <c r="BN148" s="319">
        <v>0</v>
      </c>
      <c r="BO148" s="320">
        <v>0</v>
      </c>
      <c r="BP148" s="319">
        <v>0</v>
      </c>
      <c r="BQ148" s="320">
        <v>0</v>
      </c>
      <c r="BR148" s="319">
        <v>0</v>
      </c>
      <c r="BS148" s="320">
        <v>0</v>
      </c>
      <c r="BT148" s="319"/>
      <c r="BU148" s="320"/>
      <c r="BV148" s="264">
        <f t="shared" si="59"/>
        <v>0</v>
      </c>
      <c r="BW148" s="264">
        <f t="shared" si="60"/>
        <v>0</v>
      </c>
    </row>
    <row r="149" spans="1:75" s="62" customFormat="1" ht="21.95" customHeight="1" x14ac:dyDescent="0.2">
      <c r="A149" s="304" t="s">
        <v>3288</v>
      </c>
      <c r="B149" s="305" t="s">
        <v>3289</v>
      </c>
      <c r="C149" s="311" t="s">
        <v>3170</v>
      </c>
      <c r="D149" s="306" t="s">
        <v>3290</v>
      </c>
      <c r="E149" s="307" t="s">
        <v>3291</v>
      </c>
      <c r="F149" s="308" t="s">
        <v>3166</v>
      </c>
      <c r="G149" s="308" t="s">
        <v>3167</v>
      </c>
      <c r="H149" s="309" t="s">
        <v>1510</v>
      </c>
      <c r="I149" s="310" t="s">
        <v>1510</v>
      </c>
      <c r="J149" s="273" t="s">
        <v>3168</v>
      </c>
      <c r="K149" s="276" t="s">
        <v>3173</v>
      </c>
      <c r="L149" s="319">
        <v>0</v>
      </c>
      <c r="M149" s="320">
        <v>0</v>
      </c>
      <c r="N149" s="319">
        <v>0</v>
      </c>
      <c r="O149" s="320">
        <v>0</v>
      </c>
      <c r="P149" s="319">
        <v>0</v>
      </c>
      <c r="Q149" s="320">
        <v>0</v>
      </c>
      <c r="R149" s="319"/>
      <c r="S149" s="320"/>
      <c r="T149" s="319"/>
      <c r="U149" s="320"/>
      <c r="V149" s="319">
        <v>0</v>
      </c>
      <c r="W149" s="320">
        <v>0</v>
      </c>
      <c r="X149" s="319">
        <v>0</v>
      </c>
      <c r="Y149" s="320">
        <v>0</v>
      </c>
      <c r="Z149" s="319">
        <v>0</v>
      </c>
      <c r="AA149" s="320">
        <v>0</v>
      </c>
      <c r="AB149" s="319">
        <v>0</v>
      </c>
      <c r="AC149" s="320">
        <v>0</v>
      </c>
      <c r="AD149" s="319">
        <v>0</v>
      </c>
      <c r="AE149" s="320">
        <v>0</v>
      </c>
      <c r="AF149" s="319"/>
      <c r="AG149" s="320"/>
      <c r="AH149" s="319"/>
      <c r="AI149" s="320"/>
      <c r="AJ149" s="319">
        <v>0</v>
      </c>
      <c r="AK149" s="320">
        <v>0</v>
      </c>
      <c r="AL149" s="319">
        <v>0</v>
      </c>
      <c r="AM149" s="320">
        <v>0</v>
      </c>
      <c r="AN149" s="319">
        <v>0</v>
      </c>
      <c r="AO149" s="320">
        <v>0</v>
      </c>
      <c r="AP149" s="319">
        <v>0</v>
      </c>
      <c r="AQ149" s="320">
        <v>0</v>
      </c>
      <c r="AR149" s="319">
        <v>0</v>
      </c>
      <c r="AS149" s="320">
        <v>0</v>
      </c>
      <c r="AT149" s="319"/>
      <c r="AU149" s="320"/>
      <c r="AV149" s="319"/>
      <c r="AW149" s="320"/>
      <c r="AX149" s="319">
        <v>0</v>
      </c>
      <c r="AY149" s="320">
        <v>0</v>
      </c>
      <c r="AZ149" s="319">
        <v>0</v>
      </c>
      <c r="BA149" s="320">
        <v>0</v>
      </c>
      <c r="BB149" s="319">
        <v>0</v>
      </c>
      <c r="BC149" s="320">
        <v>0</v>
      </c>
      <c r="BD149" s="319">
        <v>0</v>
      </c>
      <c r="BE149" s="320">
        <v>0</v>
      </c>
      <c r="BF149" s="319">
        <v>0</v>
      </c>
      <c r="BG149" s="320">
        <v>0</v>
      </c>
      <c r="BH149" s="319"/>
      <c r="BI149" s="320"/>
      <c r="BJ149" s="319"/>
      <c r="BK149" s="320"/>
      <c r="BL149" s="319">
        <v>0</v>
      </c>
      <c r="BM149" s="320">
        <v>0</v>
      </c>
      <c r="BN149" s="319">
        <v>0</v>
      </c>
      <c r="BO149" s="320">
        <v>0</v>
      </c>
      <c r="BP149" s="319">
        <v>0</v>
      </c>
      <c r="BQ149" s="320">
        <v>0</v>
      </c>
      <c r="BR149" s="319">
        <v>0</v>
      </c>
      <c r="BS149" s="320">
        <v>0</v>
      </c>
      <c r="BT149" s="319"/>
      <c r="BU149" s="320"/>
      <c r="BV149" s="264">
        <f t="shared" si="59"/>
        <v>0</v>
      </c>
      <c r="BW149" s="264">
        <f t="shared" si="60"/>
        <v>0</v>
      </c>
    </row>
    <row r="150" spans="1:75" s="62" customFormat="1" ht="21.95" customHeight="1" thickBot="1" x14ac:dyDescent="0.25">
      <c r="A150" s="567" t="s">
        <v>3288</v>
      </c>
      <c r="B150" s="312" t="s">
        <v>3289</v>
      </c>
      <c r="C150" s="313" t="s">
        <v>3170</v>
      </c>
      <c r="D150" s="314" t="s">
        <v>3290</v>
      </c>
      <c r="E150" s="330" t="s">
        <v>3291</v>
      </c>
      <c r="F150" s="315" t="s">
        <v>3166</v>
      </c>
      <c r="G150" s="315" t="s">
        <v>3167</v>
      </c>
      <c r="H150" s="316" t="s">
        <v>1510</v>
      </c>
      <c r="I150" s="568" t="s">
        <v>1510</v>
      </c>
      <c r="J150" s="273" t="s">
        <v>3168</v>
      </c>
      <c r="K150" s="277" t="s">
        <v>53</v>
      </c>
      <c r="L150" s="321">
        <v>0</v>
      </c>
      <c r="M150" s="322">
        <v>0</v>
      </c>
      <c r="N150" s="321">
        <v>0</v>
      </c>
      <c r="O150" s="322">
        <v>0</v>
      </c>
      <c r="P150" s="321">
        <v>0</v>
      </c>
      <c r="Q150" s="322">
        <v>0</v>
      </c>
      <c r="R150" s="321"/>
      <c r="S150" s="322"/>
      <c r="T150" s="321"/>
      <c r="U150" s="322"/>
      <c r="V150" s="321">
        <v>0</v>
      </c>
      <c r="W150" s="322">
        <v>0</v>
      </c>
      <c r="X150" s="321">
        <v>0</v>
      </c>
      <c r="Y150" s="322">
        <v>0</v>
      </c>
      <c r="Z150" s="321">
        <v>0</v>
      </c>
      <c r="AA150" s="322">
        <v>0</v>
      </c>
      <c r="AB150" s="321">
        <v>0</v>
      </c>
      <c r="AC150" s="322">
        <v>0</v>
      </c>
      <c r="AD150" s="321">
        <v>0</v>
      </c>
      <c r="AE150" s="322">
        <v>0</v>
      </c>
      <c r="AF150" s="321"/>
      <c r="AG150" s="322"/>
      <c r="AH150" s="321"/>
      <c r="AI150" s="322"/>
      <c r="AJ150" s="321">
        <v>0</v>
      </c>
      <c r="AK150" s="322">
        <v>0</v>
      </c>
      <c r="AL150" s="321">
        <v>0</v>
      </c>
      <c r="AM150" s="322">
        <v>0</v>
      </c>
      <c r="AN150" s="321">
        <v>0</v>
      </c>
      <c r="AO150" s="322">
        <v>0</v>
      </c>
      <c r="AP150" s="321">
        <v>0</v>
      </c>
      <c r="AQ150" s="322">
        <v>0</v>
      </c>
      <c r="AR150" s="321">
        <v>0</v>
      </c>
      <c r="AS150" s="322">
        <v>0</v>
      </c>
      <c r="AT150" s="321"/>
      <c r="AU150" s="322"/>
      <c r="AV150" s="321"/>
      <c r="AW150" s="322"/>
      <c r="AX150" s="321">
        <v>0</v>
      </c>
      <c r="AY150" s="322">
        <v>0</v>
      </c>
      <c r="AZ150" s="321">
        <v>0</v>
      </c>
      <c r="BA150" s="322">
        <v>0</v>
      </c>
      <c r="BB150" s="321">
        <v>0</v>
      </c>
      <c r="BC150" s="322">
        <v>0</v>
      </c>
      <c r="BD150" s="321">
        <v>0</v>
      </c>
      <c r="BE150" s="322">
        <v>0</v>
      </c>
      <c r="BF150" s="321">
        <v>0</v>
      </c>
      <c r="BG150" s="322">
        <v>0</v>
      </c>
      <c r="BH150" s="321"/>
      <c r="BI150" s="322"/>
      <c r="BJ150" s="321"/>
      <c r="BK150" s="322"/>
      <c r="BL150" s="321">
        <v>0</v>
      </c>
      <c r="BM150" s="322">
        <v>0</v>
      </c>
      <c r="BN150" s="321">
        <v>0</v>
      </c>
      <c r="BO150" s="322">
        <v>0</v>
      </c>
      <c r="BP150" s="321">
        <v>0</v>
      </c>
      <c r="BQ150" s="322">
        <v>0</v>
      </c>
      <c r="BR150" s="321">
        <v>0</v>
      </c>
      <c r="BS150" s="322">
        <v>0</v>
      </c>
      <c r="BT150" s="321"/>
      <c r="BU150" s="322"/>
      <c r="BV150" s="264">
        <f t="shared" si="59"/>
        <v>0</v>
      </c>
      <c r="BW150" s="264">
        <f t="shared" si="60"/>
        <v>0</v>
      </c>
    </row>
    <row r="151" spans="1:75" s="62" customFormat="1" ht="21.95" customHeight="1" x14ac:dyDescent="0.25">
      <c r="A151" s="344" t="s">
        <v>3292</v>
      </c>
      <c r="B151" s="433" t="s">
        <v>3293</v>
      </c>
      <c r="C151" s="434">
        <v>1</v>
      </c>
      <c r="D151" s="435" t="s">
        <v>3294</v>
      </c>
      <c r="E151" s="345" t="s">
        <v>3295</v>
      </c>
      <c r="F151" s="436" t="s">
        <v>3166</v>
      </c>
      <c r="G151" s="436" t="s">
        <v>3167</v>
      </c>
      <c r="H151" s="437" t="s">
        <v>1511</v>
      </c>
      <c r="I151" s="303" t="s">
        <v>1511</v>
      </c>
      <c r="J151" s="273" t="s">
        <v>3168</v>
      </c>
      <c r="K151" s="274" t="s">
        <v>3169</v>
      </c>
      <c r="L151" s="321">
        <v>0</v>
      </c>
      <c r="M151" s="322">
        <v>0</v>
      </c>
      <c r="N151" s="321">
        <v>0</v>
      </c>
      <c r="O151" s="322">
        <v>0</v>
      </c>
      <c r="P151" s="321">
        <v>0</v>
      </c>
      <c r="Q151" s="322">
        <v>0</v>
      </c>
      <c r="R151" s="321"/>
      <c r="S151" s="322"/>
      <c r="T151" s="321"/>
      <c r="U151" s="322"/>
      <c r="V151" s="321">
        <v>0</v>
      </c>
      <c r="W151" s="322">
        <v>0</v>
      </c>
      <c r="X151" s="321">
        <v>0</v>
      </c>
      <c r="Y151" s="322">
        <v>0</v>
      </c>
      <c r="Z151" s="321">
        <v>0</v>
      </c>
      <c r="AA151" s="322">
        <v>0</v>
      </c>
      <c r="AB151" s="321">
        <v>0</v>
      </c>
      <c r="AC151" s="322">
        <v>0</v>
      </c>
      <c r="AD151" s="321">
        <v>0</v>
      </c>
      <c r="AE151" s="322">
        <v>0</v>
      </c>
      <c r="AF151" s="321"/>
      <c r="AG151" s="322"/>
      <c r="AH151" s="321"/>
      <c r="AI151" s="322"/>
      <c r="AJ151" s="321">
        <v>0</v>
      </c>
      <c r="AK151" s="322">
        <v>0</v>
      </c>
      <c r="AL151" s="321">
        <v>0</v>
      </c>
      <c r="AM151" s="322">
        <v>0</v>
      </c>
      <c r="AN151" s="321">
        <v>0</v>
      </c>
      <c r="AO151" s="322">
        <v>0</v>
      </c>
      <c r="AP151" s="321">
        <v>0</v>
      </c>
      <c r="AQ151" s="322">
        <v>0</v>
      </c>
      <c r="AR151" s="321">
        <v>0</v>
      </c>
      <c r="AS151" s="322">
        <v>0</v>
      </c>
      <c r="AT151" s="321"/>
      <c r="AU151" s="322"/>
      <c r="AV151" s="321"/>
      <c r="AW151" s="322"/>
      <c r="AX151" s="321">
        <v>0</v>
      </c>
      <c r="AY151" s="322">
        <v>0</v>
      </c>
      <c r="AZ151" s="321">
        <v>0</v>
      </c>
      <c r="BA151" s="322">
        <v>0</v>
      </c>
      <c r="BB151" s="321">
        <v>0</v>
      </c>
      <c r="BC151" s="322">
        <v>0</v>
      </c>
      <c r="BD151" s="321">
        <v>0</v>
      </c>
      <c r="BE151" s="322">
        <v>0</v>
      </c>
      <c r="BF151" s="321">
        <v>0</v>
      </c>
      <c r="BG151" s="322">
        <v>0</v>
      </c>
      <c r="BH151" s="321"/>
      <c r="BI151" s="322"/>
      <c r="BJ151" s="321"/>
      <c r="BK151" s="322"/>
      <c r="BL151" s="321">
        <v>0</v>
      </c>
      <c r="BM151" s="322">
        <v>0</v>
      </c>
      <c r="BN151" s="321">
        <v>0</v>
      </c>
      <c r="BO151" s="322">
        <v>0</v>
      </c>
      <c r="BP151" s="321">
        <v>0</v>
      </c>
      <c r="BQ151" s="322">
        <v>0</v>
      </c>
      <c r="BR151" s="321">
        <v>0</v>
      </c>
      <c r="BS151" s="322">
        <v>0</v>
      </c>
      <c r="BT151" s="321"/>
      <c r="BU151" s="322"/>
      <c r="BV151" s="264">
        <f>L151+N151+P151+R151+T151+V151+X151+Z151+AB151+AD151+AF151+AH151+AJ151+AL151+AN151+AP151+AR151+AT151+AV151+AX151+AZ151+BB151+BD151+BF151+BH151+BJ151+BL151+BN151+BP151+BR151+BT151</f>
        <v>0</v>
      </c>
      <c r="BW151" s="264">
        <f>M151+O151+Q151+S151+U151+W151+Y151+AA151+AC151+AE151+AG151+AI151+AK151+AM151+AO151+AQ151+AS151+AU151+AW151+AY151+BA151+BC151+BE151+BG151+BI151+BK151+BM151+BO151+BQ151+BS151+BU151</f>
        <v>0</v>
      </c>
    </row>
    <row r="152" spans="1:75" s="62" customFormat="1" ht="21.95" customHeight="1" x14ac:dyDescent="0.2">
      <c r="A152" s="304" t="s">
        <v>3292</v>
      </c>
      <c r="B152" s="305" t="s">
        <v>3293</v>
      </c>
      <c r="C152" s="272" t="s">
        <v>3170</v>
      </c>
      <c r="D152" s="306" t="s">
        <v>3294</v>
      </c>
      <c r="E152" s="307" t="s">
        <v>3295</v>
      </c>
      <c r="F152" s="308" t="s">
        <v>3166</v>
      </c>
      <c r="G152" s="308" t="s">
        <v>3167</v>
      </c>
      <c r="H152" s="309" t="s">
        <v>1511</v>
      </c>
      <c r="I152" s="310" t="s">
        <v>1511</v>
      </c>
      <c r="J152" s="273" t="s">
        <v>3168</v>
      </c>
      <c r="K152" s="273" t="s">
        <v>3171</v>
      </c>
      <c r="L152" s="319">
        <v>0</v>
      </c>
      <c r="M152" s="320">
        <v>0</v>
      </c>
      <c r="N152" s="319">
        <v>0</v>
      </c>
      <c r="O152" s="320">
        <v>0</v>
      </c>
      <c r="P152" s="319">
        <v>0</v>
      </c>
      <c r="Q152" s="320">
        <v>0</v>
      </c>
      <c r="R152" s="319"/>
      <c r="S152" s="320"/>
      <c r="T152" s="319"/>
      <c r="U152" s="320"/>
      <c r="V152" s="319">
        <v>8</v>
      </c>
      <c r="W152" s="320">
        <v>0</v>
      </c>
      <c r="X152" s="319">
        <v>0</v>
      </c>
      <c r="Y152" s="320">
        <v>0</v>
      </c>
      <c r="Z152" s="319">
        <v>0</v>
      </c>
      <c r="AA152" s="320">
        <v>0</v>
      </c>
      <c r="AB152" s="319">
        <v>0</v>
      </c>
      <c r="AC152" s="320">
        <v>0</v>
      </c>
      <c r="AD152" s="319">
        <v>0</v>
      </c>
      <c r="AE152" s="320">
        <v>0</v>
      </c>
      <c r="AF152" s="319"/>
      <c r="AG152" s="320"/>
      <c r="AH152" s="319"/>
      <c r="AI152" s="320"/>
      <c r="AJ152" s="319">
        <v>8</v>
      </c>
      <c r="AK152" s="320">
        <v>0</v>
      </c>
      <c r="AL152" s="319">
        <v>0</v>
      </c>
      <c r="AM152" s="320">
        <v>0</v>
      </c>
      <c r="AN152" s="319">
        <v>0</v>
      </c>
      <c r="AO152" s="320">
        <v>0</v>
      </c>
      <c r="AP152" s="319">
        <v>0</v>
      </c>
      <c r="AQ152" s="320">
        <v>0</v>
      </c>
      <c r="AR152" s="319">
        <v>0</v>
      </c>
      <c r="AS152" s="320">
        <v>0</v>
      </c>
      <c r="AT152" s="319"/>
      <c r="AU152" s="320"/>
      <c r="AV152" s="319"/>
      <c r="AW152" s="320"/>
      <c r="AX152" s="319">
        <v>8</v>
      </c>
      <c r="AY152" s="320">
        <v>0</v>
      </c>
      <c r="AZ152" s="319">
        <v>0</v>
      </c>
      <c r="BA152" s="320">
        <v>0</v>
      </c>
      <c r="BB152" s="319">
        <v>0</v>
      </c>
      <c r="BC152" s="320">
        <v>0</v>
      </c>
      <c r="BD152" s="319">
        <v>0</v>
      </c>
      <c r="BE152" s="320">
        <v>0</v>
      </c>
      <c r="BF152" s="319">
        <v>0</v>
      </c>
      <c r="BG152" s="320">
        <v>0</v>
      </c>
      <c r="BH152" s="319"/>
      <c r="BI152" s="320"/>
      <c r="BJ152" s="319"/>
      <c r="BK152" s="320"/>
      <c r="BL152" s="319">
        <v>8</v>
      </c>
      <c r="BM152" s="320">
        <v>0</v>
      </c>
      <c r="BN152" s="319">
        <v>0</v>
      </c>
      <c r="BO152" s="320">
        <v>0</v>
      </c>
      <c r="BP152" s="319">
        <v>0</v>
      </c>
      <c r="BQ152" s="320">
        <v>0</v>
      </c>
      <c r="BR152" s="319">
        <v>0</v>
      </c>
      <c r="BS152" s="320">
        <v>0</v>
      </c>
      <c r="BT152" s="319"/>
      <c r="BU152" s="320"/>
      <c r="BV152" s="264">
        <f t="shared" ref="BV152:BV155" si="61">L152+N152+P152+R152+T152+V152+X152+Z152+AB152+AD152+AF152+AH152+AJ152+AL152+AN152+AP152+AR152+AT152+AV152+AX152+AZ152+BB152+BD152+BF152+BH152+BJ152+BL152+BN152+BP152+BR152+BT152</f>
        <v>32</v>
      </c>
      <c r="BW152" s="264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2" customFormat="1" ht="21.95" customHeight="1" x14ac:dyDescent="0.2">
      <c r="A153" s="304" t="s">
        <v>3292</v>
      </c>
      <c r="B153" s="305" t="s">
        <v>3293</v>
      </c>
      <c r="C153" s="311" t="s">
        <v>3170</v>
      </c>
      <c r="D153" s="306" t="s">
        <v>3294</v>
      </c>
      <c r="E153" s="307" t="s">
        <v>3295</v>
      </c>
      <c r="F153" s="308" t="s">
        <v>3166</v>
      </c>
      <c r="G153" s="308" t="s">
        <v>3167</v>
      </c>
      <c r="H153" s="309" t="s">
        <v>1511</v>
      </c>
      <c r="I153" s="310" t="s">
        <v>1511</v>
      </c>
      <c r="J153" s="273" t="s">
        <v>3168</v>
      </c>
      <c r="K153" s="275" t="s">
        <v>3172</v>
      </c>
      <c r="L153" s="319">
        <v>0</v>
      </c>
      <c r="M153" s="320">
        <v>0</v>
      </c>
      <c r="N153" s="319">
        <v>0</v>
      </c>
      <c r="O153" s="320">
        <v>0</v>
      </c>
      <c r="P153" s="319">
        <v>0</v>
      </c>
      <c r="Q153" s="320">
        <v>0</v>
      </c>
      <c r="R153" s="319"/>
      <c r="S153" s="320"/>
      <c r="T153" s="319"/>
      <c r="U153" s="320"/>
      <c r="V153" s="319">
        <v>0</v>
      </c>
      <c r="W153" s="320">
        <v>0</v>
      </c>
      <c r="X153" s="319">
        <v>0</v>
      </c>
      <c r="Y153" s="320">
        <v>0</v>
      </c>
      <c r="Z153" s="319">
        <v>0</v>
      </c>
      <c r="AA153" s="320">
        <v>0</v>
      </c>
      <c r="AB153" s="319">
        <v>0</v>
      </c>
      <c r="AC153" s="320">
        <v>0</v>
      </c>
      <c r="AD153" s="319">
        <v>0</v>
      </c>
      <c r="AE153" s="320">
        <v>0</v>
      </c>
      <c r="AF153" s="319"/>
      <c r="AG153" s="320"/>
      <c r="AH153" s="319"/>
      <c r="AI153" s="320"/>
      <c r="AJ153" s="319">
        <v>0</v>
      </c>
      <c r="AK153" s="320">
        <v>0</v>
      </c>
      <c r="AL153" s="319">
        <v>0</v>
      </c>
      <c r="AM153" s="320">
        <v>0</v>
      </c>
      <c r="AN153" s="319">
        <v>0</v>
      </c>
      <c r="AO153" s="320">
        <v>0</v>
      </c>
      <c r="AP153" s="319">
        <v>0</v>
      </c>
      <c r="AQ153" s="320">
        <v>0</v>
      </c>
      <c r="AR153" s="319">
        <v>0</v>
      </c>
      <c r="AS153" s="320">
        <v>0</v>
      </c>
      <c r="AT153" s="319"/>
      <c r="AU153" s="320"/>
      <c r="AV153" s="319"/>
      <c r="AW153" s="320"/>
      <c r="AX153" s="319">
        <v>0</v>
      </c>
      <c r="AY153" s="320">
        <v>0</v>
      </c>
      <c r="AZ153" s="319">
        <v>0</v>
      </c>
      <c r="BA153" s="320">
        <v>0</v>
      </c>
      <c r="BB153" s="319">
        <v>0</v>
      </c>
      <c r="BC153" s="320">
        <v>0</v>
      </c>
      <c r="BD153" s="319">
        <v>0</v>
      </c>
      <c r="BE153" s="320">
        <v>0</v>
      </c>
      <c r="BF153" s="319">
        <v>0</v>
      </c>
      <c r="BG153" s="320">
        <v>0</v>
      </c>
      <c r="BH153" s="319"/>
      <c r="BI153" s="320"/>
      <c r="BJ153" s="319"/>
      <c r="BK153" s="320"/>
      <c r="BL153" s="319">
        <v>0</v>
      </c>
      <c r="BM153" s="320">
        <v>0</v>
      </c>
      <c r="BN153" s="319">
        <v>0</v>
      </c>
      <c r="BO153" s="320">
        <v>0</v>
      </c>
      <c r="BP153" s="319">
        <v>0</v>
      </c>
      <c r="BQ153" s="320">
        <v>0</v>
      </c>
      <c r="BR153" s="319">
        <v>0</v>
      </c>
      <c r="BS153" s="320">
        <v>0</v>
      </c>
      <c r="BT153" s="319"/>
      <c r="BU153" s="320"/>
      <c r="BV153" s="264">
        <f t="shared" si="61"/>
        <v>0</v>
      </c>
      <c r="BW153" s="264">
        <f t="shared" si="62"/>
        <v>0</v>
      </c>
    </row>
    <row r="154" spans="1:75" s="62" customFormat="1" ht="21.95" customHeight="1" x14ac:dyDescent="0.2">
      <c r="A154" s="304" t="s">
        <v>3292</v>
      </c>
      <c r="B154" s="305" t="s">
        <v>3293</v>
      </c>
      <c r="C154" s="311" t="s">
        <v>3170</v>
      </c>
      <c r="D154" s="306" t="s">
        <v>3294</v>
      </c>
      <c r="E154" s="307" t="s">
        <v>3295</v>
      </c>
      <c r="F154" s="308" t="s">
        <v>3166</v>
      </c>
      <c r="G154" s="308" t="s">
        <v>3167</v>
      </c>
      <c r="H154" s="309" t="s">
        <v>1511</v>
      </c>
      <c r="I154" s="310" t="s">
        <v>1511</v>
      </c>
      <c r="J154" s="273" t="s">
        <v>3168</v>
      </c>
      <c r="K154" s="276" t="s">
        <v>3173</v>
      </c>
      <c r="L154" s="319">
        <v>0</v>
      </c>
      <c r="M154" s="320">
        <v>0</v>
      </c>
      <c r="N154" s="319">
        <v>0</v>
      </c>
      <c r="O154" s="320">
        <v>0</v>
      </c>
      <c r="P154" s="319">
        <v>0</v>
      </c>
      <c r="Q154" s="320">
        <v>0</v>
      </c>
      <c r="R154" s="319"/>
      <c r="S154" s="320"/>
      <c r="T154" s="319"/>
      <c r="U154" s="320"/>
      <c r="V154" s="319">
        <v>0</v>
      </c>
      <c r="W154" s="320">
        <v>0</v>
      </c>
      <c r="X154" s="319">
        <v>0</v>
      </c>
      <c r="Y154" s="320">
        <v>0</v>
      </c>
      <c r="Z154" s="319">
        <v>0</v>
      </c>
      <c r="AA154" s="320">
        <v>0</v>
      </c>
      <c r="AB154" s="319">
        <v>0</v>
      </c>
      <c r="AC154" s="320">
        <v>0</v>
      </c>
      <c r="AD154" s="319">
        <v>0</v>
      </c>
      <c r="AE154" s="320">
        <v>0</v>
      </c>
      <c r="AF154" s="319"/>
      <c r="AG154" s="320"/>
      <c r="AH154" s="319"/>
      <c r="AI154" s="320"/>
      <c r="AJ154" s="319">
        <v>0</v>
      </c>
      <c r="AK154" s="320">
        <v>0</v>
      </c>
      <c r="AL154" s="319">
        <v>0</v>
      </c>
      <c r="AM154" s="320">
        <v>0</v>
      </c>
      <c r="AN154" s="319">
        <v>0</v>
      </c>
      <c r="AO154" s="320">
        <v>0</v>
      </c>
      <c r="AP154" s="319">
        <v>0</v>
      </c>
      <c r="AQ154" s="320">
        <v>0</v>
      </c>
      <c r="AR154" s="319">
        <v>0</v>
      </c>
      <c r="AS154" s="320">
        <v>0</v>
      </c>
      <c r="AT154" s="319"/>
      <c r="AU154" s="320"/>
      <c r="AV154" s="319"/>
      <c r="AW154" s="320"/>
      <c r="AX154" s="319">
        <v>0</v>
      </c>
      <c r="AY154" s="320">
        <v>0</v>
      </c>
      <c r="AZ154" s="319">
        <v>0</v>
      </c>
      <c r="BA154" s="320">
        <v>0</v>
      </c>
      <c r="BB154" s="319">
        <v>0</v>
      </c>
      <c r="BC154" s="320">
        <v>0</v>
      </c>
      <c r="BD154" s="319">
        <v>0</v>
      </c>
      <c r="BE154" s="320">
        <v>0</v>
      </c>
      <c r="BF154" s="319">
        <v>0</v>
      </c>
      <c r="BG154" s="320">
        <v>0</v>
      </c>
      <c r="BH154" s="319"/>
      <c r="BI154" s="320"/>
      <c r="BJ154" s="319"/>
      <c r="BK154" s="320"/>
      <c r="BL154" s="319">
        <v>0</v>
      </c>
      <c r="BM154" s="320">
        <v>0</v>
      </c>
      <c r="BN154" s="319">
        <v>0</v>
      </c>
      <c r="BO154" s="320">
        <v>0</v>
      </c>
      <c r="BP154" s="319">
        <v>0</v>
      </c>
      <c r="BQ154" s="320">
        <v>0</v>
      </c>
      <c r="BR154" s="319">
        <v>0</v>
      </c>
      <c r="BS154" s="320">
        <v>0</v>
      </c>
      <c r="BT154" s="319"/>
      <c r="BU154" s="320"/>
      <c r="BV154" s="264">
        <f t="shared" si="61"/>
        <v>0</v>
      </c>
      <c r="BW154" s="264">
        <f t="shared" si="62"/>
        <v>0</v>
      </c>
    </row>
    <row r="155" spans="1:75" s="62" customFormat="1" ht="21.95" customHeight="1" thickBot="1" x14ac:dyDescent="0.25">
      <c r="A155" s="567" t="s">
        <v>3292</v>
      </c>
      <c r="B155" s="312" t="s">
        <v>3293</v>
      </c>
      <c r="C155" s="313" t="s">
        <v>3170</v>
      </c>
      <c r="D155" s="314" t="s">
        <v>3294</v>
      </c>
      <c r="E155" s="330" t="s">
        <v>3295</v>
      </c>
      <c r="F155" s="315" t="s">
        <v>3166</v>
      </c>
      <c r="G155" s="315" t="s">
        <v>3167</v>
      </c>
      <c r="H155" s="316" t="s">
        <v>1511</v>
      </c>
      <c r="I155" s="568" t="s">
        <v>1511</v>
      </c>
      <c r="J155" s="273" t="s">
        <v>3168</v>
      </c>
      <c r="K155" s="277" t="s">
        <v>53</v>
      </c>
      <c r="L155" s="321">
        <v>0</v>
      </c>
      <c r="M155" s="322">
        <v>0</v>
      </c>
      <c r="N155" s="321">
        <v>0</v>
      </c>
      <c r="O155" s="322">
        <v>0</v>
      </c>
      <c r="P155" s="321">
        <v>0</v>
      </c>
      <c r="Q155" s="322">
        <v>0</v>
      </c>
      <c r="R155" s="321"/>
      <c r="S155" s="322"/>
      <c r="T155" s="321"/>
      <c r="U155" s="322"/>
      <c r="V155" s="321">
        <v>0</v>
      </c>
      <c r="W155" s="322">
        <v>0</v>
      </c>
      <c r="X155" s="321">
        <v>0</v>
      </c>
      <c r="Y155" s="322">
        <v>0</v>
      </c>
      <c r="Z155" s="321">
        <v>0</v>
      </c>
      <c r="AA155" s="322">
        <v>0</v>
      </c>
      <c r="AB155" s="321">
        <v>0</v>
      </c>
      <c r="AC155" s="322">
        <v>0</v>
      </c>
      <c r="AD155" s="321">
        <v>0</v>
      </c>
      <c r="AE155" s="322">
        <v>0</v>
      </c>
      <c r="AF155" s="321"/>
      <c r="AG155" s="322"/>
      <c r="AH155" s="321"/>
      <c r="AI155" s="322"/>
      <c r="AJ155" s="321">
        <v>0</v>
      </c>
      <c r="AK155" s="322">
        <v>0</v>
      </c>
      <c r="AL155" s="321">
        <v>0</v>
      </c>
      <c r="AM155" s="322">
        <v>0</v>
      </c>
      <c r="AN155" s="321">
        <v>0</v>
      </c>
      <c r="AO155" s="322">
        <v>0</v>
      </c>
      <c r="AP155" s="321">
        <v>0</v>
      </c>
      <c r="AQ155" s="322">
        <v>0</v>
      </c>
      <c r="AR155" s="321">
        <v>0</v>
      </c>
      <c r="AS155" s="322">
        <v>0</v>
      </c>
      <c r="AT155" s="321"/>
      <c r="AU155" s="322"/>
      <c r="AV155" s="321"/>
      <c r="AW155" s="322"/>
      <c r="AX155" s="321">
        <v>0</v>
      </c>
      <c r="AY155" s="322">
        <v>0</v>
      </c>
      <c r="AZ155" s="321">
        <v>0</v>
      </c>
      <c r="BA155" s="322">
        <v>0</v>
      </c>
      <c r="BB155" s="321">
        <v>0</v>
      </c>
      <c r="BC155" s="322">
        <v>0</v>
      </c>
      <c r="BD155" s="321">
        <v>0</v>
      </c>
      <c r="BE155" s="322">
        <v>0</v>
      </c>
      <c r="BF155" s="321">
        <v>0</v>
      </c>
      <c r="BG155" s="322">
        <v>0</v>
      </c>
      <c r="BH155" s="321"/>
      <c r="BI155" s="322"/>
      <c r="BJ155" s="321"/>
      <c r="BK155" s="322"/>
      <c r="BL155" s="321">
        <v>0</v>
      </c>
      <c r="BM155" s="322">
        <v>0</v>
      </c>
      <c r="BN155" s="321">
        <v>0</v>
      </c>
      <c r="BO155" s="322">
        <v>0</v>
      </c>
      <c r="BP155" s="321">
        <v>0</v>
      </c>
      <c r="BQ155" s="322">
        <v>0</v>
      </c>
      <c r="BR155" s="321">
        <v>0</v>
      </c>
      <c r="BS155" s="322">
        <v>0</v>
      </c>
      <c r="BT155" s="321"/>
      <c r="BU155" s="322"/>
      <c r="BV155" s="264">
        <f t="shared" si="61"/>
        <v>0</v>
      </c>
      <c r="BW155" s="264">
        <f t="shared" si="62"/>
        <v>0</v>
      </c>
    </row>
    <row r="156" spans="1:75" s="62" customFormat="1" ht="21.95" customHeight="1" x14ac:dyDescent="0.25">
      <c r="A156" s="344" t="s">
        <v>3296</v>
      </c>
      <c r="B156" s="433" t="s">
        <v>3297</v>
      </c>
      <c r="C156" s="434">
        <v>1</v>
      </c>
      <c r="D156" s="435" t="s">
        <v>3298</v>
      </c>
      <c r="E156" s="345" t="s">
        <v>3299</v>
      </c>
      <c r="F156" s="436" t="s">
        <v>3166</v>
      </c>
      <c r="G156" s="436" t="s">
        <v>3167</v>
      </c>
      <c r="H156" s="437" t="s">
        <v>1512</v>
      </c>
      <c r="I156" s="303" t="s">
        <v>1512</v>
      </c>
      <c r="J156" s="273" t="s">
        <v>3168</v>
      </c>
      <c r="K156" s="274" t="s">
        <v>3169</v>
      </c>
      <c r="L156" s="321">
        <v>0</v>
      </c>
      <c r="M156" s="322">
        <v>0</v>
      </c>
      <c r="N156" s="321">
        <v>0</v>
      </c>
      <c r="O156" s="322">
        <v>0</v>
      </c>
      <c r="P156" s="321">
        <v>0</v>
      </c>
      <c r="Q156" s="322">
        <v>0</v>
      </c>
      <c r="R156" s="321"/>
      <c r="S156" s="322"/>
      <c r="T156" s="321"/>
      <c r="U156" s="322"/>
      <c r="V156" s="321">
        <v>0</v>
      </c>
      <c r="W156" s="322">
        <v>0</v>
      </c>
      <c r="X156" s="321">
        <v>0</v>
      </c>
      <c r="Y156" s="322">
        <v>0</v>
      </c>
      <c r="Z156" s="321">
        <v>0</v>
      </c>
      <c r="AA156" s="322">
        <v>0</v>
      </c>
      <c r="AB156" s="321">
        <v>0</v>
      </c>
      <c r="AC156" s="322">
        <v>0</v>
      </c>
      <c r="AD156" s="321">
        <v>0</v>
      </c>
      <c r="AE156" s="322">
        <v>0</v>
      </c>
      <c r="AF156" s="321"/>
      <c r="AG156" s="322"/>
      <c r="AH156" s="321"/>
      <c r="AI156" s="322"/>
      <c r="AJ156" s="321">
        <v>0</v>
      </c>
      <c r="AK156" s="322">
        <v>0</v>
      </c>
      <c r="AL156" s="321">
        <v>0</v>
      </c>
      <c r="AM156" s="322">
        <v>0</v>
      </c>
      <c r="AN156" s="321">
        <v>0</v>
      </c>
      <c r="AO156" s="322">
        <v>0</v>
      </c>
      <c r="AP156" s="321">
        <v>0</v>
      </c>
      <c r="AQ156" s="322">
        <v>0</v>
      </c>
      <c r="AR156" s="321">
        <v>0</v>
      </c>
      <c r="AS156" s="322">
        <v>0</v>
      </c>
      <c r="AT156" s="321"/>
      <c r="AU156" s="322"/>
      <c r="AV156" s="321"/>
      <c r="AW156" s="322"/>
      <c r="AX156" s="321">
        <v>0</v>
      </c>
      <c r="AY156" s="322">
        <v>0</v>
      </c>
      <c r="AZ156" s="321">
        <v>0</v>
      </c>
      <c r="BA156" s="322">
        <v>0</v>
      </c>
      <c r="BB156" s="321">
        <v>0</v>
      </c>
      <c r="BC156" s="322">
        <v>0</v>
      </c>
      <c r="BD156" s="321">
        <v>0</v>
      </c>
      <c r="BE156" s="322">
        <v>0</v>
      </c>
      <c r="BF156" s="321">
        <v>0</v>
      </c>
      <c r="BG156" s="322">
        <v>0</v>
      </c>
      <c r="BH156" s="321"/>
      <c r="BI156" s="322"/>
      <c r="BJ156" s="321"/>
      <c r="BK156" s="322"/>
      <c r="BL156" s="321">
        <v>0</v>
      </c>
      <c r="BM156" s="322">
        <v>0</v>
      </c>
      <c r="BN156" s="321">
        <v>0</v>
      </c>
      <c r="BO156" s="322">
        <v>0</v>
      </c>
      <c r="BP156" s="321">
        <v>0</v>
      </c>
      <c r="BQ156" s="322">
        <v>0</v>
      </c>
      <c r="BR156" s="321">
        <v>0</v>
      </c>
      <c r="BS156" s="322">
        <v>0</v>
      </c>
      <c r="BT156" s="321"/>
      <c r="BU156" s="322"/>
      <c r="BV156" s="264">
        <f>L156+N156+P156+R156+T156+V156+X156+Z156+AB156+AD156+AF156+AH156+AJ156+AL156+AN156+AP156+AR156+AT156+AV156+AX156+AZ156+BB156+BD156+BF156+BH156+BJ156+BL156+BN156+BP156+BR156+BT156</f>
        <v>0</v>
      </c>
      <c r="BW156" s="264">
        <f>M156+O156+Q156+S156+U156+W156+Y156+AA156+AC156+AE156+AG156+AI156+AK156+AM156+AO156+AQ156+AS156+AU156+AW156+AY156+BA156+BC156+BE156+BG156+BI156+BK156+BM156+BO156+BQ156+BS156+BU156</f>
        <v>0</v>
      </c>
    </row>
    <row r="157" spans="1:75" s="62" customFormat="1" ht="21.95" customHeight="1" x14ac:dyDescent="0.2">
      <c r="A157" s="304" t="s">
        <v>3296</v>
      </c>
      <c r="B157" s="305" t="s">
        <v>3297</v>
      </c>
      <c r="C157" s="272" t="s">
        <v>3170</v>
      </c>
      <c r="D157" s="306" t="s">
        <v>3298</v>
      </c>
      <c r="E157" s="307" t="s">
        <v>3299</v>
      </c>
      <c r="F157" s="308" t="s">
        <v>3166</v>
      </c>
      <c r="G157" s="308" t="s">
        <v>3167</v>
      </c>
      <c r="H157" s="309" t="s">
        <v>1512</v>
      </c>
      <c r="I157" s="310" t="s">
        <v>1512</v>
      </c>
      <c r="J157" s="273" t="s">
        <v>3168</v>
      </c>
      <c r="K157" s="273" t="s">
        <v>3171</v>
      </c>
      <c r="L157" s="319">
        <v>0</v>
      </c>
      <c r="M157" s="320">
        <v>0</v>
      </c>
      <c r="N157" s="319">
        <v>0</v>
      </c>
      <c r="O157" s="320">
        <v>0</v>
      </c>
      <c r="P157" s="319">
        <v>0</v>
      </c>
      <c r="Q157" s="320">
        <v>0</v>
      </c>
      <c r="R157" s="319"/>
      <c r="S157" s="320"/>
      <c r="T157" s="319"/>
      <c r="U157" s="320"/>
      <c r="V157" s="319">
        <v>7</v>
      </c>
      <c r="W157" s="320">
        <v>0</v>
      </c>
      <c r="X157" s="319">
        <v>0</v>
      </c>
      <c r="Y157" s="320">
        <v>0</v>
      </c>
      <c r="Z157" s="319">
        <v>0</v>
      </c>
      <c r="AA157" s="320">
        <v>0</v>
      </c>
      <c r="AB157" s="319">
        <v>0</v>
      </c>
      <c r="AC157" s="320">
        <v>0</v>
      </c>
      <c r="AD157" s="319">
        <v>0</v>
      </c>
      <c r="AE157" s="320">
        <v>0</v>
      </c>
      <c r="AF157" s="319"/>
      <c r="AG157" s="320"/>
      <c r="AH157" s="319"/>
      <c r="AI157" s="320"/>
      <c r="AJ157" s="319">
        <v>7</v>
      </c>
      <c r="AK157" s="320">
        <v>0</v>
      </c>
      <c r="AL157" s="319">
        <v>0</v>
      </c>
      <c r="AM157" s="320">
        <v>0</v>
      </c>
      <c r="AN157" s="319">
        <v>0</v>
      </c>
      <c r="AO157" s="320">
        <v>0</v>
      </c>
      <c r="AP157" s="319">
        <v>0</v>
      </c>
      <c r="AQ157" s="320">
        <v>0</v>
      </c>
      <c r="AR157" s="319">
        <v>0</v>
      </c>
      <c r="AS157" s="320">
        <v>0</v>
      </c>
      <c r="AT157" s="319"/>
      <c r="AU157" s="320"/>
      <c r="AV157" s="319"/>
      <c r="AW157" s="320"/>
      <c r="AX157" s="319">
        <v>7</v>
      </c>
      <c r="AY157" s="320">
        <v>0</v>
      </c>
      <c r="AZ157" s="319">
        <v>0</v>
      </c>
      <c r="BA157" s="320">
        <v>0</v>
      </c>
      <c r="BB157" s="319">
        <v>0</v>
      </c>
      <c r="BC157" s="320">
        <v>0</v>
      </c>
      <c r="BD157" s="319">
        <v>0</v>
      </c>
      <c r="BE157" s="320">
        <v>0</v>
      </c>
      <c r="BF157" s="319">
        <v>0</v>
      </c>
      <c r="BG157" s="320">
        <v>0</v>
      </c>
      <c r="BH157" s="319"/>
      <c r="BI157" s="320"/>
      <c r="BJ157" s="319"/>
      <c r="BK157" s="320"/>
      <c r="BL157" s="319">
        <v>7</v>
      </c>
      <c r="BM157" s="320">
        <v>0</v>
      </c>
      <c r="BN157" s="319">
        <v>0</v>
      </c>
      <c r="BO157" s="320">
        <v>0</v>
      </c>
      <c r="BP157" s="319">
        <v>0</v>
      </c>
      <c r="BQ157" s="320">
        <v>0</v>
      </c>
      <c r="BR157" s="319">
        <v>0</v>
      </c>
      <c r="BS157" s="320">
        <v>0</v>
      </c>
      <c r="BT157" s="319"/>
      <c r="BU157" s="320"/>
      <c r="BV157" s="264">
        <f t="shared" ref="BV157:BV160" si="63">L157+N157+P157+R157+T157+V157+X157+Z157+AB157+AD157+AF157+AH157+AJ157+AL157+AN157+AP157+AR157+AT157+AV157+AX157+AZ157+BB157+BD157+BF157+BH157+BJ157+BL157+BN157+BP157+BR157+BT157</f>
        <v>28</v>
      </c>
      <c r="BW157" s="264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2" customFormat="1" ht="21.95" customHeight="1" x14ac:dyDescent="0.2">
      <c r="A158" s="304" t="s">
        <v>3296</v>
      </c>
      <c r="B158" s="305" t="s">
        <v>3297</v>
      </c>
      <c r="C158" s="311" t="s">
        <v>3170</v>
      </c>
      <c r="D158" s="306" t="s">
        <v>3298</v>
      </c>
      <c r="E158" s="307" t="s">
        <v>3299</v>
      </c>
      <c r="F158" s="308" t="s">
        <v>3166</v>
      </c>
      <c r="G158" s="308" t="s">
        <v>3167</v>
      </c>
      <c r="H158" s="309" t="s">
        <v>1512</v>
      </c>
      <c r="I158" s="310" t="s">
        <v>1512</v>
      </c>
      <c r="J158" s="273" t="s">
        <v>3168</v>
      </c>
      <c r="K158" s="275" t="s">
        <v>3172</v>
      </c>
      <c r="L158" s="319">
        <v>0</v>
      </c>
      <c r="M158" s="320">
        <v>0</v>
      </c>
      <c r="N158" s="319">
        <v>0</v>
      </c>
      <c r="O158" s="320">
        <v>0</v>
      </c>
      <c r="P158" s="319">
        <v>0</v>
      </c>
      <c r="Q158" s="320">
        <v>0</v>
      </c>
      <c r="R158" s="319"/>
      <c r="S158" s="320"/>
      <c r="T158" s="319"/>
      <c r="U158" s="320"/>
      <c r="V158" s="319">
        <v>0</v>
      </c>
      <c r="W158" s="320">
        <v>0</v>
      </c>
      <c r="X158" s="319">
        <v>0</v>
      </c>
      <c r="Y158" s="320">
        <v>0</v>
      </c>
      <c r="Z158" s="319">
        <v>0</v>
      </c>
      <c r="AA158" s="320">
        <v>0</v>
      </c>
      <c r="AB158" s="319">
        <v>0</v>
      </c>
      <c r="AC158" s="320">
        <v>0</v>
      </c>
      <c r="AD158" s="319">
        <v>0</v>
      </c>
      <c r="AE158" s="320">
        <v>0</v>
      </c>
      <c r="AF158" s="319"/>
      <c r="AG158" s="320"/>
      <c r="AH158" s="319"/>
      <c r="AI158" s="320"/>
      <c r="AJ158" s="319">
        <v>0</v>
      </c>
      <c r="AK158" s="320">
        <v>0</v>
      </c>
      <c r="AL158" s="319">
        <v>0</v>
      </c>
      <c r="AM158" s="320">
        <v>0</v>
      </c>
      <c r="AN158" s="319">
        <v>0</v>
      </c>
      <c r="AO158" s="320">
        <v>0</v>
      </c>
      <c r="AP158" s="319">
        <v>0</v>
      </c>
      <c r="AQ158" s="320">
        <v>0</v>
      </c>
      <c r="AR158" s="319">
        <v>0</v>
      </c>
      <c r="AS158" s="320">
        <v>0</v>
      </c>
      <c r="AT158" s="319"/>
      <c r="AU158" s="320"/>
      <c r="AV158" s="319"/>
      <c r="AW158" s="320"/>
      <c r="AX158" s="319">
        <v>0</v>
      </c>
      <c r="AY158" s="320">
        <v>0</v>
      </c>
      <c r="AZ158" s="319">
        <v>0</v>
      </c>
      <c r="BA158" s="320">
        <v>0</v>
      </c>
      <c r="BB158" s="319">
        <v>0</v>
      </c>
      <c r="BC158" s="320">
        <v>0</v>
      </c>
      <c r="BD158" s="319">
        <v>0</v>
      </c>
      <c r="BE158" s="320">
        <v>0</v>
      </c>
      <c r="BF158" s="319">
        <v>0</v>
      </c>
      <c r="BG158" s="320">
        <v>0</v>
      </c>
      <c r="BH158" s="319"/>
      <c r="BI158" s="320"/>
      <c r="BJ158" s="319"/>
      <c r="BK158" s="320"/>
      <c r="BL158" s="319">
        <v>0</v>
      </c>
      <c r="BM158" s="320">
        <v>0</v>
      </c>
      <c r="BN158" s="319">
        <v>0</v>
      </c>
      <c r="BO158" s="320">
        <v>0</v>
      </c>
      <c r="BP158" s="319">
        <v>0</v>
      </c>
      <c r="BQ158" s="320">
        <v>0</v>
      </c>
      <c r="BR158" s="319">
        <v>0</v>
      </c>
      <c r="BS158" s="320">
        <v>0</v>
      </c>
      <c r="BT158" s="319"/>
      <c r="BU158" s="320"/>
      <c r="BV158" s="264">
        <f t="shared" si="63"/>
        <v>0</v>
      </c>
      <c r="BW158" s="264">
        <f t="shared" si="64"/>
        <v>0</v>
      </c>
    </row>
    <row r="159" spans="1:75" s="62" customFormat="1" ht="21.95" customHeight="1" x14ac:dyDescent="0.2">
      <c r="A159" s="304" t="s">
        <v>3296</v>
      </c>
      <c r="B159" s="305" t="s">
        <v>3297</v>
      </c>
      <c r="C159" s="311" t="s">
        <v>3170</v>
      </c>
      <c r="D159" s="306" t="s">
        <v>3298</v>
      </c>
      <c r="E159" s="307" t="s">
        <v>3299</v>
      </c>
      <c r="F159" s="308" t="s">
        <v>3166</v>
      </c>
      <c r="G159" s="308" t="s">
        <v>3167</v>
      </c>
      <c r="H159" s="309" t="s">
        <v>1512</v>
      </c>
      <c r="I159" s="310" t="s">
        <v>1512</v>
      </c>
      <c r="J159" s="273" t="s">
        <v>3168</v>
      </c>
      <c r="K159" s="276" t="s">
        <v>3173</v>
      </c>
      <c r="L159" s="319">
        <v>0</v>
      </c>
      <c r="M159" s="320">
        <v>0</v>
      </c>
      <c r="N159" s="319">
        <v>0</v>
      </c>
      <c r="O159" s="320">
        <v>0</v>
      </c>
      <c r="P159" s="319">
        <v>0</v>
      </c>
      <c r="Q159" s="320">
        <v>0</v>
      </c>
      <c r="R159" s="319"/>
      <c r="S159" s="320"/>
      <c r="T159" s="319"/>
      <c r="U159" s="320"/>
      <c r="V159" s="319">
        <v>0</v>
      </c>
      <c r="W159" s="320">
        <v>0</v>
      </c>
      <c r="X159" s="319">
        <v>0</v>
      </c>
      <c r="Y159" s="320">
        <v>0</v>
      </c>
      <c r="Z159" s="319">
        <v>0</v>
      </c>
      <c r="AA159" s="320">
        <v>0</v>
      </c>
      <c r="AB159" s="319">
        <v>0</v>
      </c>
      <c r="AC159" s="320">
        <v>0</v>
      </c>
      <c r="AD159" s="319">
        <v>0</v>
      </c>
      <c r="AE159" s="320">
        <v>0</v>
      </c>
      <c r="AF159" s="319"/>
      <c r="AG159" s="320"/>
      <c r="AH159" s="319"/>
      <c r="AI159" s="320"/>
      <c r="AJ159" s="319">
        <v>0</v>
      </c>
      <c r="AK159" s="320">
        <v>0</v>
      </c>
      <c r="AL159" s="319">
        <v>0</v>
      </c>
      <c r="AM159" s="320">
        <v>0</v>
      </c>
      <c r="AN159" s="319">
        <v>0</v>
      </c>
      <c r="AO159" s="320">
        <v>0</v>
      </c>
      <c r="AP159" s="319">
        <v>0</v>
      </c>
      <c r="AQ159" s="320">
        <v>0</v>
      </c>
      <c r="AR159" s="319">
        <v>0</v>
      </c>
      <c r="AS159" s="320">
        <v>0</v>
      </c>
      <c r="AT159" s="319"/>
      <c r="AU159" s="320"/>
      <c r="AV159" s="319"/>
      <c r="AW159" s="320"/>
      <c r="AX159" s="319">
        <v>0</v>
      </c>
      <c r="AY159" s="320">
        <v>0</v>
      </c>
      <c r="AZ159" s="319">
        <v>0</v>
      </c>
      <c r="BA159" s="320">
        <v>0</v>
      </c>
      <c r="BB159" s="319">
        <v>0</v>
      </c>
      <c r="BC159" s="320">
        <v>0</v>
      </c>
      <c r="BD159" s="319">
        <v>0</v>
      </c>
      <c r="BE159" s="320">
        <v>0</v>
      </c>
      <c r="BF159" s="319">
        <v>0</v>
      </c>
      <c r="BG159" s="320">
        <v>0</v>
      </c>
      <c r="BH159" s="319"/>
      <c r="BI159" s="320"/>
      <c r="BJ159" s="319"/>
      <c r="BK159" s="320"/>
      <c r="BL159" s="319">
        <v>0</v>
      </c>
      <c r="BM159" s="320">
        <v>0</v>
      </c>
      <c r="BN159" s="319">
        <v>0</v>
      </c>
      <c r="BO159" s="320">
        <v>0</v>
      </c>
      <c r="BP159" s="319">
        <v>0</v>
      </c>
      <c r="BQ159" s="320">
        <v>0</v>
      </c>
      <c r="BR159" s="319">
        <v>0</v>
      </c>
      <c r="BS159" s="320">
        <v>0</v>
      </c>
      <c r="BT159" s="319"/>
      <c r="BU159" s="320"/>
      <c r="BV159" s="264">
        <f t="shared" si="63"/>
        <v>0</v>
      </c>
      <c r="BW159" s="264">
        <f t="shared" si="64"/>
        <v>0</v>
      </c>
    </row>
    <row r="160" spans="1:75" s="62" customFormat="1" ht="21.95" customHeight="1" thickBot="1" x14ac:dyDescent="0.25">
      <c r="A160" s="567" t="s">
        <v>3296</v>
      </c>
      <c r="B160" s="312" t="s">
        <v>3297</v>
      </c>
      <c r="C160" s="313" t="s">
        <v>3170</v>
      </c>
      <c r="D160" s="314" t="s">
        <v>3298</v>
      </c>
      <c r="E160" s="330" t="s">
        <v>3299</v>
      </c>
      <c r="F160" s="315" t="s">
        <v>3166</v>
      </c>
      <c r="G160" s="315" t="s">
        <v>3167</v>
      </c>
      <c r="H160" s="316" t="s">
        <v>1512</v>
      </c>
      <c r="I160" s="568" t="s">
        <v>1512</v>
      </c>
      <c r="J160" s="273" t="s">
        <v>3168</v>
      </c>
      <c r="K160" s="277" t="s">
        <v>53</v>
      </c>
      <c r="L160" s="321">
        <v>0</v>
      </c>
      <c r="M160" s="322">
        <v>0</v>
      </c>
      <c r="N160" s="321">
        <v>0</v>
      </c>
      <c r="O160" s="322">
        <v>0</v>
      </c>
      <c r="P160" s="321">
        <v>0</v>
      </c>
      <c r="Q160" s="322">
        <v>0</v>
      </c>
      <c r="R160" s="321"/>
      <c r="S160" s="322"/>
      <c r="T160" s="321"/>
      <c r="U160" s="322"/>
      <c r="V160" s="321">
        <v>0</v>
      </c>
      <c r="W160" s="322">
        <v>0</v>
      </c>
      <c r="X160" s="321">
        <v>0</v>
      </c>
      <c r="Y160" s="322">
        <v>0</v>
      </c>
      <c r="Z160" s="321">
        <v>0</v>
      </c>
      <c r="AA160" s="322">
        <v>0</v>
      </c>
      <c r="AB160" s="321">
        <v>0</v>
      </c>
      <c r="AC160" s="322">
        <v>0</v>
      </c>
      <c r="AD160" s="321">
        <v>0</v>
      </c>
      <c r="AE160" s="322">
        <v>0</v>
      </c>
      <c r="AF160" s="321"/>
      <c r="AG160" s="322"/>
      <c r="AH160" s="321"/>
      <c r="AI160" s="322"/>
      <c r="AJ160" s="321">
        <v>0</v>
      </c>
      <c r="AK160" s="322">
        <v>0</v>
      </c>
      <c r="AL160" s="321">
        <v>0</v>
      </c>
      <c r="AM160" s="322">
        <v>0</v>
      </c>
      <c r="AN160" s="321">
        <v>0</v>
      </c>
      <c r="AO160" s="322">
        <v>0</v>
      </c>
      <c r="AP160" s="321">
        <v>0</v>
      </c>
      <c r="AQ160" s="322">
        <v>0</v>
      </c>
      <c r="AR160" s="321">
        <v>0</v>
      </c>
      <c r="AS160" s="322">
        <v>0</v>
      </c>
      <c r="AT160" s="321"/>
      <c r="AU160" s="322"/>
      <c r="AV160" s="321"/>
      <c r="AW160" s="322"/>
      <c r="AX160" s="321">
        <v>0</v>
      </c>
      <c r="AY160" s="322">
        <v>0</v>
      </c>
      <c r="AZ160" s="321">
        <v>0</v>
      </c>
      <c r="BA160" s="322">
        <v>0</v>
      </c>
      <c r="BB160" s="321">
        <v>0</v>
      </c>
      <c r="BC160" s="322">
        <v>0</v>
      </c>
      <c r="BD160" s="321">
        <v>0</v>
      </c>
      <c r="BE160" s="322">
        <v>0</v>
      </c>
      <c r="BF160" s="321">
        <v>0</v>
      </c>
      <c r="BG160" s="322">
        <v>0</v>
      </c>
      <c r="BH160" s="321"/>
      <c r="BI160" s="322"/>
      <c r="BJ160" s="321"/>
      <c r="BK160" s="322"/>
      <c r="BL160" s="321">
        <v>0</v>
      </c>
      <c r="BM160" s="322">
        <v>0</v>
      </c>
      <c r="BN160" s="321">
        <v>0</v>
      </c>
      <c r="BO160" s="322">
        <v>0</v>
      </c>
      <c r="BP160" s="321">
        <v>0</v>
      </c>
      <c r="BQ160" s="322">
        <v>0</v>
      </c>
      <c r="BR160" s="321">
        <v>0</v>
      </c>
      <c r="BS160" s="322">
        <v>0</v>
      </c>
      <c r="BT160" s="321"/>
      <c r="BU160" s="322"/>
      <c r="BV160" s="264">
        <f t="shared" si="63"/>
        <v>0</v>
      </c>
      <c r="BW160" s="264">
        <f t="shared" si="64"/>
        <v>0</v>
      </c>
    </row>
    <row r="161" spans="1:75" s="62" customFormat="1" ht="21.95" customHeight="1" x14ac:dyDescent="0.25">
      <c r="A161" s="344" t="s">
        <v>3300</v>
      </c>
      <c r="B161" s="433" t="s">
        <v>3301</v>
      </c>
      <c r="C161" s="434">
        <v>1</v>
      </c>
      <c r="D161" s="435" t="s">
        <v>3302</v>
      </c>
      <c r="E161" s="345" t="s">
        <v>3303</v>
      </c>
      <c r="F161" s="436" t="s">
        <v>3166</v>
      </c>
      <c r="G161" s="436" t="s">
        <v>3167</v>
      </c>
      <c r="H161" s="437" t="s">
        <v>1513</v>
      </c>
      <c r="I161" s="303" t="s">
        <v>1513</v>
      </c>
      <c r="J161" s="273" t="s">
        <v>3168</v>
      </c>
      <c r="K161" s="274" t="s">
        <v>3169</v>
      </c>
      <c r="L161" s="321">
        <v>0</v>
      </c>
      <c r="M161" s="322">
        <v>0</v>
      </c>
      <c r="N161" s="321">
        <v>0</v>
      </c>
      <c r="O161" s="322">
        <v>0</v>
      </c>
      <c r="P161" s="321">
        <v>0</v>
      </c>
      <c r="Q161" s="322">
        <v>0</v>
      </c>
      <c r="R161" s="321"/>
      <c r="S161" s="322"/>
      <c r="T161" s="321"/>
      <c r="U161" s="322"/>
      <c r="V161" s="321">
        <v>0</v>
      </c>
      <c r="W161" s="322">
        <v>0</v>
      </c>
      <c r="X161" s="321">
        <v>0</v>
      </c>
      <c r="Y161" s="322">
        <v>0</v>
      </c>
      <c r="Z161" s="321">
        <v>0</v>
      </c>
      <c r="AA161" s="322">
        <v>0</v>
      </c>
      <c r="AB161" s="321">
        <v>0</v>
      </c>
      <c r="AC161" s="322">
        <v>0</v>
      </c>
      <c r="AD161" s="321">
        <v>0</v>
      </c>
      <c r="AE161" s="322">
        <v>0</v>
      </c>
      <c r="AF161" s="321"/>
      <c r="AG161" s="322"/>
      <c r="AH161" s="321"/>
      <c r="AI161" s="322"/>
      <c r="AJ161" s="321">
        <v>0</v>
      </c>
      <c r="AK161" s="322">
        <v>0</v>
      </c>
      <c r="AL161" s="321">
        <v>0</v>
      </c>
      <c r="AM161" s="322">
        <v>0</v>
      </c>
      <c r="AN161" s="321">
        <v>0</v>
      </c>
      <c r="AO161" s="322">
        <v>0</v>
      </c>
      <c r="AP161" s="321">
        <v>0</v>
      </c>
      <c r="AQ161" s="322">
        <v>0</v>
      </c>
      <c r="AR161" s="321">
        <v>0</v>
      </c>
      <c r="AS161" s="322">
        <v>0</v>
      </c>
      <c r="AT161" s="321"/>
      <c r="AU161" s="322"/>
      <c r="AV161" s="321"/>
      <c r="AW161" s="322"/>
      <c r="AX161" s="321">
        <v>0</v>
      </c>
      <c r="AY161" s="322">
        <v>0</v>
      </c>
      <c r="AZ161" s="321">
        <v>0</v>
      </c>
      <c r="BA161" s="322">
        <v>0</v>
      </c>
      <c r="BB161" s="321">
        <v>0</v>
      </c>
      <c r="BC161" s="322">
        <v>0</v>
      </c>
      <c r="BD161" s="321">
        <v>0</v>
      </c>
      <c r="BE161" s="322">
        <v>0</v>
      </c>
      <c r="BF161" s="321">
        <v>0</v>
      </c>
      <c r="BG161" s="322">
        <v>0</v>
      </c>
      <c r="BH161" s="321"/>
      <c r="BI161" s="322"/>
      <c r="BJ161" s="321"/>
      <c r="BK161" s="322"/>
      <c r="BL161" s="321">
        <v>0</v>
      </c>
      <c r="BM161" s="322">
        <v>0</v>
      </c>
      <c r="BN161" s="321">
        <v>0</v>
      </c>
      <c r="BO161" s="322">
        <v>0</v>
      </c>
      <c r="BP161" s="321">
        <v>0</v>
      </c>
      <c r="BQ161" s="322">
        <v>0</v>
      </c>
      <c r="BR161" s="321">
        <v>0</v>
      </c>
      <c r="BS161" s="322">
        <v>0</v>
      </c>
      <c r="BT161" s="321"/>
      <c r="BU161" s="322"/>
      <c r="BV161" s="264">
        <f>L161+N161+P161+R161+T161+V161+X161+Z161+AB161+AD161+AF161+AH161+AJ161+AL161+AN161+AP161+AR161+AT161+AV161+AX161+AZ161+BB161+BD161+BF161+BH161+BJ161+BL161+BN161+BP161+BR161+BT161</f>
        <v>0</v>
      </c>
      <c r="BW161" s="264">
        <f>M161+O161+Q161+S161+U161+W161+Y161+AA161+AC161+AE161+AG161+AI161+AK161+AM161+AO161+AQ161+AS161+AU161+AW161+AY161+BA161+BC161+BE161+BG161+BI161+BK161+BM161+BO161+BQ161+BS161+BU161</f>
        <v>0</v>
      </c>
    </row>
    <row r="162" spans="1:75" s="62" customFormat="1" ht="21.95" customHeight="1" x14ac:dyDescent="0.2">
      <c r="A162" s="304" t="s">
        <v>3300</v>
      </c>
      <c r="B162" s="305" t="s">
        <v>3301</v>
      </c>
      <c r="C162" s="272" t="s">
        <v>3170</v>
      </c>
      <c r="D162" s="306" t="s">
        <v>3302</v>
      </c>
      <c r="E162" s="307" t="s">
        <v>3303</v>
      </c>
      <c r="F162" s="308" t="s">
        <v>3166</v>
      </c>
      <c r="G162" s="308" t="s">
        <v>3167</v>
      </c>
      <c r="H162" s="309" t="s">
        <v>1513</v>
      </c>
      <c r="I162" s="310" t="s">
        <v>1513</v>
      </c>
      <c r="J162" s="273" t="s">
        <v>3168</v>
      </c>
      <c r="K162" s="273" t="s">
        <v>3171</v>
      </c>
      <c r="L162" s="319">
        <v>0</v>
      </c>
      <c r="M162" s="320">
        <v>0</v>
      </c>
      <c r="N162" s="319">
        <v>0</v>
      </c>
      <c r="O162" s="320">
        <v>0</v>
      </c>
      <c r="P162" s="319">
        <v>0</v>
      </c>
      <c r="Q162" s="320">
        <v>0</v>
      </c>
      <c r="R162" s="319"/>
      <c r="S162" s="320"/>
      <c r="T162" s="319"/>
      <c r="U162" s="320"/>
      <c r="V162" s="319">
        <v>3</v>
      </c>
      <c r="W162" s="320">
        <v>0</v>
      </c>
      <c r="X162" s="319">
        <v>0</v>
      </c>
      <c r="Y162" s="320">
        <v>0</v>
      </c>
      <c r="Z162" s="319">
        <v>0</v>
      </c>
      <c r="AA162" s="320">
        <v>0</v>
      </c>
      <c r="AB162" s="319">
        <v>0</v>
      </c>
      <c r="AC162" s="320">
        <v>0</v>
      </c>
      <c r="AD162" s="319">
        <v>0</v>
      </c>
      <c r="AE162" s="320">
        <v>0</v>
      </c>
      <c r="AF162" s="319"/>
      <c r="AG162" s="320"/>
      <c r="AH162" s="319"/>
      <c r="AI162" s="320"/>
      <c r="AJ162" s="319">
        <v>3</v>
      </c>
      <c r="AK162" s="320">
        <v>0</v>
      </c>
      <c r="AL162" s="319">
        <v>0</v>
      </c>
      <c r="AM162" s="320">
        <v>0</v>
      </c>
      <c r="AN162" s="319">
        <v>0</v>
      </c>
      <c r="AO162" s="320">
        <v>0</v>
      </c>
      <c r="AP162" s="319">
        <v>0</v>
      </c>
      <c r="AQ162" s="320">
        <v>0</v>
      </c>
      <c r="AR162" s="319">
        <v>0</v>
      </c>
      <c r="AS162" s="320">
        <v>0</v>
      </c>
      <c r="AT162" s="319"/>
      <c r="AU162" s="320"/>
      <c r="AV162" s="319"/>
      <c r="AW162" s="320"/>
      <c r="AX162" s="319">
        <v>3</v>
      </c>
      <c r="AY162" s="320">
        <v>0</v>
      </c>
      <c r="AZ162" s="319">
        <v>0</v>
      </c>
      <c r="BA162" s="320">
        <v>0</v>
      </c>
      <c r="BB162" s="319">
        <v>0</v>
      </c>
      <c r="BC162" s="320">
        <v>0</v>
      </c>
      <c r="BD162" s="319">
        <v>0</v>
      </c>
      <c r="BE162" s="320">
        <v>0</v>
      </c>
      <c r="BF162" s="319">
        <v>0</v>
      </c>
      <c r="BG162" s="320">
        <v>0</v>
      </c>
      <c r="BH162" s="319"/>
      <c r="BI162" s="320"/>
      <c r="BJ162" s="319"/>
      <c r="BK162" s="320"/>
      <c r="BL162" s="319">
        <v>3</v>
      </c>
      <c r="BM162" s="320">
        <v>0</v>
      </c>
      <c r="BN162" s="319">
        <v>0</v>
      </c>
      <c r="BO162" s="320">
        <v>0</v>
      </c>
      <c r="BP162" s="319">
        <v>0</v>
      </c>
      <c r="BQ162" s="320">
        <v>0</v>
      </c>
      <c r="BR162" s="319">
        <v>0</v>
      </c>
      <c r="BS162" s="320">
        <v>0</v>
      </c>
      <c r="BT162" s="319"/>
      <c r="BU162" s="320"/>
      <c r="BV162" s="264">
        <f t="shared" ref="BV162:BV165" si="65">L162+N162+P162+R162+T162+V162+X162+Z162+AB162+AD162+AF162+AH162+AJ162+AL162+AN162+AP162+AR162+AT162+AV162+AX162+AZ162+BB162+BD162+BF162+BH162+BJ162+BL162+BN162+BP162+BR162+BT162</f>
        <v>12</v>
      </c>
      <c r="BW162" s="264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2" customFormat="1" ht="21.95" customHeight="1" x14ac:dyDescent="0.2">
      <c r="A163" s="304" t="s">
        <v>3300</v>
      </c>
      <c r="B163" s="305" t="s">
        <v>3301</v>
      </c>
      <c r="C163" s="311" t="s">
        <v>3170</v>
      </c>
      <c r="D163" s="306" t="s">
        <v>3302</v>
      </c>
      <c r="E163" s="307" t="s">
        <v>3303</v>
      </c>
      <c r="F163" s="308" t="s">
        <v>3166</v>
      </c>
      <c r="G163" s="308" t="s">
        <v>3167</v>
      </c>
      <c r="H163" s="309" t="s">
        <v>1513</v>
      </c>
      <c r="I163" s="310" t="s">
        <v>1513</v>
      </c>
      <c r="J163" s="273" t="s">
        <v>3168</v>
      </c>
      <c r="K163" s="275" t="s">
        <v>3172</v>
      </c>
      <c r="L163" s="319">
        <v>0</v>
      </c>
      <c r="M163" s="320">
        <v>0</v>
      </c>
      <c r="N163" s="319">
        <v>0</v>
      </c>
      <c r="O163" s="320">
        <v>0</v>
      </c>
      <c r="P163" s="319">
        <v>0</v>
      </c>
      <c r="Q163" s="320">
        <v>0</v>
      </c>
      <c r="R163" s="319"/>
      <c r="S163" s="320"/>
      <c r="T163" s="319"/>
      <c r="U163" s="320"/>
      <c r="V163" s="319">
        <v>0</v>
      </c>
      <c r="W163" s="320">
        <v>0</v>
      </c>
      <c r="X163" s="319">
        <v>0</v>
      </c>
      <c r="Y163" s="320">
        <v>0</v>
      </c>
      <c r="Z163" s="319">
        <v>0</v>
      </c>
      <c r="AA163" s="320">
        <v>0</v>
      </c>
      <c r="AB163" s="319">
        <v>0</v>
      </c>
      <c r="AC163" s="320">
        <v>0</v>
      </c>
      <c r="AD163" s="319">
        <v>0</v>
      </c>
      <c r="AE163" s="320">
        <v>0</v>
      </c>
      <c r="AF163" s="319"/>
      <c r="AG163" s="320"/>
      <c r="AH163" s="319"/>
      <c r="AI163" s="320"/>
      <c r="AJ163" s="319">
        <v>0</v>
      </c>
      <c r="AK163" s="320">
        <v>0</v>
      </c>
      <c r="AL163" s="319">
        <v>0</v>
      </c>
      <c r="AM163" s="320">
        <v>0</v>
      </c>
      <c r="AN163" s="319">
        <v>0</v>
      </c>
      <c r="AO163" s="320">
        <v>0</v>
      </c>
      <c r="AP163" s="319">
        <v>0</v>
      </c>
      <c r="AQ163" s="320">
        <v>0</v>
      </c>
      <c r="AR163" s="319">
        <v>0</v>
      </c>
      <c r="AS163" s="320">
        <v>0</v>
      </c>
      <c r="AT163" s="319"/>
      <c r="AU163" s="320"/>
      <c r="AV163" s="319"/>
      <c r="AW163" s="320"/>
      <c r="AX163" s="319">
        <v>0</v>
      </c>
      <c r="AY163" s="320">
        <v>0</v>
      </c>
      <c r="AZ163" s="319">
        <v>0</v>
      </c>
      <c r="BA163" s="320">
        <v>0</v>
      </c>
      <c r="BB163" s="319">
        <v>0</v>
      </c>
      <c r="BC163" s="320">
        <v>0</v>
      </c>
      <c r="BD163" s="319">
        <v>0</v>
      </c>
      <c r="BE163" s="320">
        <v>0</v>
      </c>
      <c r="BF163" s="319">
        <v>0</v>
      </c>
      <c r="BG163" s="320">
        <v>0</v>
      </c>
      <c r="BH163" s="319"/>
      <c r="BI163" s="320"/>
      <c r="BJ163" s="319"/>
      <c r="BK163" s="320"/>
      <c r="BL163" s="319">
        <v>0</v>
      </c>
      <c r="BM163" s="320">
        <v>0</v>
      </c>
      <c r="BN163" s="319">
        <v>0</v>
      </c>
      <c r="BO163" s="320">
        <v>0</v>
      </c>
      <c r="BP163" s="319">
        <v>0</v>
      </c>
      <c r="BQ163" s="320">
        <v>0</v>
      </c>
      <c r="BR163" s="319">
        <v>0</v>
      </c>
      <c r="BS163" s="320">
        <v>0</v>
      </c>
      <c r="BT163" s="319"/>
      <c r="BU163" s="320"/>
      <c r="BV163" s="264">
        <f t="shared" si="65"/>
        <v>0</v>
      </c>
      <c r="BW163" s="264">
        <f t="shared" si="66"/>
        <v>0</v>
      </c>
    </row>
    <row r="164" spans="1:75" s="62" customFormat="1" ht="21.95" customHeight="1" x14ac:dyDescent="0.2">
      <c r="A164" s="304" t="s">
        <v>3300</v>
      </c>
      <c r="B164" s="305" t="s">
        <v>3301</v>
      </c>
      <c r="C164" s="311" t="s">
        <v>3170</v>
      </c>
      <c r="D164" s="306" t="s">
        <v>3302</v>
      </c>
      <c r="E164" s="307" t="s">
        <v>3303</v>
      </c>
      <c r="F164" s="308" t="s">
        <v>3166</v>
      </c>
      <c r="G164" s="308" t="s">
        <v>3167</v>
      </c>
      <c r="H164" s="309" t="s">
        <v>1513</v>
      </c>
      <c r="I164" s="310" t="s">
        <v>1513</v>
      </c>
      <c r="J164" s="273" t="s">
        <v>3168</v>
      </c>
      <c r="K164" s="276" t="s">
        <v>3173</v>
      </c>
      <c r="L164" s="319">
        <v>0</v>
      </c>
      <c r="M164" s="320">
        <v>0</v>
      </c>
      <c r="N164" s="319">
        <v>0</v>
      </c>
      <c r="O164" s="320">
        <v>0</v>
      </c>
      <c r="P164" s="319">
        <v>0</v>
      </c>
      <c r="Q164" s="320">
        <v>0</v>
      </c>
      <c r="R164" s="319"/>
      <c r="S164" s="320"/>
      <c r="T164" s="319"/>
      <c r="U164" s="320"/>
      <c r="V164" s="319">
        <v>0</v>
      </c>
      <c r="W164" s="320">
        <v>0</v>
      </c>
      <c r="X164" s="319">
        <v>0</v>
      </c>
      <c r="Y164" s="320">
        <v>0</v>
      </c>
      <c r="Z164" s="319">
        <v>0</v>
      </c>
      <c r="AA164" s="320">
        <v>0</v>
      </c>
      <c r="AB164" s="319">
        <v>0</v>
      </c>
      <c r="AC164" s="320">
        <v>0</v>
      </c>
      <c r="AD164" s="319">
        <v>0</v>
      </c>
      <c r="AE164" s="320">
        <v>0</v>
      </c>
      <c r="AF164" s="319"/>
      <c r="AG164" s="320"/>
      <c r="AH164" s="319"/>
      <c r="AI164" s="320"/>
      <c r="AJ164" s="319">
        <v>0</v>
      </c>
      <c r="AK164" s="320">
        <v>0</v>
      </c>
      <c r="AL164" s="319">
        <v>0</v>
      </c>
      <c r="AM164" s="320">
        <v>0</v>
      </c>
      <c r="AN164" s="319">
        <v>0</v>
      </c>
      <c r="AO164" s="320">
        <v>0</v>
      </c>
      <c r="AP164" s="319">
        <v>0</v>
      </c>
      <c r="AQ164" s="320">
        <v>0</v>
      </c>
      <c r="AR164" s="319">
        <v>0</v>
      </c>
      <c r="AS164" s="320">
        <v>0</v>
      </c>
      <c r="AT164" s="319"/>
      <c r="AU164" s="320"/>
      <c r="AV164" s="319"/>
      <c r="AW164" s="320"/>
      <c r="AX164" s="319">
        <v>0</v>
      </c>
      <c r="AY164" s="320">
        <v>0</v>
      </c>
      <c r="AZ164" s="319">
        <v>0</v>
      </c>
      <c r="BA164" s="320">
        <v>0</v>
      </c>
      <c r="BB164" s="319">
        <v>0</v>
      </c>
      <c r="BC164" s="320">
        <v>0</v>
      </c>
      <c r="BD164" s="319">
        <v>0</v>
      </c>
      <c r="BE164" s="320">
        <v>0</v>
      </c>
      <c r="BF164" s="319">
        <v>0</v>
      </c>
      <c r="BG164" s="320">
        <v>0</v>
      </c>
      <c r="BH164" s="319"/>
      <c r="BI164" s="320"/>
      <c r="BJ164" s="319"/>
      <c r="BK164" s="320"/>
      <c r="BL164" s="319">
        <v>0</v>
      </c>
      <c r="BM164" s="320">
        <v>0</v>
      </c>
      <c r="BN164" s="319">
        <v>0</v>
      </c>
      <c r="BO164" s="320">
        <v>0</v>
      </c>
      <c r="BP164" s="319">
        <v>0</v>
      </c>
      <c r="BQ164" s="320">
        <v>0</v>
      </c>
      <c r="BR164" s="319">
        <v>0</v>
      </c>
      <c r="BS164" s="320">
        <v>0</v>
      </c>
      <c r="BT164" s="319"/>
      <c r="BU164" s="320"/>
      <c r="BV164" s="264">
        <f t="shared" si="65"/>
        <v>0</v>
      </c>
      <c r="BW164" s="264">
        <f t="shared" si="66"/>
        <v>0</v>
      </c>
    </row>
    <row r="165" spans="1:75" s="62" customFormat="1" ht="21.95" customHeight="1" thickBot="1" x14ac:dyDescent="0.25">
      <c r="A165" s="567" t="s">
        <v>3300</v>
      </c>
      <c r="B165" s="312" t="s">
        <v>3301</v>
      </c>
      <c r="C165" s="313" t="s">
        <v>3170</v>
      </c>
      <c r="D165" s="314" t="s">
        <v>3302</v>
      </c>
      <c r="E165" s="330" t="s">
        <v>3303</v>
      </c>
      <c r="F165" s="315" t="s">
        <v>3166</v>
      </c>
      <c r="G165" s="315" t="s">
        <v>3167</v>
      </c>
      <c r="H165" s="316" t="s">
        <v>1513</v>
      </c>
      <c r="I165" s="568" t="s">
        <v>1513</v>
      </c>
      <c r="J165" s="273" t="s">
        <v>3168</v>
      </c>
      <c r="K165" s="277" t="s">
        <v>53</v>
      </c>
      <c r="L165" s="321">
        <v>0</v>
      </c>
      <c r="M165" s="322">
        <v>0</v>
      </c>
      <c r="N165" s="321">
        <v>0</v>
      </c>
      <c r="O165" s="322">
        <v>0</v>
      </c>
      <c r="P165" s="321">
        <v>0</v>
      </c>
      <c r="Q165" s="322">
        <v>0</v>
      </c>
      <c r="R165" s="321"/>
      <c r="S165" s="322"/>
      <c r="T165" s="321"/>
      <c r="U165" s="322"/>
      <c r="V165" s="321">
        <v>0</v>
      </c>
      <c r="W165" s="322">
        <v>0</v>
      </c>
      <c r="X165" s="321">
        <v>0</v>
      </c>
      <c r="Y165" s="322">
        <v>0</v>
      </c>
      <c r="Z165" s="321">
        <v>0</v>
      </c>
      <c r="AA165" s="322">
        <v>0</v>
      </c>
      <c r="AB165" s="321">
        <v>0</v>
      </c>
      <c r="AC165" s="322">
        <v>0</v>
      </c>
      <c r="AD165" s="321">
        <v>0</v>
      </c>
      <c r="AE165" s="322">
        <v>0</v>
      </c>
      <c r="AF165" s="321"/>
      <c r="AG165" s="322"/>
      <c r="AH165" s="321"/>
      <c r="AI165" s="322"/>
      <c r="AJ165" s="321">
        <v>0</v>
      </c>
      <c r="AK165" s="322">
        <v>0</v>
      </c>
      <c r="AL165" s="321">
        <v>0</v>
      </c>
      <c r="AM165" s="322">
        <v>0</v>
      </c>
      <c r="AN165" s="321">
        <v>0</v>
      </c>
      <c r="AO165" s="322">
        <v>0</v>
      </c>
      <c r="AP165" s="321">
        <v>0</v>
      </c>
      <c r="AQ165" s="322">
        <v>0</v>
      </c>
      <c r="AR165" s="321">
        <v>0</v>
      </c>
      <c r="AS165" s="322">
        <v>0</v>
      </c>
      <c r="AT165" s="321"/>
      <c r="AU165" s="322"/>
      <c r="AV165" s="321"/>
      <c r="AW165" s="322"/>
      <c r="AX165" s="321">
        <v>0</v>
      </c>
      <c r="AY165" s="322">
        <v>0</v>
      </c>
      <c r="AZ165" s="321">
        <v>0</v>
      </c>
      <c r="BA165" s="322">
        <v>0</v>
      </c>
      <c r="BB165" s="321">
        <v>0</v>
      </c>
      <c r="BC165" s="322">
        <v>0</v>
      </c>
      <c r="BD165" s="321">
        <v>0</v>
      </c>
      <c r="BE165" s="322">
        <v>0</v>
      </c>
      <c r="BF165" s="321">
        <v>0</v>
      </c>
      <c r="BG165" s="322">
        <v>0</v>
      </c>
      <c r="BH165" s="321"/>
      <c r="BI165" s="322"/>
      <c r="BJ165" s="321"/>
      <c r="BK165" s="322"/>
      <c r="BL165" s="321">
        <v>0</v>
      </c>
      <c r="BM165" s="322">
        <v>0</v>
      </c>
      <c r="BN165" s="321">
        <v>0</v>
      </c>
      <c r="BO165" s="322">
        <v>0</v>
      </c>
      <c r="BP165" s="321">
        <v>0</v>
      </c>
      <c r="BQ165" s="322">
        <v>0</v>
      </c>
      <c r="BR165" s="321">
        <v>0</v>
      </c>
      <c r="BS165" s="322">
        <v>0</v>
      </c>
      <c r="BT165" s="321"/>
      <c r="BU165" s="322"/>
      <c r="BV165" s="264">
        <f t="shared" si="65"/>
        <v>0</v>
      </c>
      <c r="BW165" s="264">
        <f t="shared" si="66"/>
        <v>0</v>
      </c>
    </row>
    <row r="166" spans="1:75" s="62" customFormat="1" ht="21.95" customHeight="1" x14ac:dyDescent="0.25">
      <c r="A166" s="344" t="s">
        <v>3304</v>
      </c>
      <c r="B166" s="433" t="s">
        <v>3305</v>
      </c>
      <c r="C166" s="434">
        <v>1</v>
      </c>
      <c r="D166" s="435" t="s">
        <v>3306</v>
      </c>
      <c r="E166" s="345" t="s">
        <v>3307</v>
      </c>
      <c r="F166" s="436" t="s">
        <v>3166</v>
      </c>
      <c r="G166" s="436" t="s">
        <v>3167</v>
      </c>
      <c r="H166" s="437" t="s">
        <v>1515</v>
      </c>
      <c r="I166" s="303" t="s">
        <v>1515</v>
      </c>
      <c r="J166" s="273" t="s">
        <v>3168</v>
      </c>
      <c r="K166" s="274" t="s">
        <v>3169</v>
      </c>
      <c r="L166" s="321">
        <v>0</v>
      </c>
      <c r="M166" s="322">
        <v>0</v>
      </c>
      <c r="N166" s="321">
        <v>0</v>
      </c>
      <c r="O166" s="322">
        <v>0</v>
      </c>
      <c r="P166" s="321">
        <v>0</v>
      </c>
      <c r="Q166" s="322">
        <v>0</v>
      </c>
      <c r="R166" s="321"/>
      <c r="S166" s="322"/>
      <c r="T166" s="321"/>
      <c r="U166" s="322"/>
      <c r="V166" s="321">
        <v>0</v>
      </c>
      <c r="W166" s="322">
        <v>0</v>
      </c>
      <c r="X166" s="321">
        <v>0</v>
      </c>
      <c r="Y166" s="322">
        <v>0</v>
      </c>
      <c r="Z166" s="321">
        <v>0</v>
      </c>
      <c r="AA166" s="322">
        <v>0</v>
      </c>
      <c r="AB166" s="321">
        <v>0</v>
      </c>
      <c r="AC166" s="322">
        <v>0</v>
      </c>
      <c r="AD166" s="321">
        <v>0</v>
      </c>
      <c r="AE166" s="322">
        <v>0</v>
      </c>
      <c r="AF166" s="321"/>
      <c r="AG166" s="322"/>
      <c r="AH166" s="321"/>
      <c r="AI166" s="322"/>
      <c r="AJ166" s="321">
        <v>0</v>
      </c>
      <c r="AK166" s="322">
        <v>0</v>
      </c>
      <c r="AL166" s="321">
        <v>0</v>
      </c>
      <c r="AM166" s="322">
        <v>0</v>
      </c>
      <c r="AN166" s="321">
        <v>0</v>
      </c>
      <c r="AO166" s="322">
        <v>0</v>
      </c>
      <c r="AP166" s="321">
        <v>0</v>
      </c>
      <c r="AQ166" s="322">
        <v>0</v>
      </c>
      <c r="AR166" s="321">
        <v>0</v>
      </c>
      <c r="AS166" s="322">
        <v>0</v>
      </c>
      <c r="AT166" s="321"/>
      <c r="AU166" s="322"/>
      <c r="AV166" s="321"/>
      <c r="AW166" s="322"/>
      <c r="AX166" s="321">
        <v>0</v>
      </c>
      <c r="AY166" s="322">
        <v>0</v>
      </c>
      <c r="AZ166" s="321">
        <v>0</v>
      </c>
      <c r="BA166" s="322">
        <v>0</v>
      </c>
      <c r="BB166" s="321">
        <v>0</v>
      </c>
      <c r="BC166" s="322">
        <v>0</v>
      </c>
      <c r="BD166" s="321">
        <v>0</v>
      </c>
      <c r="BE166" s="322">
        <v>0</v>
      </c>
      <c r="BF166" s="321">
        <v>0</v>
      </c>
      <c r="BG166" s="322">
        <v>0</v>
      </c>
      <c r="BH166" s="321"/>
      <c r="BI166" s="322"/>
      <c r="BJ166" s="321"/>
      <c r="BK166" s="322"/>
      <c r="BL166" s="321">
        <v>0</v>
      </c>
      <c r="BM166" s="322">
        <v>0</v>
      </c>
      <c r="BN166" s="321">
        <v>0</v>
      </c>
      <c r="BO166" s="322">
        <v>0</v>
      </c>
      <c r="BP166" s="321">
        <v>0</v>
      </c>
      <c r="BQ166" s="322">
        <v>0</v>
      </c>
      <c r="BR166" s="321">
        <v>0</v>
      </c>
      <c r="BS166" s="322">
        <v>0</v>
      </c>
      <c r="BT166" s="321"/>
      <c r="BU166" s="322"/>
      <c r="BV166" s="264">
        <f>L166+N166+P166+R166+T166+V166+X166+Z166+AB166+AD166+AF166+AH166+AJ166+AL166+AN166+AP166+AR166+AT166+AV166+AX166+AZ166+BB166+BD166+BF166+BH166+BJ166+BL166+BN166+BP166+BR166+BT166</f>
        <v>0</v>
      </c>
      <c r="BW166" s="264">
        <f>M166+O166+Q166+S166+U166+W166+Y166+AA166+AC166+AE166+AG166+AI166+AK166+AM166+AO166+AQ166+AS166+AU166+AW166+AY166+BA166+BC166+BE166+BG166+BI166+BK166+BM166+BO166+BQ166+BS166+BU166</f>
        <v>0</v>
      </c>
    </row>
    <row r="167" spans="1:75" s="62" customFormat="1" ht="21.95" customHeight="1" x14ac:dyDescent="0.2">
      <c r="A167" s="304" t="s">
        <v>3304</v>
      </c>
      <c r="B167" s="305" t="s">
        <v>3305</v>
      </c>
      <c r="C167" s="272" t="s">
        <v>3170</v>
      </c>
      <c r="D167" s="306" t="s">
        <v>3306</v>
      </c>
      <c r="E167" s="307" t="s">
        <v>3307</v>
      </c>
      <c r="F167" s="308" t="s">
        <v>3166</v>
      </c>
      <c r="G167" s="308" t="s">
        <v>3167</v>
      </c>
      <c r="H167" s="309" t="s">
        <v>1515</v>
      </c>
      <c r="I167" s="310" t="s">
        <v>1515</v>
      </c>
      <c r="J167" s="273" t="s">
        <v>3168</v>
      </c>
      <c r="K167" s="273" t="s">
        <v>3171</v>
      </c>
      <c r="L167" s="319">
        <v>0</v>
      </c>
      <c r="M167" s="320">
        <v>0</v>
      </c>
      <c r="N167" s="319">
        <v>0</v>
      </c>
      <c r="O167" s="320">
        <v>0</v>
      </c>
      <c r="P167" s="319">
        <v>0</v>
      </c>
      <c r="Q167" s="320">
        <v>0</v>
      </c>
      <c r="R167" s="319"/>
      <c r="S167" s="320"/>
      <c r="T167" s="319"/>
      <c r="U167" s="320"/>
      <c r="V167" s="319">
        <v>0</v>
      </c>
      <c r="W167" s="320">
        <v>0</v>
      </c>
      <c r="X167" s="319">
        <v>0</v>
      </c>
      <c r="Y167" s="320">
        <v>0</v>
      </c>
      <c r="Z167" s="319">
        <v>0</v>
      </c>
      <c r="AA167" s="320">
        <v>0</v>
      </c>
      <c r="AB167" s="319">
        <v>0</v>
      </c>
      <c r="AC167" s="320">
        <v>0</v>
      </c>
      <c r="AD167" s="319">
        <v>0</v>
      </c>
      <c r="AE167" s="320">
        <v>0</v>
      </c>
      <c r="AF167" s="319"/>
      <c r="AG167" s="320"/>
      <c r="AH167" s="319"/>
      <c r="AI167" s="320"/>
      <c r="AJ167" s="319">
        <v>0</v>
      </c>
      <c r="AK167" s="320">
        <v>0</v>
      </c>
      <c r="AL167" s="319">
        <v>0</v>
      </c>
      <c r="AM167" s="320">
        <v>0</v>
      </c>
      <c r="AN167" s="319">
        <v>0</v>
      </c>
      <c r="AO167" s="320">
        <v>0</v>
      </c>
      <c r="AP167" s="319">
        <v>0</v>
      </c>
      <c r="AQ167" s="320">
        <v>0</v>
      </c>
      <c r="AR167" s="319">
        <v>0</v>
      </c>
      <c r="AS167" s="320">
        <v>0</v>
      </c>
      <c r="AT167" s="319"/>
      <c r="AU167" s="320"/>
      <c r="AV167" s="319"/>
      <c r="AW167" s="320"/>
      <c r="AX167" s="319">
        <v>0</v>
      </c>
      <c r="AY167" s="320">
        <v>0</v>
      </c>
      <c r="AZ167" s="319">
        <v>0</v>
      </c>
      <c r="BA167" s="320">
        <v>0</v>
      </c>
      <c r="BB167" s="319">
        <v>0</v>
      </c>
      <c r="BC167" s="320">
        <v>0</v>
      </c>
      <c r="BD167" s="319">
        <v>0</v>
      </c>
      <c r="BE167" s="320">
        <v>0</v>
      </c>
      <c r="BF167" s="319">
        <v>0</v>
      </c>
      <c r="BG167" s="320">
        <v>0</v>
      </c>
      <c r="BH167" s="319"/>
      <c r="BI167" s="320"/>
      <c r="BJ167" s="319"/>
      <c r="BK167" s="320"/>
      <c r="BL167" s="319">
        <v>0</v>
      </c>
      <c r="BM167" s="320">
        <v>0</v>
      </c>
      <c r="BN167" s="319">
        <v>0</v>
      </c>
      <c r="BO167" s="320">
        <v>0</v>
      </c>
      <c r="BP167" s="319">
        <v>0</v>
      </c>
      <c r="BQ167" s="320">
        <v>0</v>
      </c>
      <c r="BR167" s="319">
        <v>0</v>
      </c>
      <c r="BS167" s="320">
        <v>0</v>
      </c>
      <c r="BT167" s="319"/>
      <c r="BU167" s="320"/>
      <c r="BV167" s="264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264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2" customFormat="1" ht="21.95" customHeight="1" x14ac:dyDescent="0.2">
      <c r="A168" s="304" t="s">
        <v>3304</v>
      </c>
      <c r="B168" s="305" t="s">
        <v>3305</v>
      </c>
      <c r="C168" s="311" t="s">
        <v>3170</v>
      </c>
      <c r="D168" s="306" t="s">
        <v>3306</v>
      </c>
      <c r="E168" s="307" t="s">
        <v>3307</v>
      </c>
      <c r="F168" s="308" t="s">
        <v>3166</v>
      </c>
      <c r="G168" s="308" t="s">
        <v>3167</v>
      </c>
      <c r="H168" s="309" t="s">
        <v>1515</v>
      </c>
      <c r="I168" s="310" t="s">
        <v>1515</v>
      </c>
      <c r="J168" s="273" t="s">
        <v>3168</v>
      </c>
      <c r="K168" s="275" t="s">
        <v>3172</v>
      </c>
      <c r="L168" s="319">
        <v>0</v>
      </c>
      <c r="M168" s="320">
        <v>0</v>
      </c>
      <c r="N168" s="319">
        <v>0</v>
      </c>
      <c r="O168" s="320">
        <v>0</v>
      </c>
      <c r="P168" s="319">
        <v>0</v>
      </c>
      <c r="Q168" s="320">
        <v>0</v>
      </c>
      <c r="R168" s="319"/>
      <c r="S168" s="320"/>
      <c r="T168" s="319"/>
      <c r="U168" s="320"/>
      <c r="V168" s="319">
        <v>0</v>
      </c>
      <c r="W168" s="320">
        <v>0</v>
      </c>
      <c r="X168" s="319">
        <v>0</v>
      </c>
      <c r="Y168" s="320">
        <v>0</v>
      </c>
      <c r="Z168" s="319">
        <v>0</v>
      </c>
      <c r="AA168" s="320">
        <v>0</v>
      </c>
      <c r="AB168" s="319">
        <v>0</v>
      </c>
      <c r="AC168" s="320">
        <v>0</v>
      </c>
      <c r="AD168" s="319">
        <v>0</v>
      </c>
      <c r="AE168" s="320">
        <v>0</v>
      </c>
      <c r="AF168" s="319"/>
      <c r="AG168" s="320"/>
      <c r="AH168" s="319"/>
      <c r="AI168" s="320"/>
      <c r="AJ168" s="319">
        <v>0</v>
      </c>
      <c r="AK168" s="320">
        <v>0</v>
      </c>
      <c r="AL168" s="319">
        <v>0</v>
      </c>
      <c r="AM168" s="320">
        <v>0</v>
      </c>
      <c r="AN168" s="319">
        <v>0</v>
      </c>
      <c r="AO168" s="320">
        <v>0</v>
      </c>
      <c r="AP168" s="319">
        <v>0</v>
      </c>
      <c r="AQ168" s="320">
        <v>0</v>
      </c>
      <c r="AR168" s="319">
        <v>0</v>
      </c>
      <c r="AS168" s="320">
        <v>0</v>
      </c>
      <c r="AT168" s="319"/>
      <c r="AU168" s="320"/>
      <c r="AV168" s="319"/>
      <c r="AW168" s="320"/>
      <c r="AX168" s="319">
        <v>0</v>
      </c>
      <c r="AY168" s="320">
        <v>0</v>
      </c>
      <c r="AZ168" s="319">
        <v>0</v>
      </c>
      <c r="BA168" s="320">
        <v>0</v>
      </c>
      <c r="BB168" s="319">
        <v>0</v>
      </c>
      <c r="BC168" s="320">
        <v>0</v>
      </c>
      <c r="BD168" s="319">
        <v>0</v>
      </c>
      <c r="BE168" s="320">
        <v>0</v>
      </c>
      <c r="BF168" s="319">
        <v>0</v>
      </c>
      <c r="BG168" s="320">
        <v>0</v>
      </c>
      <c r="BH168" s="319"/>
      <c r="BI168" s="320"/>
      <c r="BJ168" s="319"/>
      <c r="BK168" s="320"/>
      <c r="BL168" s="319">
        <v>0</v>
      </c>
      <c r="BM168" s="320">
        <v>0</v>
      </c>
      <c r="BN168" s="319">
        <v>0</v>
      </c>
      <c r="BO168" s="320">
        <v>0</v>
      </c>
      <c r="BP168" s="319">
        <v>0</v>
      </c>
      <c r="BQ168" s="320">
        <v>0</v>
      </c>
      <c r="BR168" s="319">
        <v>0</v>
      </c>
      <c r="BS168" s="320">
        <v>0</v>
      </c>
      <c r="BT168" s="319"/>
      <c r="BU168" s="320"/>
      <c r="BV168" s="264">
        <f t="shared" si="67"/>
        <v>0</v>
      </c>
      <c r="BW168" s="264">
        <f t="shared" si="68"/>
        <v>0</v>
      </c>
    </row>
    <row r="169" spans="1:75" s="62" customFormat="1" ht="21.95" customHeight="1" x14ac:dyDescent="0.2">
      <c r="A169" s="304" t="s">
        <v>3304</v>
      </c>
      <c r="B169" s="305" t="s">
        <v>3305</v>
      </c>
      <c r="C169" s="311" t="s">
        <v>3170</v>
      </c>
      <c r="D169" s="306" t="s">
        <v>3306</v>
      </c>
      <c r="E169" s="307" t="s">
        <v>3307</v>
      </c>
      <c r="F169" s="308" t="s">
        <v>3166</v>
      </c>
      <c r="G169" s="308" t="s">
        <v>3167</v>
      </c>
      <c r="H169" s="309" t="s">
        <v>1515</v>
      </c>
      <c r="I169" s="310" t="s">
        <v>1515</v>
      </c>
      <c r="J169" s="273" t="s">
        <v>3168</v>
      </c>
      <c r="K169" s="276" t="s">
        <v>3173</v>
      </c>
      <c r="L169" s="319">
        <v>0</v>
      </c>
      <c r="M169" s="320">
        <v>0</v>
      </c>
      <c r="N169" s="319">
        <v>0</v>
      </c>
      <c r="O169" s="320">
        <v>0</v>
      </c>
      <c r="P169" s="319">
        <v>0</v>
      </c>
      <c r="Q169" s="320">
        <v>0</v>
      </c>
      <c r="R169" s="319"/>
      <c r="S169" s="320"/>
      <c r="T169" s="319"/>
      <c r="U169" s="320"/>
      <c r="V169" s="319">
        <v>0</v>
      </c>
      <c r="W169" s="320">
        <v>0</v>
      </c>
      <c r="X169" s="319">
        <v>0</v>
      </c>
      <c r="Y169" s="320">
        <v>0</v>
      </c>
      <c r="Z169" s="319">
        <v>0</v>
      </c>
      <c r="AA169" s="320">
        <v>0</v>
      </c>
      <c r="AB169" s="319">
        <v>0</v>
      </c>
      <c r="AC169" s="320">
        <v>0</v>
      </c>
      <c r="AD169" s="319">
        <v>0</v>
      </c>
      <c r="AE169" s="320">
        <v>0</v>
      </c>
      <c r="AF169" s="319"/>
      <c r="AG169" s="320"/>
      <c r="AH169" s="319"/>
      <c r="AI169" s="320"/>
      <c r="AJ169" s="319">
        <v>0</v>
      </c>
      <c r="AK169" s="320">
        <v>0</v>
      </c>
      <c r="AL169" s="319">
        <v>0</v>
      </c>
      <c r="AM169" s="320">
        <v>0</v>
      </c>
      <c r="AN169" s="319">
        <v>0</v>
      </c>
      <c r="AO169" s="320">
        <v>0</v>
      </c>
      <c r="AP169" s="319">
        <v>0</v>
      </c>
      <c r="AQ169" s="320">
        <v>0</v>
      </c>
      <c r="AR169" s="319">
        <v>0</v>
      </c>
      <c r="AS169" s="320">
        <v>0</v>
      </c>
      <c r="AT169" s="319"/>
      <c r="AU169" s="320"/>
      <c r="AV169" s="319"/>
      <c r="AW169" s="320"/>
      <c r="AX169" s="319">
        <v>0</v>
      </c>
      <c r="AY169" s="320">
        <v>0</v>
      </c>
      <c r="AZ169" s="319">
        <v>0</v>
      </c>
      <c r="BA169" s="320">
        <v>0</v>
      </c>
      <c r="BB169" s="319">
        <v>0</v>
      </c>
      <c r="BC169" s="320">
        <v>0</v>
      </c>
      <c r="BD169" s="319">
        <v>0</v>
      </c>
      <c r="BE169" s="320">
        <v>0</v>
      </c>
      <c r="BF169" s="319">
        <v>0</v>
      </c>
      <c r="BG169" s="320">
        <v>0</v>
      </c>
      <c r="BH169" s="319"/>
      <c r="BI169" s="320"/>
      <c r="BJ169" s="319"/>
      <c r="BK169" s="320"/>
      <c r="BL169" s="319">
        <v>0</v>
      </c>
      <c r="BM169" s="320">
        <v>0</v>
      </c>
      <c r="BN169" s="319">
        <v>0</v>
      </c>
      <c r="BO169" s="320">
        <v>0</v>
      </c>
      <c r="BP169" s="319">
        <v>0</v>
      </c>
      <c r="BQ169" s="320">
        <v>0</v>
      </c>
      <c r="BR169" s="319">
        <v>0</v>
      </c>
      <c r="BS169" s="320">
        <v>0</v>
      </c>
      <c r="BT169" s="319"/>
      <c r="BU169" s="320"/>
      <c r="BV169" s="264">
        <f t="shared" si="67"/>
        <v>0</v>
      </c>
      <c r="BW169" s="264">
        <f t="shared" si="68"/>
        <v>0</v>
      </c>
    </row>
    <row r="170" spans="1:75" s="62" customFormat="1" ht="21.95" customHeight="1" thickBot="1" x14ac:dyDescent="0.25">
      <c r="A170" s="567" t="s">
        <v>3304</v>
      </c>
      <c r="B170" s="312" t="s">
        <v>3305</v>
      </c>
      <c r="C170" s="313" t="s">
        <v>3170</v>
      </c>
      <c r="D170" s="314" t="s">
        <v>3306</v>
      </c>
      <c r="E170" s="330" t="s">
        <v>3307</v>
      </c>
      <c r="F170" s="315" t="s">
        <v>3166</v>
      </c>
      <c r="G170" s="315" t="s">
        <v>3167</v>
      </c>
      <c r="H170" s="316" t="s">
        <v>1515</v>
      </c>
      <c r="I170" s="568" t="s">
        <v>1515</v>
      </c>
      <c r="J170" s="273" t="s">
        <v>3168</v>
      </c>
      <c r="K170" s="277" t="s">
        <v>53</v>
      </c>
      <c r="L170" s="321">
        <v>0</v>
      </c>
      <c r="M170" s="322">
        <v>0</v>
      </c>
      <c r="N170" s="321">
        <v>0</v>
      </c>
      <c r="O170" s="322">
        <v>0</v>
      </c>
      <c r="P170" s="321">
        <v>0</v>
      </c>
      <c r="Q170" s="322">
        <v>0</v>
      </c>
      <c r="R170" s="321"/>
      <c r="S170" s="322"/>
      <c r="T170" s="321"/>
      <c r="U170" s="322"/>
      <c r="V170" s="321">
        <v>0</v>
      </c>
      <c r="W170" s="322">
        <v>0</v>
      </c>
      <c r="X170" s="321">
        <v>0</v>
      </c>
      <c r="Y170" s="322">
        <v>0</v>
      </c>
      <c r="Z170" s="321">
        <v>0</v>
      </c>
      <c r="AA170" s="322">
        <v>0</v>
      </c>
      <c r="AB170" s="321">
        <v>0</v>
      </c>
      <c r="AC170" s="322">
        <v>0</v>
      </c>
      <c r="AD170" s="321">
        <v>0</v>
      </c>
      <c r="AE170" s="322">
        <v>0</v>
      </c>
      <c r="AF170" s="321"/>
      <c r="AG170" s="322"/>
      <c r="AH170" s="321"/>
      <c r="AI170" s="322"/>
      <c r="AJ170" s="321">
        <v>0</v>
      </c>
      <c r="AK170" s="322">
        <v>0</v>
      </c>
      <c r="AL170" s="321">
        <v>0</v>
      </c>
      <c r="AM170" s="322">
        <v>0</v>
      </c>
      <c r="AN170" s="321">
        <v>0</v>
      </c>
      <c r="AO170" s="322">
        <v>0</v>
      </c>
      <c r="AP170" s="321">
        <v>0</v>
      </c>
      <c r="AQ170" s="322">
        <v>0</v>
      </c>
      <c r="AR170" s="321">
        <v>0</v>
      </c>
      <c r="AS170" s="322">
        <v>0</v>
      </c>
      <c r="AT170" s="321"/>
      <c r="AU170" s="322"/>
      <c r="AV170" s="321"/>
      <c r="AW170" s="322"/>
      <c r="AX170" s="321">
        <v>0</v>
      </c>
      <c r="AY170" s="322">
        <v>0</v>
      </c>
      <c r="AZ170" s="321">
        <v>0</v>
      </c>
      <c r="BA170" s="322">
        <v>0</v>
      </c>
      <c r="BB170" s="321">
        <v>0</v>
      </c>
      <c r="BC170" s="322">
        <v>0</v>
      </c>
      <c r="BD170" s="321">
        <v>0</v>
      </c>
      <c r="BE170" s="322">
        <v>0</v>
      </c>
      <c r="BF170" s="321">
        <v>0</v>
      </c>
      <c r="BG170" s="322">
        <v>0</v>
      </c>
      <c r="BH170" s="321"/>
      <c r="BI170" s="322"/>
      <c r="BJ170" s="321"/>
      <c r="BK170" s="322"/>
      <c r="BL170" s="321">
        <v>0</v>
      </c>
      <c r="BM170" s="322">
        <v>0</v>
      </c>
      <c r="BN170" s="321">
        <v>0</v>
      </c>
      <c r="BO170" s="322">
        <v>0</v>
      </c>
      <c r="BP170" s="321">
        <v>0</v>
      </c>
      <c r="BQ170" s="322">
        <v>0</v>
      </c>
      <c r="BR170" s="321">
        <v>0</v>
      </c>
      <c r="BS170" s="322">
        <v>0</v>
      </c>
      <c r="BT170" s="321"/>
      <c r="BU170" s="322"/>
      <c r="BV170" s="264">
        <f t="shared" si="67"/>
        <v>0</v>
      </c>
      <c r="BW170" s="264">
        <f t="shared" si="68"/>
        <v>0</v>
      </c>
    </row>
    <row r="171" spans="1:75" s="62" customFormat="1" ht="21.95" customHeight="1" x14ac:dyDescent="0.25">
      <c r="A171" s="344" t="s">
        <v>3308</v>
      </c>
      <c r="B171" s="433" t="s">
        <v>3309</v>
      </c>
      <c r="C171" s="434">
        <v>1</v>
      </c>
      <c r="D171" s="435" t="s">
        <v>3310</v>
      </c>
      <c r="E171" s="345" t="s">
        <v>3311</v>
      </c>
      <c r="F171" s="436" t="s">
        <v>3166</v>
      </c>
      <c r="G171" s="436" t="s">
        <v>3167</v>
      </c>
      <c r="H171" s="437" t="s">
        <v>1516</v>
      </c>
      <c r="I171" s="303" t="s">
        <v>1516</v>
      </c>
      <c r="J171" s="273" t="s">
        <v>3168</v>
      </c>
      <c r="K171" s="274" t="s">
        <v>3169</v>
      </c>
      <c r="L171" s="321">
        <v>0</v>
      </c>
      <c r="M171" s="322">
        <v>0</v>
      </c>
      <c r="N171" s="321">
        <v>0</v>
      </c>
      <c r="O171" s="322">
        <v>0</v>
      </c>
      <c r="P171" s="321">
        <v>0</v>
      </c>
      <c r="Q171" s="322">
        <v>0</v>
      </c>
      <c r="R171" s="321"/>
      <c r="S171" s="322"/>
      <c r="T171" s="321"/>
      <c r="U171" s="322"/>
      <c r="V171" s="321">
        <v>0</v>
      </c>
      <c r="W171" s="322">
        <v>0</v>
      </c>
      <c r="X171" s="321">
        <v>0</v>
      </c>
      <c r="Y171" s="322">
        <v>0</v>
      </c>
      <c r="Z171" s="321">
        <v>0</v>
      </c>
      <c r="AA171" s="322">
        <v>0</v>
      </c>
      <c r="AB171" s="321">
        <v>0</v>
      </c>
      <c r="AC171" s="322">
        <v>0</v>
      </c>
      <c r="AD171" s="321">
        <v>0</v>
      </c>
      <c r="AE171" s="322">
        <v>0</v>
      </c>
      <c r="AF171" s="321"/>
      <c r="AG171" s="322"/>
      <c r="AH171" s="321"/>
      <c r="AI171" s="322"/>
      <c r="AJ171" s="321">
        <v>0</v>
      </c>
      <c r="AK171" s="322">
        <v>0</v>
      </c>
      <c r="AL171" s="321">
        <v>0</v>
      </c>
      <c r="AM171" s="322">
        <v>0</v>
      </c>
      <c r="AN171" s="321">
        <v>0</v>
      </c>
      <c r="AO171" s="322">
        <v>0</v>
      </c>
      <c r="AP171" s="321">
        <v>0</v>
      </c>
      <c r="AQ171" s="322">
        <v>0</v>
      </c>
      <c r="AR171" s="321">
        <v>0</v>
      </c>
      <c r="AS171" s="322">
        <v>0</v>
      </c>
      <c r="AT171" s="321"/>
      <c r="AU171" s="322"/>
      <c r="AV171" s="321"/>
      <c r="AW171" s="322"/>
      <c r="AX171" s="321">
        <v>0</v>
      </c>
      <c r="AY171" s="322">
        <v>0</v>
      </c>
      <c r="AZ171" s="321">
        <v>0</v>
      </c>
      <c r="BA171" s="322">
        <v>0</v>
      </c>
      <c r="BB171" s="321">
        <v>0</v>
      </c>
      <c r="BC171" s="322">
        <v>0</v>
      </c>
      <c r="BD171" s="321">
        <v>0</v>
      </c>
      <c r="BE171" s="322">
        <v>0</v>
      </c>
      <c r="BF171" s="321">
        <v>0</v>
      </c>
      <c r="BG171" s="322">
        <v>0</v>
      </c>
      <c r="BH171" s="321"/>
      <c r="BI171" s="322"/>
      <c r="BJ171" s="321"/>
      <c r="BK171" s="322"/>
      <c r="BL171" s="321">
        <v>0</v>
      </c>
      <c r="BM171" s="322">
        <v>0</v>
      </c>
      <c r="BN171" s="321">
        <v>0</v>
      </c>
      <c r="BO171" s="322">
        <v>0</v>
      </c>
      <c r="BP171" s="321">
        <v>0</v>
      </c>
      <c r="BQ171" s="322">
        <v>0</v>
      </c>
      <c r="BR171" s="321">
        <v>0</v>
      </c>
      <c r="BS171" s="322">
        <v>0</v>
      </c>
      <c r="BT171" s="321"/>
      <c r="BU171" s="322"/>
      <c r="BV171" s="264">
        <f>L171+N171+P171+R171+T171+V171+X171+Z171+AB171+AD171+AF171+AH171+AJ171+AL171+AN171+AP171+AR171+AT171+AV171+AX171+AZ171+BB171+BD171+BF171+BH171+BJ171+BL171+BN171+BP171+BR171+BT171</f>
        <v>0</v>
      </c>
      <c r="BW171" s="264">
        <f>M171+O171+Q171+S171+U171+W171+Y171+AA171+AC171+AE171+AG171+AI171+AK171+AM171+AO171+AQ171+AS171+AU171+AW171+AY171+BA171+BC171+BE171+BG171+BI171+BK171+BM171+BO171+BQ171+BS171+BU171</f>
        <v>0</v>
      </c>
    </row>
    <row r="172" spans="1:75" s="62" customFormat="1" ht="21.95" customHeight="1" x14ac:dyDescent="0.2">
      <c r="A172" s="304" t="s">
        <v>3308</v>
      </c>
      <c r="B172" s="305" t="s">
        <v>3309</v>
      </c>
      <c r="C172" s="272" t="s">
        <v>3170</v>
      </c>
      <c r="D172" s="306" t="s">
        <v>3310</v>
      </c>
      <c r="E172" s="307" t="s">
        <v>3311</v>
      </c>
      <c r="F172" s="308" t="s">
        <v>3166</v>
      </c>
      <c r="G172" s="308" t="s">
        <v>3167</v>
      </c>
      <c r="H172" s="309" t="s">
        <v>1516</v>
      </c>
      <c r="I172" s="310" t="s">
        <v>1516</v>
      </c>
      <c r="J172" s="273" t="s">
        <v>3168</v>
      </c>
      <c r="K172" s="273" t="s">
        <v>3171</v>
      </c>
      <c r="L172" s="319">
        <v>0</v>
      </c>
      <c r="M172" s="320">
        <v>0</v>
      </c>
      <c r="N172" s="319">
        <v>0</v>
      </c>
      <c r="O172" s="320">
        <v>0</v>
      </c>
      <c r="P172" s="319">
        <v>0</v>
      </c>
      <c r="Q172" s="320">
        <v>0</v>
      </c>
      <c r="R172" s="319"/>
      <c r="S172" s="320"/>
      <c r="T172" s="319"/>
      <c r="U172" s="320"/>
      <c r="V172" s="319">
        <v>0</v>
      </c>
      <c r="W172" s="320">
        <v>0</v>
      </c>
      <c r="X172" s="319">
        <v>0</v>
      </c>
      <c r="Y172" s="320">
        <v>0</v>
      </c>
      <c r="Z172" s="319">
        <v>0</v>
      </c>
      <c r="AA172" s="320">
        <v>0</v>
      </c>
      <c r="AB172" s="319">
        <v>0</v>
      </c>
      <c r="AC172" s="320">
        <v>0</v>
      </c>
      <c r="AD172" s="319">
        <v>0</v>
      </c>
      <c r="AE172" s="320">
        <v>0</v>
      </c>
      <c r="AF172" s="319"/>
      <c r="AG172" s="320"/>
      <c r="AH172" s="319"/>
      <c r="AI172" s="320"/>
      <c r="AJ172" s="319">
        <v>0</v>
      </c>
      <c r="AK172" s="320">
        <v>0</v>
      </c>
      <c r="AL172" s="319">
        <v>0</v>
      </c>
      <c r="AM172" s="320">
        <v>0</v>
      </c>
      <c r="AN172" s="319">
        <v>0</v>
      </c>
      <c r="AO172" s="320">
        <v>0</v>
      </c>
      <c r="AP172" s="319">
        <v>0</v>
      </c>
      <c r="AQ172" s="320">
        <v>0</v>
      </c>
      <c r="AR172" s="319">
        <v>0</v>
      </c>
      <c r="AS172" s="320">
        <v>0</v>
      </c>
      <c r="AT172" s="319"/>
      <c r="AU172" s="320"/>
      <c r="AV172" s="319"/>
      <c r="AW172" s="320"/>
      <c r="AX172" s="319">
        <v>0</v>
      </c>
      <c r="AY172" s="320">
        <v>0</v>
      </c>
      <c r="AZ172" s="319">
        <v>0</v>
      </c>
      <c r="BA172" s="320">
        <v>0</v>
      </c>
      <c r="BB172" s="319">
        <v>0</v>
      </c>
      <c r="BC172" s="320">
        <v>0</v>
      </c>
      <c r="BD172" s="319">
        <v>0</v>
      </c>
      <c r="BE172" s="320">
        <v>0</v>
      </c>
      <c r="BF172" s="319">
        <v>0</v>
      </c>
      <c r="BG172" s="320">
        <v>0</v>
      </c>
      <c r="BH172" s="319"/>
      <c r="BI172" s="320"/>
      <c r="BJ172" s="319"/>
      <c r="BK172" s="320"/>
      <c r="BL172" s="319">
        <v>0</v>
      </c>
      <c r="BM172" s="320">
        <v>0</v>
      </c>
      <c r="BN172" s="319">
        <v>0</v>
      </c>
      <c r="BO172" s="320">
        <v>0</v>
      </c>
      <c r="BP172" s="319">
        <v>0</v>
      </c>
      <c r="BQ172" s="320">
        <v>0</v>
      </c>
      <c r="BR172" s="319">
        <v>0</v>
      </c>
      <c r="BS172" s="320">
        <v>0</v>
      </c>
      <c r="BT172" s="319"/>
      <c r="BU172" s="320"/>
      <c r="BV172" s="264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264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2" customFormat="1" ht="21.95" customHeight="1" x14ac:dyDescent="0.2">
      <c r="A173" s="304" t="s">
        <v>3308</v>
      </c>
      <c r="B173" s="305" t="s">
        <v>3309</v>
      </c>
      <c r="C173" s="311" t="s">
        <v>3170</v>
      </c>
      <c r="D173" s="306" t="s">
        <v>3310</v>
      </c>
      <c r="E173" s="307" t="s">
        <v>3311</v>
      </c>
      <c r="F173" s="308" t="s">
        <v>3166</v>
      </c>
      <c r="G173" s="308" t="s">
        <v>3167</v>
      </c>
      <c r="H173" s="309" t="s">
        <v>1516</v>
      </c>
      <c r="I173" s="310" t="s">
        <v>1516</v>
      </c>
      <c r="J173" s="273" t="s">
        <v>3168</v>
      </c>
      <c r="K173" s="275" t="s">
        <v>3172</v>
      </c>
      <c r="L173" s="319">
        <v>0</v>
      </c>
      <c r="M173" s="320">
        <v>0</v>
      </c>
      <c r="N173" s="319">
        <v>0</v>
      </c>
      <c r="O173" s="320">
        <v>0</v>
      </c>
      <c r="P173" s="319">
        <v>0</v>
      </c>
      <c r="Q173" s="320">
        <v>0</v>
      </c>
      <c r="R173" s="319"/>
      <c r="S173" s="320"/>
      <c r="T173" s="319"/>
      <c r="U173" s="320"/>
      <c r="V173" s="319">
        <v>0</v>
      </c>
      <c r="W173" s="320">
        <v>0</v>
      </c>
      <c r="X173" s="319">
        <v>0</v>
      </c>
      <c r="Y173" s="320">
        <v>0</v>
      </c>
      <c r="Z173" s="319">
        <v>0</v>
      </c>
      <c r="AA173" s="320">
        <v>0</v>
      </c>
      <c r="AB173" s="319">
        <v>0</v>
      </c>
      <c r="AC173" s="320">
        <v>0</v>
      </c>
      <c r="AD173" s="319">
        <v>0</v>
      </c>
      <c r="AE173" s="320">
        <v>0</v>
      </c>
      <c r="AF173" s="319"/>
      <c r="AG173" s="320"/>
      <c r="AH173" s="319"/>
      <c r="AI173" s="320"/>
      <c r="AJ173" s="319">
        <v>0</v>
      </c>
      <c r="AK173" s="320">
        <v>0</v>
      </c>
      <c r="AL173" s="319">
        <v>0</v>
      </c>
      <c r="AM173" s="320">
        <v>0</v>
      </c>
      <c r="AN173" s="319">
        <v>0</v>
      </c>
      <c r="AO173" s="320">
        <v>0</v>
      </c>
      <c r="AP173" s="319">
        <v>0</v>
      </c>
      <c r="AQ173" s="320">
        <v>0</v>
      </c>
      <c r="AR173" s="319">
        <v>0</v>
      </c>
      <c r="AS173" s="320">
        <v>0</v>
      </c>
      <c r="AT173" s="319"/>
      <c r="AU173" s="320"/>
      <c r="AV173" s="319"/>
      <c r="AW173" s="320"/>
      <c r="AX173" s="319">
        <v>0</v>
      </c>
      <c r="AY173" s="320">
        <v>0</v>
      </c>
      <c r="AZ173" s="319">
        <v>0</v>
      </c>
      <c r="BA173" s="320">
        <v>0</v>
      </c>
      <c r="BB173" s="319">
        <v>0</v>
      </c>
      <c r="BC173" s="320">
        <v>0</v>
      </c>
      <c r="BD173" s="319">
        <v>0</v>
      </c>
      <c r="BE173" s="320">
        <v>0</v>
      </c>
      <c r="BF173" s="319">
        <v>0</v>
      </c>
      <c r="BG173" s="320">
        <v>0</v>
      </c>
      <c r="BH173" s="319"/>
      <c r="BI173" s="320"/>
      <c r="BJ173" s="319"/>
      <c r="BK173" s="320"/>
      <c r="BL173" s="319">
        <v>0</v>
      </c>
      <c r="BM173" s="320">
        <v>0</v>
      </c>
      <c r="BN173" s="319">
        <v>0</v>
      </c>
      <c r="BO173" s="320">
        <v>0</v>
      </c>
      <c r="BP173" s="319">
        <v>0</v>
      </c>
      <c r="BQ173" s="320">
        <v>0</v>
      </c>
      <c r="BR173" s="319">
        <v>0</v>
      </c>
      <c r="BS173" s="320">
        <v>0</v>
      </c>
      <c r="BT173" s="319"/>
      <c r="BU173" s="320"/>
      <c r="BV173" s="264">
        <f t="shared" si="69"/>
        <v>0</v>
      </c>
      <c r="BW173" s="264">
        <f t="shared" si="70"/>
        <v>0</v>
      </c>
    </row>
    <row r="174" spans="1:75" s="62" customFormat="1" ht="21.95" customHeight="1" x14ac:dyDescent="0.2">
      <c r="A174" s="304" t="s">
        <v>3308</v>
      </c>
      <c r="B174" s="305" t="s">
        <v>3309</v>
      </c>
      <c r="C174" s="311" t="s">
        <v>3170</v>
      </c>
      <c r="D174" s="306" t="s">
        <v>3310</v>
      </c>
      <c r="E174" s="307" t="s">
        <v>3311</v>
      </c>
      <c r="F174" s="308" t="s">
        <v>3166</v>
      </c>
      <c r="G174" s="308" t="s">
        <v>3167</v>
      </c>
      <c r="H174" s="309" t="s">
        <v>1516</v>
      </c>
      <c r="I174" s="310" t="s">
        <v>1516</v>
      </c>
      <c r="J174" s="273" t="s">
        <v>3168</v>
      </c>
      <c r="K174" s="276" t="s">
        <v>3173</v>
      </c>
      <c r="L174" s="319">
        <v>0</v>
      </c>
      <c r="M174" s="320">
        <v>0</v>
      </c>
      <c r="N174" s="319">
        <v>0</v>
      </c>
      <c r="O174" s="320">
        <v>0</v>
      </c>
      <c r="P174" s="319">
        <v>0</v>
      </c>
      <c r="Q174" s="320">
        <v>0</v>
      </c>
      <c r="R174" s="319"/>
      <c r="S174" s="320"/>
      <c r="T174" s="319"/>
      <c r="U174" s="320"/>
      <c r="V174" s="319">
        <v>0</v>
      </c>
      <c r="W174" s="320">
        <v>0</v>
      </c>
      <c r="X174" s="319">
        <v>0</v>
      </c>
      <c r="Y174" s="320">
        <v>0</v>
      </c>
      <c r="Z174" s="319">
        <v>0</v>
      </c>
      <c r="AA174" s="320">
        <v>0</v>
      </c>
      <c r="AB174" s="319">
        <v>0</v>
      </c>
      <c r="AC174" s="320">
        <v>0</v>
      </c>
      <c r="AD174" s="319">
        <v>0</v>
      </c>
      <c r="AE174" s="320">
        <v>0</v>
      </c>
      <c r="AF174" s="319"/>
      <c r="AG174" s="320"/>
      <c r="AH174" s="319"/>
      <c r="AI174" s="320"/>
      <c r="AJ174" s="319">
        <v>0</v>
      </c>
      <c r="AK174" s="320">
        <v>0</v>
      </c>
      <c r="AL174" s="319">
        <v>0</v>
      </c>
      <c r="AM174" s="320">
        <v>0</v>
      </c>
      <c r="AN174" s="319">
        <v>0</v>
      </c>
      <c r="AO174" s="320">
        <v>0</v>
      </c>
      <c r="AP174" s="319">
        <v>0</v>
      </c>
      <c r="AQ174" s="320">
        <v>0</v>
      </c>
      <c r="AR174" s="319">
        <v>0</v>
      </c>
      <c r="AS174" s="320">
        <v>0</v>
      </c>
      <c r="AT174" s="319"/>
      <c r="AU174" s="320"/>
      <c r="AV174" s="319"/>
      <c r="AW174" s="320"/>
      <c r="AX174" s="319">
        <v>0</v>
      </c>
      <c r="AY174" s="320">
        <v>0</v>
      </c>
      <c r="AZ174" s="319">
        <v>0</v>
      </c>
      <c r="BA174" s="320">
        <v>0</v>
      </c>
      <c r="BB174" s="319">
        <v>0</v>
      </c>
      <c r="BC174" s="320">
        <v>0</v>
      </c>
      <c r="BD174" s="319">
        <v>0</v>
      </c>
      <c r="BE174" s="320">
        <v>0</v>
      </c>
      <c r="BF174" s="319">
        <v>0</v>
      </c>
      <c r="BG174" s="320">
        <v>0</v>
      </c>
      <c r="BH174" s="319"/>
      <c r="BI174" s="320"/>
      <c r="BJ174" s="319"/>
      <c r="BK174" s="320"/>
      <c r="BL174" s="319">
        <v>0</v>
      </c>
      <c r="BM174" s="320">
        <v>0</v>
      </c>
      <c r="BN174" s="319">
        <v>0</v>
      </c>
      <c r="BO174" s="320">
        <v>0</v>
      </c>
      <c r="BP174" s="319">
        <v>0</v>
      </c>
      <c r="BQ174" s="320">
        <v>0</v>
      </c>
      <c r="BR174" s="319">
        <v>0</v>
      </c>
      <c r="BS174" s="320">
        <v>0</v>
      </c>
      <c r="BT174" s="319"/>
      <c r="BU174" s="320"/>
      <c r="BV174" s="264">
        <f t="shared" si="69"/>
        <v>0</v>
      </c>
      <c r="BW174" s="264">
        <f t="shared" si="70"/>
        <v>0</v>
      </c>
    </row>
    <row r="175" spans="1:75" s="62" customFormat="1" ht="21.95" customHeight="1" thickBot="1" x14ac:dyDescent="0.25">
      <c r="A175" s="567" t="s">
        <v>3308</v>
      </c>
      <c r="B175" s="312" t="s">
        <v>3309</v>
      </c>
      <c r="C175" s="313" t="s">
        <v>3170</v>
      </c>
      <c r="D175" s="314" t="s">
        <v>3310</v>
      </c>
      <c r="E175" s="330" t="s">
        <v>3311</v>
      </c>
      <c r="F175" s="315" t="s">
        <v>3166</v>
      </c>
      <c r="G175" s="315" t="s">
        <v>3167</v>
      </c>
      <c r="H175" s="316" t="s">
        <v>1516</v>
      </c>
      <c r="I175" s="568" t="s">
        <v>1516</v>
      </c>
      <c r="J175" s="273" t="s">
        <v>3168</v>
      </c>
      <c r="K175" s="277" t="s">
        <v>53</v>
      </c>
      <c r="L175" s="321">
        <v>0</v>
      </c>
      <c r="M175" s="322">
        <v>0</v>
      </c>
      <c r="N175" s="321">
        <v>0</v>
      </c>
      <c r="O175" s="322">
        <v>0</v>
      </c>
      <c r="P175" s="321">
        <v>0</v>
      </c>
      <c r="Q175" s="322">
        <v>0</v>
      </c>
      <c r="R175" s="321"/>
      <c r="S175" s="322"/>
      <c r="T175" s="321"/>
      <c r="U175" s="322"/>
      <c r="V175" s="321">
        <v>0</v>
      </c>
      <c r="W175" s="322">
        <v>0</v>
      </c>
      <c r="X175" s="321">
        <v>0</v>
      </c>
      <c r="Y175" s="322">
        <v>0</v>
      </c>
      <c r="Z175" s="321">
        <v>0</v>
      </c>
      <c r="AA175" s="322">
        <v>0</v>
      </c>
      <c r="AB175" s="321">
        <v>0</v>
      </c>
      <c r="AC175" s="322">
        <v>0</v>
      </c>
      <c r="AD175" s="321">
        <v>0</v>
      </c>
      <c r="AE175" s="322">
        <v>0</v>
      </c>
      <c r="AF175" s="321"/>
      <c r="AG175" s="322"/>
      <c r="AH175" s="321"/>
      <c r="AI175" s="322"/>
      <c r="AJ175" s="321">
        <v>0</v>
      </c>
      <c r="AK175" s="322">
        <v>0</v>
      </c>
      <c r="AL175" s="321">
        <v>0</v>
      </c>
      <c r="AM175" s="322">
        <v>0</v>
      </c>
      <c r="AN175" s="321">
        <v>0</v>
      </c>
      <c r="AO175" s="322">
        <v>0</v>
      </c>
      <c r="AP175" s="321">
        <v>0</v>
      </c>
      <c r="AQ175" s="322">
        <v>0</v>
      </c>
      <c r="AR175" s="321">
        <v>0</v>
      </c>
      <c r="AS175" s="322">
        <v>0</v>
      </c>
      <c r="AT175" s="321"/>
      <c r="AU175" s="322"/>
      <c r="AV175" s="321"/>
      <c r="AW175" s="322"/>
      <c r="AX175" s="321">
        <v>0</v>
      </c>
      <c r="AY175" s="322">
        <v>0</v>
      </c>
      <c r="AZ175" s="321">
        <v>0</v>
      </c>
      <c r="BA175" s="322">
        <v>0</v>
      </c>
      <c r="BB175" s="321">
        <v>0</v>
      </c>
      <c r="BC175" s="322">
        <v>0</v>
      </c>
      <c r="BD175" s="321">
        <v>0</v>
      </c>
      <c r="BE175" s="322">
        <v>0</v>
      </c>
      <c r="BF175" s="321">
        <v>0</v>
      </c>
      <c r="BG175" s="322">
        <v>0</v>
      </c>
      <c r="BH175" s="321"/>
      <c r="BI175" s="322"/>
      <c r="BJ175" s="321"/>
      <c r="BK175" s="322"/>
      <c r="BL175" s="321">
        <v>0</v>
      </c>
      <c r="BM175" s="322">
        <v>0</v>
      </c>
      <c r="BN175" s="321">
        <v>0</v>
      </c>
      <c r="BO175" s="322">
        <v>0</v>
      </c>
      <c r="BP175" s="321">
        <v>0</v>
      </c>
      <c r="BQ175" s="322">
        <v>0</v>
      </c>
      <c r="BR175" s="321">
        <v>0</v>
      </c>
      <c r="BS175" s="322">
        <v>0</v>
      </c>
      <c r="BT175" s="321"/>
      <c r="BU175" s="322"/>
      <c r="BV175" s="264">
        <f t="shared" si="69"/>
        <v>0</v>
      </c>
      <c r="BW175" s="264">
        <f t="shared" si="70"/>
        <v>0</v>
      </c>
    </row>
    <row r="176" spans="1:75" s="62" customFormat="1" ht="21.95" customHeight="1" x14ac:dyDescent="0.25">
      <c r="A176" s="344" t="s">
        <v>3312</v>
      </c>
      <c r="B176" s="433" t="s">
        <v>3313</v>
      </c>
      <c r="C176" s="434">
        <v>1</v>
      </c>
      <c r="D176" s="435" t="s">
        <v>3314</v>
      </c>
      <c r="E176" s="345" t="s">
        <v>3315</v>
      </c>
      <c r="F176" s="436" t="s">
        <v>3166</v>
      </c>
      <c r="G176" s="436" t="s">
        <v>3167</v>
      </c>
      <c r="H176" s="437" t="s">
        <v>1518</v>
      </c>
      <c r="I176" s="303" t="s">
        <v>1518</v>
      </c>
      <c r="J176" s="273" t="s">
        <v>3168</v>
      </c>
      <c r="K176" s="274" t="s">
        <v>3169</v>
      </c>
      <c r="L176" s="321">
        <v>0</v>
      </c>
      <c r="M176" s="322">
        <v>0</v>
      </c>
      <c r="N176" s="321">
        <v>0</v>
      </c>
      <c r="O176" s="322">
        <v>0</v>
      </c>
      <c r="P176" s="321">
        <v>0</v>
      </c>
      <c r="Q176" s="322">
        <v>0</v>
      </c>
      <c r="R176" s="321"/>
      <c r="S176" s="322"/>
      <c r="T176" s="321"/>
      <c r="U176" s="322"/>
      <c r="V176" s="321">
        <v>0</v>
      </c>
      <c r="W176" s="322">
        <v>0</v>
      </c>
      <c r="X176" s="321">
        <v>0</v>
      </c>
      <c r="Y176" s="322">
        <v>0</v>
      </c>
      <c r="Z176" s="321">
        <v>0</v>
      </c>
      <c r="AA176" s="322">
        <v>0</v>
      </c>
      <c r="AB176" s="321">
        <v>0</v>
      </c>
      <c r="AC176" s="322">
        <v>0</v>
      </c>
      <c r="AD176" s="321">
        <v>0</v>
      </c>
      <c r="AE176" s="322">
        <v>0</v>
      </c>
      <c r="AF176" s="321"/>
      <c r="AG176" s="322"/>
      <c r="AH176" s="321"/>
      <c r="AI176" s="322"/>
      <c r="AJ176" s="321">
        <v>0</v>
      </c>
      <c r="AK176" s="322">
        <v>0</v>
      </c>
      <c r="AL176" s="321">
        <v>0</v>
      </c>
      <c r="AM176" s="322">
        <v>0</v>
      </c>
      <c r="AN176" s="321">
        <v>0</v>
      </c>
      <c r="AO176" s="322">
        <v>0</v>
      </c>
      <c r="AP176" s="321">
        <v>0</v>
      </c>
      <c r="AQ176" s="322">
        <v>0</v>
      </c>
      <c r="AR176" s="321">
        <v>0</v>
      </c>
      <c r="AS176" s="322">
        <v>0</v>
      </c>
      <c r="AT176" s="321"/>
      <c r="AU176" s="322"/>
      <c r="AV176" s="321"/>
      <c r="AW176" s="322"/>
      <c r="AX176" s="321">
        <v>0</v>
      </c>
      <c r="AY176" s="322">
        <v>0</v>
      </c>
      <c r="AZ176" s="321">
        <v>0</v>
      </c>
      <c r="BA176" s="322">
        <v>0</v>
      </c>
      <c r="BB176" s="321">
        <v>0</v>
      </c>
      <c r="BC176" s="322">
        <v>0</v>
      </c>
      <c r="BD176" s="321">
        <v>0</v>
      </c>
      <c r="BE176" s="322">
        <v>0</v>
      </c>
      <c r="BF176" s="321">
        <v>0</v>
      </c>
      <c r="BG176" s="322">
        <v>0</v>
      </c>
      <c r="BH176" s="321"/>
      <c r="BI176" s="322"/>
      <c r="BJ176" s="321"/>
      <c r="BK176" s="322"/>
      <c r="BL176" s="321">
        <v>0</v>
      </c>
      <c r="BM176" s="322">
        <v>0</v>
      </c>
      <c r="BN176" s="321">
        <v>0</v>
      </c>
      <c r="BO176" s="322">
        <v>0</v>
      </c>
      <c r="BP176" s="321">
        <v>0</v>
      </c>
      <c r="BQ176" s="322">
        <v>0</v>
      </c>
      <c r="BR176" s="321">
        <v>0</v>
      </c>
      <c r="BS176" s="322">
        <v>0</v>
      </c>
      <c r="BT176" s="321"/>
      <c r="BU176" s="322"/>
      <c r="BV176" s="264">
        <f>L176+N176+P176+R176+T176+V176+X176+Z176+AB176+AD176+AF176+AH176+AJ176+AL176+AN176+AP176+AR176+AT176+AV176+AX176+AZ176+BB176+BD176+BF176+BH176+BJ176+BL176+BN176+BP176+BR176+BT176</f>
        <v>0</v>
      </c>
      <c r="BW176" s="264">
        <f>M176+O176+Q176+S176+U176+W176+Y176+AA176+AC176+AE176+AG176+AI176+AK176+AM176+AO176+AQ176+AS176+AU176+AW176+AY176+BA176+BC176+BE176+BG176+BI176+BK176+BM176+BO176+BQ176+BS176+BU176</f>
        <v>0</v>
      </c>
    </row>
    <row r="177" spans="1:75" s="62" customFormat="1" ht="21.95" customHeight="1" x14ac:dyDescent="0.2">
      <c r="A177" s="304" t="s">
        <v>3312</v>
      </c>
      <c r="B177" s="305" t="s">
        <v>3313</v>
      </c>
      <c r="C177" s="272" t="s">
        <v>3170</v>
      </c>
      <c r="D177" s="306" t="s">
        <v>3314</v>
      </c>
      <c r="E177" s="307" t="s">
        <v>3315</v>
      </c>
      <c r="F177" s="308" t="s">
        <v>3166</v>
      </c>
      <c r="G177" s="308" t="s">
        <v>3167</v>
      </c>
      <c r="H177" s="309" t="s">
        <v>1518</v>
      </c>
      <c r="I177" s="310" t="s">
        <v>1518</v>
      </c>
      <c r="J177" s="273" t="s">
        <v>3168</v>
      </c>
      <c r="K177" s="273" t="s">
        <v>3171</v>
      </c>
      <c r="L177" s="319">
        <v>0</v>
      </c>
      <c r="M177" s="320">
        <v>0</v>
      </c>
      <c r="N177" s="319">
        <v>0</v>
      </c>
      <c r="O177" s="320">
        <v>0</v>
      </c>
      <c r="P177" s="319">
        <v>0</v>
      </c>
      <c r="Q177" s="320">
        <v>0</v>
      </c>
      <c r="R177" s="319"/>
      <c r="S177" s="320"/>
      <c r="T177" s="319"/>
      <c r="U177" s="320"/>
      <c r="V177" s="319">
        <v>5</v>
      </c>
      <c r="W177" s="320">
        <v>0</v>
      </c>
      <c r="X177" s="319">
        <v>0</v>
      </c>
      <c r="Y177" s="320">
        <v>0</v>
      </c>
      <c r="Z177" s="319">
        <v>0</v>
      </c>
      <c r="AA177" s="320">
        <v>0</v>
      </c>
      <c r="AB177" s="319">
        <v>0</v>
      </c>
      <c r="AC177" s="320">
        <v>0</v>
      </c>
      <c r="AD177" s="319">
        <v>0</v>
      </c>
      <c r="AE177" s="320">
        <v>0</v>
      </c>
      <c r="AF177" s="319"/>
      <c r="AG177" s="320"/>
      <c r="AH177" s="319"/>
      <c r="AI177" s="320"/>
      <c r="AJ177" s="319">
        <v>5</v>
      </c>
      <c r="AK177" s="320">
        <v>0</v>
      </c>
      <c r="AL177" s="319">
        <v>0</v>
      </c>
      <c r="AM177" s="320">
        <v>0</v>
      </c>
      <c r="AN177" s="319">
        <v>0</v>
      </c>
      <c r="AO177" s="320">
        <v>0</v>
      </c>
      <c r="AP177" s="319">
        <v>0</v>
      </c>
      <c r="AQ177" s="320">
        <v>0</v>
      </c>
      <c r="AR177" s="319">
        <v>0</v>
      </c>
      <c r="AS177" s="320">
        <v>0</v>
      </c>
      <c r="AT177" s="319"/>
      <c r="AU177" s="320"/>
      <c r="AV177" s="319"/>
      <c r="AW177" s="320"/>
      <c r="AX177" s="319">
        <v>5</v>
      </c>
      <c r="AY177" s="320">
        <v>0</v>
      </c>
      <c r="AZ177" s="319">
        <v>0</v>
      </c>
      <c r="BA177" s="320">
        <v>0</v>
      </c>
      <c r="BB177" s="319">
        <v>0</v>
      </c>
      <c r="BC177" s="320">
        <v>0</v>
      </c>
      <c r="BD177" s="319">
        <v>0</v>
      </c>
      <c r="BE177" s="320">
        <v>0</v>
      </c>
      <c r="BF177" s="319">
        <v>0</v>
      </c>
      <c r="BG177" s="320">
        <v>0</v>
      </c>
      <c r="BH177" s="319"/>
      <c r="BI177" s="320"/>
      <c r="BJ177" s="319"/>
      <c r="BK177" s="320"/>
      <c r="BL177" s="319">
        <v>5</v>
      </c>
      <c r="BM177" s="320">
        <v>0</v>
      </c>
      <c r="BN177" s="319">
        <v>0</v>
      </c>
      <c r="BO177" s="320">
        <v>0</v>
      </c>
      <c r="BP177" s="319">
        <v>0</v>
      </c>
      <c r="BQ177" s="320">
        <v>0</v>
      </c>
      <c r="BR177" s="319">
        <v>0</v>
      </c>
      <c r="BS177" s="320">
        <v>0</v>
      </c>
      <c r="BT177" s="319"/>
      <c r="BU177" s="320"/>
      <c r="BV177" s="264">
        <f t="shared" ref="BV177:BV180" si="71">L177+N177+P177+R177+T177+V177+X177+Z177+AB177+AD177+AF177+AH177+AJ177+AL177+AN177+AP177+AR177+AT177+AV177+AX177+AZ177+BB177+BD177+BF177+BH177+BJ177+BL177+BN177+BP177+BR177+BT177</f>
        <v>20</v>
      </c>
      <c r="BW177" s="264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2" customFormat="1" ht="21.95" customHeight="1" x14ac:dyDescent="0.2">
      <c r="A178" s="304" t="s">
        <v>3312</v>
      </c>
      <c r="B178" s="305" t="s">
        <v>3313</v>
      </c>
      <c r="C178" s="311" t="s">
        <v>3170</v>
      </c>
      <c r="D178" s="306" t="s">
        <v>3314</v>
      </c>
      <c r="E178" s="307" t="s">
        <v>3315</v>
      </c>
      <c r="F178" s="308" t="s">
        <v>3166</v>
      </c>
      <c r="G178" s="308" t="s">
        <v>3167</v>
      </c>
      <c r="H178" s="309" t="s">
        <v>1518</v>
      </c>
      <c r="I178" s="310" t="s">
        <v>1518</v>
      </c>
      <c r="J178" s="273" t="s">
        <v>3168</v>
      </c>
      <c r="K178" s="275" t="s">
        <v>3172</v>
      </c>
      <c r="L178" s="319">
        <v>0</v>
      </c>
      <c r="M178" s="320">
        <v>0</v>
      </c>
      <c r="N178" s="319">
        <v>0</v>
      </c>
      <c r="O178" s="320">
        <v>0</v>
      </c>
      <c r="P178" s="319">
        <v>0</v>
      </c>
      <c r="Q178" s="320">
        <v>0</v>
      </c>
      <c r="R178" s="319"/>
      <c r="S178" s="320"/>
      <c r="T178" s="319"/>
      <c r="U178" s="320"/>
      <c r="V178" s="319">
        <v>0</v>
      </c>
      <c r="W178" s="320">
        <v>0</v>
      </c>
      <c r="X178" s="319">
        <v>0</v>
      </c>
      <c r="Y178" s="320">
        <v>0</v>
      </c>
      <c r="Z178" s="319">
        <v>0</v>
      </c>
      <c r="AA178" s="320">
        <v>0</v>
      </c>
      <c r="AB178" s="319">
        <v>0</v>
      </c>
      <c r="AC178" s="320">
        <v>0</v>
      </c>
      <c r="AD178" s="319">
        <v>0</v>
      </c>
      <c r="AE178" s="320">
        <v>0</v>
      </c>
      <c r="AF178" s="319"/>
      <c r="AG178" s="320"/>
      <c r="AH178" s="319"/>
      <c r="AI178" s="320"/>
      <c r="AJ178" s="319">
        <v>0</v>
      </c>
      <c r="AK178" s="320">
        <v>0</v>
      </c>
      <c r="AL178" s="319">
        <v>0</v>
      </c>
      <c r="AM178" s="320">
        <v>0</v>
      </c>
      <c r="AN178" s="319">
        <v>0</v>
      </c>
      <c r="AO178" s="320">
        <v>0</v>
      </c>
      <c r="AP178" s="319">
        <v>0</v>
      </c>
      <c r="AQ178" s="320">
        <v>0</v>
      </c>
      <c r="AR178" s="319">
        <v>0</v>
      </c>
      <c r="AS178" s="320">
        <v>0</v>
      </c>
      <c r="AT178" s="319"/>
      <c r="AU178" s="320"/>
      <c r="AV178" s="319"/>
      <c r="AW178" s="320"/>
      <c r="AX178" s="319">
        <v>0</v>
      </c>
      <c r="AY178" s="320">
        <v>0</v>
      </c>
      <c r="AZ178" s="319">
        <v>0</v>
      </c>
      <c r="BA178" s="320">
        <v>0</v>
      </c>
      <c r="BB178" s="319">
        <v>0</v>
      </c>
      <c r="BC178" s="320">
        <v>0</v>
      </c>
      <c r="BD178" s="319">
        <v>0</v>
      </c>
      <c r="BE178" s="320">
        <v>0</v>
      </c>
      <c r="BF178" s="319">
        <v>0</v>
      </c>
      <c r="BG178" s="320">
        <v>0</v>
      </c>
      <c r="BH178" s="319"/>
      <c r="BI178" s="320"/>
      <c r="BJ178" s="319"/>
      <c r="BK178" s="320"/>
      <c r="BL178" s="319">
        <v>0</v>
      </c>
      <c r="BM178" s="320">
        <v>0</v>
      </c>
      <c r="BN178" s="319">
        <v>0</v>
      </c>
      <c r="BO178" s="320">
        <v>0</v>
      </c>
      <c r="BP178" s="319">
        <v>0</v>
      </c>
      <c r="BQ178" s="320">
        <v>0</v>
      </c>
      <c r="BR178" s="319">
        <v>0</v>
      </c>
      <c r="BS178" s="320">
        <v>0</v>
      </c>
      <c r="BT178" s="319"/>
      <c r="BU178" s="320"/>
      <c r="BV178" s="264">
        <f t="shared" si="71"/>
        <v>0</v>
      </c>
      <c r="BW178" s="264">
        <f t="shared" si="72"/>
        <v>0</v>
      </c>
    </row>
    <row r="179" spans="1:75" s="62" customFormat="1" ht="21.95" customHeight="1" x14ac:dyDescent="0.2">
      <c r="A179" s="304" t="s">
        <v>3312</v>
      </c>
      <c r="B179" s="305" t="s">
        <v>3313</v>
      </c>
      <c r="C179" s="311" t="s">
        <v>3170</v>
      </c>
      <c r="D179" s="306" t="s">
        <v>3314</v>
      </c>
      <c r="E179" s="307" t="s">
        <v>3315</v>
      </c>
      <c r="F179" s="308" t="s">
        <v>3166</v>
      </c>
      <c r="G179" s="308" t="s">
        <v>3167</v>
      </c>
      <c r="H179" s="309" t="s">
        <v>1518</v>
      </c>
      <c r="I179" s="310" t="s">
        <v>1518</v>
      </c>
      <c r="J179" s="273" t="s">
        <v>3168</v>
      </c>
      <c r="K179" s="276" t="s">
        <v>3173</v>
      </c>
      <c r="L179" s="319">
        <v>0</v>
      </c>
      <c r="M179" s="320">
        <v>0</v>
      </c>
      <c r="N179" s="319">
        <v>0</v>
      </c>
      <c r="O179" s="320">
        <v>0</v>
      </c>
      <c r="P179" s="319">
        <v>0</v>
      </c>
      <c r="Q179" s="320">
        <v>0</v>
      </c>
      <c r="R179" s="319"/>
      <c r="S179" s="320"/>
      <c r="T179" s="319"/>
      <c r="U179" s="320"/>
      <c r="V179" s="319">
        <v>0</v>
      </c>
      <c r="W179" s="320">
        <v>0</v>
      </c>
      <c r="X179" s="319">
        <v>0</v>
      </c>
      <c r="Y179" s="320">
        <v>0</v>
      </c>
      <c r="Z179" s="319">
        <v>0</v>
      </c>
      <c r="AA179" s="320">
        <v>0</v>
      </c>
      <c r="AB179" s="319">
        <v>0</v>
      </c>
      <c r="AC179" s="320">
        <v>0</v>
      </c>
      <c r="AD179" s="319">
        <v>0</v>
      </c>
      <c r="AE179" s="320">
        <v>0</v>
      </c>
      <c r="AF179" s="319"/>
      <c r="AG179" s="320"/>
      <c r="AH179" s="319"/>
      <c r="AI179" s="320"/>
      <c r="AJ179" s="319">
        <v>0</v>
      </c>
      <c r="AK179" s="320">
        <v>0</v>
      </c>
      <c r="AL179" s="319">
        <v>0</v>
      </c>
      <c r="AM179" s="320">
        <v>0</v>
      </c>
      <c r="AN179" s="319">
        <v>0</v>
      </c>
      <c r="AO179" s="320">
        <v>0</v>
      </c>
      <c r="AP179" s="319">
        <v>0</v>
      </c>
      <c r="AQ179" s="320">
        <v>0</v>
      </c>
      <c r="AR179" s="319">
        <v>0</v>
      </c>
      <c r="AS179" s="320">
        <v>0</v>
      </c>
      <c r="AT179" s="319"/>
      <c r="AU179" s="320"/>
      <c r="AV179" s="319"/>
      <c r="AW179" s="320"/>
      <c r="AX179" s="319">
        <v>0</v>
      </c>
      <c r="AY179" s="320">
        <v>0</v>
      </c>
      <c r="AZ179" s="319">
        <v>0</v>
      </c>
      <c r="BA179" s="320">
        <v>0</v>
      </c>
      <c r="BB179" s="319">
        <v>0</v>
      </c>
      <c r="BC179" s="320">
        <v>0</v>
      </c>
      <c r="BD179" s="319">
        <v>0</v>
      </c>
      <c r="BE179" s="320">
        <v>0</v>
      </c>
      <c r="BF179" s="319">
        <v>0</v>
      </c>
      <c r="BG179" s="320">
        <v>0</v>
      </c>
      <c r="BH179" s="319"/>
      <c r="BI179" s="320"/>
      <c r="BJ179" s="319"/>
      <c r="BK179" s="320"/>
      <c r="BL179" s="319">
        <v>0</v>
      </c>
      <c r="BM179" s="320">
        <v>0</v>
      </c>
      <c r="BN179" s="319">
        <v>0</v>
      </c>
      <c r="BO179" s="320">
        <v>0</v>
      </c>
      <c r="BP179" s="319">
        <v>0</v>
      </c>
      <c r="BQ179" s="320">
        <v>0</v>
      </c>
      <c r="BR179" s="319">
        <v>0</v>
      </c>
      <c r="BS179" s="320">
        <v>0</v>
      </c>
      <c r="BT179" s="319"/>
      <c r="BU179" s="320"/>
      <c r="BV179" s="264">
        <f t="shared" si="71"/>
        <v>0</v>
      </c>
      <c r="BW179" s="264">
        <f t="shared" si="72"/>
        <v>0</v>
      </c>
    </row>
    <row r="180" spans="1:75" s="62" customFormat="1" ht="21.95" customHeight="1" thickBot="1" x14ac:dyDescent="0.25">
      <c r="A180" s="567" t="s">
        <v>3312</v>
      </c>
      <c r="B180" s="312" t="s">
        <v>3313</v>
      </c>
      <c r="C180" s="313" t="s">
        <v>3170</v>
      </c>
      <c r="D180" s="314" t="s">
        <v>3314</v>
      </c>
      <c r="E180" s="330" t="s">
        <v>3315</v>
      </c>
      <c r="F180" s="315" t="s">
        <v>3166</v>
      </c>
      <c r="G180" s="315" t="s">
        <v>3167</v>
      </c>
      <c r="H180" s="316" t="s">
        <v>1518</v>
      </c>
      <c r="I180" s="568" t="s">
        <v>1518</v>
      </c>
      <c r="J180" s="273" t="s">
        <v>3168</v>
      </c>
      <c r="K180" s="277" t="s">
        <v>53</v>
      </c>
      <c r="L180" s="321">
        <v>0</v>
      </c>
      <c r="M180" s="322">
        <v>0</v>
      </c>
      <c r="N180" s="321">
        <v>0</v>
      </c>
      <c r="O180" s="322">
        <v>0</v>
      </c>
      <c r="P180" s="321">
        <v>0</v>
      </c>
      <c r="Q180" s="322">
        <v>0</v>
      </c>
      <c r="R180" s="321"/>
      <c r="S180" s="322"/>
      <c r="T180" s="321"/>
      <c r="U180" s="322"/>
      <c r="V180" s="321">
        <v>0</v>
      </c>
      <c r="W180" s="322">
        <v>0</v>
      </c>
      <c r="X180" s="321">
        <v>0</v>
      </c>
      <c r="Y180" s="322">
        <v>0</v>
      </c>
      <c r="Z180" s="321">
        <v>0</v>
      </c>
      <c r="AA180" s="322">
        <v>0</v>
      </c>
      <c r="AB180" s="321">
        <v>0</v>
      </c>
      <c r="AC180" s="322">
        <v>0</v>
      </c>
      <c r="AD180" s="321">
        <v>0</v>
      </c>
      <c r="AE180" s="322">
        <v>0</v>
      </c>
      <c r="AF180" s="321"/>
      <c r="AG180" s="322"/>
      <c r="AH180" s="321"/>
      <c r="AI180" s="322"/>
      <c r="AJ180" s="321">
        <v>0</v>
      </c>
      <c r="AK180" s="322">
        <v>0</v>
      </c>
      <c r="AL180" s="321">
        <v>0</v>
      </c>
      <c r="AM180" s="322">
        <v>0</v>
      </c>
      <c r="AN180" s="321">
        <v>0</v>
      </c>
      <c r="AO180" s="322">
        <v>0</v>
      </c>
      <c r="AP180" s="321">
        <v>0</v>
      </c>
      <c r="AQ180" s="322">
        <v>0</v>
      </c>
      <c r="AR180" s="321">
        <v>0</v>
      </c>
      <c r="AS180" s="322">
        <v>0</v>
      </c>
      <c r="AT180" s="321"/>
      <c r="AU180" s="322"/>
      <c r="AV180" s="321"/>
      <c r="AW180" s="322"/>
      <c r="AX180" s="321">
        <v>0</v>
      </c>
      <c r="AY180" s="322">
        <v>0</v>
      </c>
      <c r="AZ180" s="321">
        <v>0</v>
      </c>
      <c r="BA180" s="322">
        <v>0</v>
      </c>
      <c r="BB180" s="321">
        <v>0</v>
      </c>
      <c r="BC180" s="322">
        <v>0</v>
      </c>
      <c r="BD180" s="321">
        <v>0</v>
      </c>
      <c r="BE180" s="322">
        <v>0</v>
      </c>
      <c r="BF180" s="321">
        <v>0</v>
      </c>
      <c r="BG180" s="322">
        <v>0</v>
      </c>
      <c r="BH180" s="321"/>
      <c r="BI180" s="322"/>
      <c r="BJ180" s="321"/>
      <c r="BK180" s="322"/>
      <c r="BL180" s="321">
        <v>0</v>
      </c>
      <c r="BM180" s="322">
        <v>0</v>
      </c>
      <c r="BN180" s="321">
        <v>0</v>
      </c>
      <c r="BO180" s="322">
        <v>0</v>
      </c>
      <c r="BP180" s="321">
        <v>0</v>
      </c>
      <c r="BQ180" s="322">
        <v>0</v>
      </c>
      <c r="BR180" s="321">
        <v>0</v>
      </c>
      <c r="BS180" s="322">
        <v>0</v>
      </c>
      <c r="BT180" s="321"/>
      <c r="BU180" s="322"/>
      <c r="BV180" s="264">
        <f t="shared" si="71"/>
        <v>0</v>
      </c>
      <c r="BW180" s="264">
        <f t="shared" si="72"/>
        <v>0</v>
      </c>
    </row>
    <row r="181" spans="1:75" s="62" customFormat="1" ht="21.95" customHeight="1" x14ac:dyDescent="0.25">
      <c r="A181" s="344" t="s">
        <v>3316</v>
      </c>
      <c r="B181" s="433" t="s">
        <v>3317</v>
      </c>
      <c r="C181" s="434">
        <v>1</v>
      </c>
      <c r="D181" s="435" t="s">
        <v>3318</v>
      </c>
      <c r="E181" s="345" t="s">
        <v>3319</v>
      </c>
      <c r="F181" s="436" t="s">
        <v>3166</v>
      </c>
      <c r="G181" s="436" t="s">
        <v>3167</v>
      </c>
      <c r="H181" s="437" t="s">
        <v>1520</v>
      </c>
      <c r="I181" s="303" t="s">
        <v>1520</v>
      </c>
      <c r="J181" s="273" t="s">
        <v>3168</v>
      </c>
      <c r="K181" s="274" t="s">
        <v>3169</v>
      </c>
      <c r="L181" s="321">
        <v>0</v>
      </c>
      <c r="M181" s="322">
        <v>0</v>
      </c>
      <c r="N181" s="321">
        <v>0</v>
      </c>
      <c r="O181" s="322">
        <v>0</v>
      </c>
      <c r="P181" s="321">
        <v>0</v>
      </c>
      <c r="Q181" s="322">
        <v>0</v>
      </c>
      <c r="R181" s="321"/>
      <c r="S181" s="322"/>
      <c r="T181" s="321"/>
      <c r="U181" s="322"/>
      <c r="V181" s="321">
        <v>0</v>
      </c>
      <c r="W181" s="322">
        <v>0</v>
      </c>
      <c r="X181" s="321">
        <v>0</v>
      </c>
      <c r="Y181" s="322">
        <v>0</v>
      </c>
      <c r="Z181" s="321">
        <v>0</v>
      </c>
      <c r="AA181" s="322">
        <v>0</v>
      </c>
      <c r="AB181" s="321">
        <v>0</v>
      </c>
      <c r="AC181" s="322">
        <v>0</v>
      </c>
      <c r="AD181" s="321">
        <v>0</v>
      </c>
      <c r="AE181" s="322">
        <v>0</v>
      </c>
      <c r="AF181" s="321"/>
      <c r="AG181" s="322"/>
      <c r="AH181" s="321"/>
      <c r="AI181" s="322"/>
      <c r="AJ181" s="321">
        <v>0</v>
      </c>
      <c r="AK181" s="322">
        <v>0</v>
      </c>
      <c r="AL181" s="321">
        <v>0</v>
      </c>
      <c r="AM181" s="322">
        <v>0</v>
      </c>
      <c r="AN181" s="321">
        <v>0</v>
      </c>
      <c r="AO181" s="322">
        <v>0</v>
      </c>
      <c r="AP181" s="321">
        <v>0</v>
      </c>
      <c r="AQ181" s="322">
        <v>0</v>
      </c>
      <c r="AR181" s="321">
        <v>0</v>
      </c>
      <c r="AS181" s="322">
        <v>0</v>
      </c>
      <c r="AT181" s="321"/>
      <c r="AU181" s="322"/>
      <c r="AV181" s="321"/>
      <c r="AW181" s="322"/>
      <c r="AX181" s="321">
        <v>0</v>
      </c>
      <c r="AY181" s="322">
        <v>0</v>
      </c>
      <c r="AZ181" s="321">
        <v>0</v>
      </c>
      <c r="BA181" s="322">
        <v>0</v>
      </c>
      <c r="BB181" s="321">
        <v>0</v>
      </c>
      <c r="BC181" s="322">
        <v>0</v>
      </c>
      <c r="BD181" s="321">
        <v>0</v>
      </c>
      <c r="BE181" s="322">
        <v>0</v>
      </c>
      <c r="BF181" s="321">
        <v>0</v>
      </c>
      <c r="BG181" s="322">
        <v>0</v>
      </c>
      <c r="BH181" s="321"/>
      <c r="BI181" s="322"/>
      <c r="BJ181" s="321"/>
      <c r="BK181" s="322"/>
      <c r="BL181" s="321">
        <v>0</v>
      </c>
      <c r="BM181" s="322">
        <v>0</v>
      </c>
      <c r="BN181" s="321">
        <v>0</v>
      </c>
      <c r="BO181" s="322">
        <v>0</v>
      </c>
      <c r="BP181" s="321">
        <v>0</v>
      </c>
      <c r="BQ181" s="322">
        <v>0</v>
      </c>
      <c r="BR181" s="321">
        <v>0</v>
      </c>
      <c r="BS181" s="322">
        <v>0</v>
      </c>
      <c r="BT181" s="321"/>
      <c r="BU181" s="322"/>
      <c r="BV181" s="264">
        <f>L181+N181+P181+R181+T181+V181+X181+Z181+AB181+AD181+AF181+AH181+AJ181+AL181+AN181+AP181+AR181+AT181+AV181+AX181+AZ181+BB181+BD181+BF181+BH181+BJ181+BL181+BN181+BP181+BR181+BT181</f>
        <v>0</v>
      </c>
      <c r="BW181" s="264">
        <f>M181+O181+Q181+S181+U181+W181+Y181+AA181+AC181+AE181+AG181+AI181+AK181+AM181+AO181+AQ181+AS181+AU181+AW181+AY181+BA181+BC181+BE181+BG181+BI181+BK181+BM181+BO181+BQ181+BS181+BU181</f>
        <v>0</v>
      </c>
    </row>
    <row r="182" spans="1:75" s="62" customFormat="1" ht="21.95" customHeight="1" x14ac:dyDescent="0.2">
      <c r="A182" s="304" t="s">
        <v>3316</v>
      </c>
      <c r="B182" s="305" t="s">
        <v>3317</v>
      </c>
      <c r="C182" s="272" t="s">
        <v>3170</v>
      </c>
      <c r="D182" s="306" t="s">
        <v>3318</v>
      </c>
      <c r="E182" s="307" t="s">
        <v>3319</v>
      </c>
      <c r="F182" s="308" t="s">
        <v>3166</v>
      </c>
      <c r="G182" s="308" t="s">
        <v>3167</v>
      </c>
      <c r="H182" s="309" t="s">
        <v>1520</v>
      </c>
      <c r="I182" s="310" t="s">
        <v>1520</v>
      </c>
      <c r="J182" s="273" t="s">
        <v>3168</v>
      </c>
      <c r="K182" s="273" t="s">
        <v>3171</v>
      </c>
      <c r="L182" s="319">
        <v>0</v>
      </c>
      <c r="M182" s="320">
        <v>0</v>
      </c>
      <c r="N182" s="319">
        <v>0</v>
      </c>
      <c r="O182" s="320">
        <v>0</v>
      </c>
      <c r="P182" s="319">
        <v>0</v>
      </c>
      <c r="Q182" s="320">
        <v>0</v>
      </c>
      <c r="R182" s="319"/>
      <c r="S182" s="320"/>
      <c r="T182" s="319"/>
      <c r="U182" s="320"/>
      <c r="V182" s="319">
        <v>0</v>
      </c>
      <c r="W182" s="320">
        <v>0</v>
      </c>
      <c r="X182" s="319">
        <v>0</v>
      </c>
      <c r="Y182" s="320">
        <v>0</v>
      </c>
      <c r="Z182" s="319">
        <v>0</v>
      </c>
      <c r="AA182" s="320">
        <v>0</v>
      </c>
      <c r="AB182" s="319">
        <v>0</v>
      </c>
      <c r="AC182" s="320">
        <v>0</v>
      </c>
      <c r="AD182" s="319">
        <v>0</v>
      </c>
      <c r="AE182" s="320">
        <v>0</v>
      </c>
      <c r="AF182" s="319"/>
      <c r="AG182" s="320"/>
      <c r="AH182" s="319"/>
      <c r="AI182" s="320"/>
      <c r="AJ182" s="319">
        <v>0</v>
      </c>
      <c r="AK182" s="320">
        <v>0</v>
      </c>
      <c r="AL182" s="319">
        <v>0</v>
      </c>
      <c r="AM182" s="320">
        <v>0</v>
      </c>
      <c r="AN182" s="319">
        <v>0</v>
      </c>
      <c r="AO182" s="320">
        <v>0</v>
      </c>
      <c r="AP182" s="319">
        <v>0</v>
      </c>
      <c r="AQ182" s="320">
        <v>0</v>
      </c>
      <c r="AR182" s="319">
        <v>0</v>
      </c>
      <c r="AS182" s="320">
        <v>0</v>
      </c>
      <c r="AT182" s="319"/>
      <c r="AU182" s="320"/>
      <c r="AV182" s="319"/>
      <c r="AW182" s="320"/>
      <c r="AX182" s="319">
        <v>0</v>
      </c>
      <c r="AY182" s="320">
        <v>0</v>
      </c>
      <c r="AZ182" s="319">
        <v>0</v>
      </c>
      <c r="BA182" s="320">
        <v>0</v>
      </c>
      <c r="BB182" s="319">
        <v>0</v>
      </c>
      <c r="BC182" s="320">
        <v>0</v>
      </c>
      <c r="BD182" s="319">
        <v>0</v>
      </c>
      <c r="BE182" s="320">
        <v>0</v>
      </c>
      <c r="BF182" s="319">
        <v>0</v>
      </c>
      <c r="BG182" s="320">
        <v>0</v>
      </c>
      <c r="BH182" s="319"/>
      <c r="BI182" s="320"/>
      <c r="BJ182" s="319"/>
      <c r="BK182" s="320"/>
      <c r="BL182" s="319">
        <v>0</v>
      </c>
      <c r="BM182" s="320">
        <v>0</v>
      </c>
      <c r="BN182" s="319">
        <v>0</v>
      </c>
      <c r="BO182" s="320">
        <v>0</v>
      </c>
      <c r="BP182" s="319">
        <v>0</v>
      </c>
      <c r="BQ182" s="320">
        <v>0</v>
      </c>
      <c r="BR182" s="319">
        <v>0</v>
      </c>
      <c r="BS182" s="320">
        <v>0</v>
      </c>
      <c r="BT182" s="319"/>
      <c r="BU182" s="320"/>
      <c r="BV182" s="264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264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2" customFormat="1" ht="21.95" customHeight="1" x14ac:dyDescent="0.2">
      <c r="A183" s="304" t="s">
        <v>3316</v>
      </c>
      <c r="B183" s="305" t="s">
        <v>3317</v>
      </c>
      <c r="C183" s="311" t="s">
        <v>3170</v>
      </c>
      <c r="D183" s="306" t="s">
        <v>3318</v>
      </c>
      <c r="E183" s="307" t="s">
        <v>3319</v>
      </c>
      <c r="F183" s="308" t="s">
        <v>3166</v>
      </c>
      <c r="G183" s="308" t="s">
        <v>3167</v>
      </c>
      <c r="H183" s="309" t="s">
        <v>1520</v>
      </c>
      <c r="I183" s="310" t="s">
        <v>1520</v>
      </c>
      <c r="J183" s="273" t="s">
        <v>3168</v>
      </c>
      <c r="K183" s="275" t="s">
        <v>3172</v>
      </c>
      <c r="L183" s="319">
        <v>0</v>
      </c>
      <c r="M183" s="320">
        <v>0</v>
      </c>
      <c r="N183" s="319">
        <v>0</v>
      </c>
      <c r="O183" s="320">
        <v>0</v>
      </c>
      <c r="P183" s="319">
        <v>0</v>
      </c>
      <c r="Q183" s="320">
        <v>0</v>
      </c>
      <c r="R183" s="319"/>
      <c r="S183" s="320"/>
      <c r="T183" s="319"/>
      <c r="U183" s="320"/>
      <c r="V183" s="319">
        <v>0</v>
      </c>
      <c r="W183" s="320">
        <v>0</v>
      </c>
      <c r="X183" s="319">
        <v>0</v>
      </c>
      <c r="Y183" s="320">
        <v>0</v>
      </c>
      <c r="Z183" s="319">
        <v>0</v>
      </c>
      <c r="AA183" s="320">
        <v>0</v>
      </c>
      <c r="AB183" s="319">
        <v>0</v>
      </c>
      <c r="AC183" s="320">
        <v>0</v>
      </c>
      <c r="AD183" s="319">
        <v>0</v>
      </c>
      <c r="AE183" s="320">
        <v>0</v>
      </c>
      <c r="AF183" s="319"/>
      <c r="AG183" s="320"/>
      <c r="AH183" s="319"/>
      <c r="AI183" s="320"/>
      <c r="AJ183" s="319">
        <v>0</v>
      </c>
      <c r="AK183" s="320">
        <v>0</v>
      </c>
      <c r="AL183" s="319">
        <v>0</v>
      </c>
      <c r="AM183" s="320">
        <v>0</v>
      </c>
      <c r="AN183" s="319">
        <v>0</v>
      </c>
      <c r="AO183" s="320">
        <v>0</v>
      </c>
      <c r="AP183" s="319">
        <v>0</v>
      </c>
      <c r="AQ183" s="320">
        <v>0</v>
      </c>
      <c r="AR183" s="319">
        <v>0</v>
      </c>
      <c r="AS183" s="320">
        <v>0</v>
      </c>
      <c r="AT183" s="319"/>
      <c r="AU183" s="320"/>
      <c r="AV183" s="319"/>
      <c r="AW183" s="320"/>
      <c r="AX183" s="319">
        <v>0</v>
      </c>
      <c r="AY183" s="320">
        <v>0</v>
      </c>
      <c r="AZ183" s="319">
        <v>0</v>
      </c>
      <c r="BA183" s="320">
        <v>0</v>
      </c>
      <c r="BB183" s="319">
        <v>0</v>
      </c>
      <c r="BC183" s="320">
        <v>0</v>
      </c>
      <c r="BD183" s="319">
        <v>0</v>
      </c>
      <c r="BE183" s="320">
        <v>0</v>
      </c>
      <c r="BF183" s="319">
        <v>0</v>
      </c>
      <c r="BG183" s="320">
        <v>0</v>
      </c>
      <c r="BH183" s="319"/>
      <c r="BI183" s="320"/>
      <c r="BJ183" s="319"/>
      <c r="BK183" s="320"/>
      <c r="BL183" s="319">
        <v>0</v>
      </c>
      <c r="BM183" s="320">
        <v>0</v>
      </c>
      <c r="BN183" s="319">
        <v>0</v>
      </c>
      <c r="BO183" s="320">
        <v>0</v>
      </c>
      <c r="BP183" s="319">
        <v>0</v>
      </c>
      <c r="BQ183" s="320">
        <v>0</v>
      </c>
      <c r="BR183" s="319">
        <v>0</v>
      </c>
      <c r="BS183" s="320">
        <v>0</v>
      </c>
      <c r="BT183" s="319"/>
      <c r="BU183" s="320"/>
      <c r="BV183" s="264">
        <f t="shared" si="73"/>
        <v>0</v>
      </c>
      <c r="BW183" s="264">
        <f t="shared" si="74"/>
        <v>0</v>
      </c>
    </row>
    <row r="184" spans="1:75" s="62" customFormat="1" ht="21.95" customHeight="1" x14ac:dyDescent="0.2">
      <c r="A184" s="304" t="s">
        <v>3316</v>
      </c>
      <c r="B184" s="305" t="s">
        <v>3317</v>
      </c>
      <c r="C184" s="311" t="s">
        <v>3170</v>
      </c>
      <c r="D184" s="306" t="s">
        <v>3318</v>
      </c>
      <c r="E184" s="307" t="s">
        <v>3319</v>
      </c>
      <c r="F184" s="308" t="s">
        <v>3166</v>
      </c>
      <c r="G184" s="308" t="s">
        <v>3167</v>
      </c>
      <c r="H184" s="309" t="s">
        <v>1520</v>
      </c>
      <c r="I184" s="310" t="s">
        <v>1520</v>
      </c>
      <c r="J184" s="273" t="s">
        <v>3168</v>
      </c>
      <c r="K184" s="276" t="s">
        <v>3173</v>
      </c>
      <c r="L184" s="319">
        <v>0</v>
      </c>
      <c r="M184" s="320">
        <v>0</v>
      </c>
      <c r="N184" s="319">
        <v>0</v>
      </c>
      <c r="O184" s="320">
        <v>0</v>
      </c>
      <c r="P184" s="319">
        <v>0</v>
      </c>
      <c r="Q184" s="320">
        <v>0</v>
      </c>
      <c r="R184" s="319"/>
      <c r="S184" s="320"/>
      <c r="T184" s="319"/>
      <c r="U184" s="320"/>
      <c r="V184" s="319">
        <v>0</v>
      </c>
      <c r="W184" s="320">
        <v>0</v>
      </c>
      <c r="X184" s="319">
        <v>0</v>
      </c>
      <c r="Y184" s="320">
        <v>0</v>
      </c>
      <c r="Z184" s="319">
        <v>0</v>
      </c>
      <c r="AA184" s="320">
        <v>0</v>
      </c>
      <c r="AB184" s="319">
        <v>0</v>
      </c>
      <c r="AC184" s="320">
        <v>0</v>
      </c>
      <c r="AD184" s="319">
        <v>0</v>
      </c>
      <c r="AE184" s="320">
        <v>0</v>
      </c>
      <c r="AF184" s="319"/>
      <c r="AG184" s="320"/>
      <c r="AH184" s="319"/>
      <c r="AI184" s="320"/>
      <c r="AJ184" s="319">
        <v>0</v>
      </c>
      <c r="AK184" s="320">
        <v>0</v>
      </c>
      <c r="AL184" s="319">
        <v>0</v>
      </c>
      <c r="AM184" s="320">
        <v>0</v>
      </c>
      <c r="AN184" s="319">
        <v>0</v>
      </c>
      <c r="AO184" s="320">
        <v>0</v>
      </c>
      <c r="AP184" s="319">
        <v>0</v>
      </c>
      <c r="AQ184" s="320">
        <v>0</v>
      </c>
      <c r="AR184" s="319">
        <v>0</v>
      </c>
      <c r="AS184" s="320">
        <v>0</v>
      </c>
      <c r="AT184" s="319"/>
      <c r="AU184" s="320"/>
      <c r="AV184" s="319"/>
      <c r="AW184" s="320"/>
      <c r="AX184" s="319">
        <v>0</v>
      </c>
      <c r="AY184" s="320">
        <v>0</v>
      </c>
      <c r="AZ184" s="319">
        <v>0</v>
      </c>
      <c r="BA184" s="320">
        <v>0</v>
      </c>
      <c r="BB184" s="319">
        <v>0</v>
      </c>
      <c r="BC184" s="320">
        <v>0</v>
      </c>
      <c r="BD184" s="319">
        <v>0</v>
      </c>
      <c r="BE184" s="320">
        <v>0</v>
      </c>
      <c r="BF184" s="319">
        <v>0</v>
      </c>
      <c r="BG184" s="320">
        <v>0</v>
      </c>
      <c r="BH184" s="319"/>
      <c r="BI184" s="320"/>
      <c r="BJ184" s="319"/>
      <c r="BK184" s="320"/>
      <c r="BL184" s="319">
        <v>0</v>
      </c>
      <c r="BM184" s="320">
        <v>0</v>
      </c>
      <c r="BN184" s="319">
        <v>0</v>
      </c>
      <c r="BO184" s="320">
        <v>0</v>
      </c>
      <c r="BP184" s="319">
        <v>0</v>
      </c>
      <c r="BQ184" s="320">
        <v>0</v>
      </c>
      <c r="BR184" s="319">
        <v>0</v>
      </c>
      <c r="BS184" s="320">
        <v>0</v>
      </c>
      <c r="BT184" s="319"/>
      <c r="BU184" s="320"/>
      <c r="BV184" s="264">
        <f t="shared" si="73"/>
        <v>0</v>
      </c>
      <c r="BW184" s="264">
        <f t="shared" si="74"/>
        <v>0</v>
      </c>
    </row>
    <row r="185" spans="1:75" s="62" customFormat="1" ht="21.95" customHeight="1" thickBot="1" x14ac:dyDescent="0.25">
      <c r="A185" s="567" t="s">
        <v>3316</v>
      </c>
      <c r="B185" s="312" t="s">
        <v>3317</v>
      </c>
      <c r="C185" s="313" t="s">
        <v>3170</v>
      </c>
      <c r="D185" s="314" t="s">
        <v>3318</v>
      </c>
      <c r="E185" s="330" t="s">
        <v>3319</v>
      </c>
      <c r="F185" s="315" t="s">
        <v>3166</v>
      </c>
      <c r="G185" s="315" t="s">
        <v>3167</v>
      </c>
      <c r="H185" s="316" t="s">
        <v>1520</v>
      </c>
      <c r="I185" s="568" t="s">
        <v>1520</v>
      </c>
      <c r="J185" s="273" t="s">
        <v>3168</v>
      </c>
      <c r="K185" s="277" t="s">
        <v>53</v>
      </c>
      <c r="L185" s="321">
        <v>0</v>
      </c>
      <c r="M185" s="322">
        <v>0</v>
      </c>
      <c r="N185" s="321">
        <v>0</v>
      </c>
      <c r="O185" s="322">
        <v>0</v>
      </c>
      <c r="P185" s="321">
        <v>0</v>
      </c>
      <c r="Q185" s="322">
        <v>0</v>
      </c>
      <c r="R185" s="321"/>
      <c r="S185" s="322"/>
      <c r="T185" s="321"/>
      <c r="U185" s="322"/>
      <c r="V185" s="321">
        <v>0</v>
      </c>
      <c r="W185" s="322">
        <v>0</v>
      </c>
      <c r="X185" s="321">
        <v>0</v>
      </c>
      <c r="Y185" s="322">
        <v>0</v>
      </c>
      <c r="Z185" s="321">
        <v>0</v>
      </c>
      <c r="AA185" s="322">
        <v>0</v>
      </c>
      <c r="AB185" s="321">
        <v>0</v>
      </c>
      <c r="AC185" s="322">
        <v>0</v>
      </c>
      <c r="AD185" s="321">
        <v>0</v>
      </c>
      <c r="AE185" s="322">
        <v>0</v>
      </c>
      <c r="AF185" s="321"/>
      <c r="AG185" s="322"/>
      <c r="AH185" s="321"/>
      <c r="AI185" s="322"/>
      <c r="AJ185" s="321">
        <v>0</v>
      </c>
      <c r="AK185" s="322">
        <v>0</v>
      </c>
      <c r="AL185" s="321">
        <v>0</v>
      </c>
      <c r="AM185" s="322">
        <v>0</v>
      </c>
      <c r="AN185" s="321">
        <v>0</v>
      </c>
      <c r="AO185" s="322">
        <v>0</v>
      </c>
      <c r="AP185" s="321">
        <v>0</v>
      </c>
      <c r="AQ185" s="322">
        <v>0</v>
      </c>
      <c r="AR185" s="321">
        <v>0</v>
      </c>
      <c r="AS185" s="322">
        <v>0</v>
      </c>
      <c r="AT185" s="321"/>
      <c r="AU185" s="322"/>
      <c r="AV185" s="321"/>
      <c r="AW185" s="322"/>
      <c r="AX185" s="321">
        <v>0</v>
      </c>
      <c r="AY185" s="322">
        <v>0</v>
      </c>
      <c r="AZ185" s="321">
        <v>0</v>
      </c>
      <c r="BA185" s="322">
        <v>0</v>
      </c>
      <c r="BB185" s="321">
        <v>0</v>
      </c>
      <c r="BC185" s="322">
        <v>0</v>
      </c>
      <c r="BD185" s="321">
        <v>0</v>
      </c>
      <c r="BE185" s="322">
        <v>0</v>
      </c>
      <c r="BF185" s="321">
        <v>0</v>
      </c>
      <c r="BG185" s="322">
        <v>0</v>
      </c>
      <c r="BH185" s="321"/>
      <c r="BI185" s="322"/>
      <c r="BJ185" s="321"/>
      <c r="BK185" s="322"/>
      <c r="BL185" s="321">
        <v>0</v>
      </c>
      <c r="BM185" s="322">
        <v>0</v>
      </c>
      <c r="BN185" s="321">
        <v>0</v>
      </c>
      <c r="BO185" s="322">
        <v>0</v>
      </c>
      <c r="BP185" s="321">
        <v>0</v>
      </c>
      <c r="BQ185" s="322">
        <v>0</v>
      </c>
      <c r="BR185" s="321">
        <v>0</v>
      </c>
      <c r="BS185" s="322">
        <v>0</v>
      </c>
      <c r="BT185" s="321"/>
      <c r="BU185" s="322"/>
      <c r="BV185" s="264">
        <f t="shared" si="73"/>
        <v>0</v>
      </c>
      <c r="BW185" s="264">
        <f t="shared" si="74"/>
        <v>0</v>
      </c>
    </row>
    <row r="186" spans="1:75" s="62" customFormat="1" ht="21.95" customHeight="1" x14ac:dyDescent="0.25">
      <c r="A186" s="344" t="s">
        <v>3320</v>
      </c>
      <c r="B186" s="433" t="s">
        <v>3321</v>
      </c>
      <c r="C186" s="434">
        <v>1</v>
      </c>
      <c r="D186" s="435" t="s">
        <v>3322</v>
      </c>
      <c r="E186" s="345" t="s">
        <v>3323</v>
      </c>
      <c r="F186" s="436" t="s">
        <v>3166</v>
      </c>
      <c r="G186" s="436" t="s">
        <v>3167</v>
      </c>
      <c r="H186" s="437" t="s">
        <v>1526</v>
      </c>
      <c r="I186" s="303" t="s">
        <v>1526</v>
      </c>
      <c r="J186" s="273" t="s">
        <v>3168</v>
      </c>
      <c r="K186" s="274" t="s">
        <v>3169</v>
      </c>
      <c r="L186" s="321">
        <v>0</v>
      </c>
      <c r="M186" s="322">
        <v>0</v>
      </c>
      <c r="N186" s="321">
        <v>0</v>
      </c>
      <c r="O186" s="322">
        <v>0</v>
      </c>
      <c r="P186" s="321">
        <v>0</v>
      </c>
      <c r="Q186" s="322">
        <v>0</v>
      </c>
      <c r="R186" s="321"/>
      <c r="S186" s="322"/>
      <c r="T186" s="321"/>
      <c r="U186" s="322"/>
      <c r="V186" s="321">
        <v>0</v>
      </c>
      <c r="W186" s="322">
        <v>0</v>
      </c>
      <c r="X186" s="321">
        <v>0</v>
      </c>
      <c r="Y186" s="322">
        <v>0</v>
      </c>
      <c r="Z186" s="321">
        <v>0</v>
      </c>
      <c r="AA186" s="322">
        <v>0</v>
      </c>
      <c r="AB186" s="321">
        <v>0</v>
      </c>
      <c r="AC186" s="322">
        <v>0</v>
      </c>
      <c r="AD186" s="321">
        <v>0</v>
      </c>
      <c r="AE186" s="322">
        <v>0</v>
      </c>
      <c r="AF186" s="321"/>
      <c r="AG186" s="322"/>
      <c r="AH186" s="321"/>
      <c r="AI186" s="322"/>
      <c r="AJ186" s="321">
        <v>0</v>
      </c>
      <c r="AK186" s="322">
        <v>0</v>
      </c>
      <c r="AL186" s="321">
        <v>0</v>
      </c>
      <c r="AM186" s="322">
        <v>0</v>
      </c>
      <c r="AN186" s="321">
        <v>0</v>
      </c>
      <c r="AO186" s="322">
        <v>0</v>
      </c>
      <c r="AP186" s="321">
        <v>0</v>
      </c>
      <c r="AQ186" s="322">
        <v>0</v>
      </c>
      <c r="AR186" s="321">
        <v>0</v>
      </c>
      <c r="AS186" s="322">
        <v>0</v>
      </c>
      <c r="AT186" s="321"/>
      <c r="AU186" s="322"/>
      <c r="AV186" s="321"/>
      <c r="AW186" s="322"/>
      <c r="AX186" s="321">
        <v>0</v>
      </c>
      <c r="AY186" s="322">
        <v>0</v>
      </c>
      <c r="AZ186" s="321">
        <v>0</v>
      </c>
      <c r="BA186" s="322">
        <v>0</v>
      </c>
      <c r="BB186" s="321">
        <v>0</v>
      </c>
      <c r="BC186" s="322">
        <v>0</v>
      </c>
      <c r="BD186" s="321">
        <v>0</v>
      </c>
      <c r="BE186" s="322">
        <v>0</v>
      </c>
      <c r="BF186" s="321">
        <v>0</v>
      </c>
      <c r="BG186" s="322">
        <v>0</v>
      </c>
      <c r="BH186" s="321"/>
      <c r="BI186" s="322"/>
      <c r="BJ186" s="321"/>
      <c r="BK186" s="322"/>
      <c r="BL186" s="321">
        <v>0</v>
      </c>
      <c r="BM186" s="322">
        <v>0</v>
      </c>
      <c r="BN186" s="321">
        <v>0</v>
      </c>
      <c r="BO186" s="322">
        <v>0</v>
      </c>
      <c r="BP186" s="321">
        <v>0</v>
      </c>
      <c r="BQ186" s="322">
        <v>0</v>
      </c>
      <c r="BR186" s="321">
        <v>0</v>
      </c>
      <c r="BS186" s="322">
        <v>0</v>
      </c>
      <c r="BT186" s="321"/>
      <c r="BU186" s="322"/>
      <c r="BV186" s="264">
        <f>L186+N186+P186+R186+T186+V186+X186+Z186+AB186+AD186+AF186+AH186+AJ186+AL186+AN186+AP186+AR186+AT186+AV186+AX186+AZ186+BB186+BD186+BF186+BH186+BJ186+BL186+BN186+BP186+BR186+BT186</f>
        <v>0</v>
      </c>
      <c r="BW186" s="264">
        <f>M186+O186+Q186+S186+U186+W186+Y186+AA186+AC186+AE186+AG186+AI186+AK186+AM186+AO186+AQ186+AS186+AU186+AW186+AY186+BA186+BC186+BE186+BG186+BI186+BK186+BM186+BO186+BQ186+BS186+BU186</f>
        <v>0</v>
      </c>
    </row>
    <row r="187" spans="1:75" s="62" customFormat="1" ht="21.95" customHeight="1" x14ac:dyDescent="0.2">
      <c r="A187" s="304" t="s">
        <v>3320</v>
      </c>
      <c r="B187" s="305" t="s">
        <v>3321</v>
      </c>
      <c r="C187" s="272" t="s">
        <v>3170</v>
      </c>
      <c r="D187" s="306" t="s">
        <v>3322</v>
      </c>
      <c r="E187" s="307" t="s">
        <v>3323</v>
      </c>
      <c r="F187" s="308" t="s">
        <v>3166</v>
      </c>
      <c r="G187" s="308" t="s">
        <v>3167</v>
      </c>
      <c r="H187" s="309" t="s">
        <v>1526</v>
      </c>
      <c r="I187" s="310" t="s">
        <v>1526</v>
      </c>
      <c r="J187" s="273" t="s">
        <v>3168</v>
      </c>
      <c r="K187" s="273" t="s">
        <v>3171</v>
      </c>
      <c r="L187" s="319">
        <v>0</v>
      </c>
      <c r="M187" s="320">
        <v>0</v>
      </c>
      <c r="N187" s="319">
        <v>0</v>
      </c>
      <c r="O187" s="320">
        <v>0</v>
      </c>
      <c r="P187" s="319">
        <v>0</v>
      </c>
      <c r="Q187" s="320">
        <v>0</v>
      </c>
      <c r="R187" s="319"/>
      <c r="S187" s="320"/>
      <c r="T187" s="319"/>
      <c r="U187" s="320"/>
      <c r="V187" s="319">
        <v>0</v>
      </c>
      <c r="W187" s="320">
        <v>0</v>
      </c>
      <c r="X187" s="319">
        <v>0</v>
      </c>
      <c r="Y187" s="320">
        <v>0</v>
      </c>
      <c r="Z187" s="319">
        <v>0</v>
      </c>
      <c r="AA187" s="320">
        <v>0</v>
      </c>
      <c r="AB187" s="319">
        <v>0</v>
      </c>
      <c r="AC187" s="320">
        <v>0</v>
      </c>
      <c r="AD187" s="319">
        <v>0</v>
      </c>
      <c r="AE187" s="320">
        <v>0</v>
      </c>
      <c r="AF187" s="319"/>
      <c r="AG187" s="320"/>
      <c r="AH187" s="319"/>
      <c r="AI187" s="320"/>
      <c r="AJ187" s="319">
        <v>0</v>
      </c>
      <c r="AK187" s="320">
        <v>0</v>
      </c>
      <c r="AL187" s="319">
        <v>0</v>
      </c>
      <c r="AM187" s="320">
        <v>0</v>
      </c>
      <c r="AN187" s="319">
        <v>0</v>
      </c>
      <c r="AO187" s="320">
        <v>0</v>
      </c>
      <c r="AP187" s="319">
        <v>0</v>
      </c>
      <c r="AQ187" s="320">
        <v>0</v>
      </c>
      <c r="AR187" s="319">
        <v>0</v>
      </c>
      <c r="AS187" s="320">
        <v>0</v>
      </c>
      <c r="AT187" s="319"/>
      <c r="AU187" s="320"/>
      <c r="AV187" s="319"/>
      <c r="AW187" s="320"/>
      <c r="AX187" s="319">
        <v>0</v>
      </c>
      <c r="AY187" s="320">
        <v>0</v>
      </c>
      <c r="AZ187" s="319">
        <v>0</v>
      </c>
      <c r="BA187" s="320">
        <v>0</v>
      </c>
      <c r="BB187" s="319">
        <v>0</v>
      </c>
      <c r="BC187" s="320">
        <v>0</v>
      </c>
      <c r="BD187" s="319">
        <v>0</v>
      </c>
      <c r="BE187" s="320">
        <v>0</v>
      </c>
      <c r="BF187" s="319">
        <v>0</v>
      </c>
      <c r="BG187" s="320">
        <v>0</v>
      </c>
      <c r="BH187" s="319"/>
      <c r="BI187" s="320"/>
      <c r="BJ187" s="319"/>
      <c r="BK187" s="320"/>
      <c r="BL187" s="319">
        <v>0</v>
      </c>
      <c r="BM187" s="320">
        <v>0</v>
      </c>
      <c r="BN187" s="319">
        <v>0</v>
      </c>
      <c r="BO187" s="320">
        <v>0</v>
      </c>
      <c r="BP187" s="319">
        <v>0</v>
      </c>
      <c r="BQ187" s="320">
        <v>0</v>
      </c>
      <c r="BR187" s="319">
        <v>0</v>
      </c>
      <c r="BS187" s="320">
        <v>0</v>
      </c>
      <c r="BT187" s="319"/>
      <c r="BU187" s="320"/>
      <c r="BV187" s="264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264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2" customFormat="1" ht="21.95" customHeight="1" x14ac:dyDescent="0.2">
      <c r="A188" s="304" t="s">
        <v>3320</v>
      </c>
      <c r="B188" s="305" t="s">
        <v>3321</v>
      </c>
      <c r="C188" s="311" t="s">
        <v>3170</v>
      </c>
      <c r="D188" s="306" t="s">
        <v>3322</v>
      </c>
      <c r="E188" s="307" t="s">
        <v>3323</v>
      </c>
      <c r="F188" s="308" t="s">
        <v>3166</v>
      </c>
      <c r="G188" s="308" t="s">
        <v>3167</v>
      </c>
      <c r="H188" s="309" t="s">
        <v>1526</v>
      </c>
      <c r="I188" s="310" t="s">
        <v>1526</v>
      </c>
      <c r="J188" s="273" t="s">
        <v>3168</v>
      </c>
      <c r="K188" s="275" t="s">
        <v>3172</v>
      </c>
      <c r="L188" s="319">
        <v>0</v>
      </c>
      <c r="M188" s="320">
        <v>0</v>
      </c>
      <c r="N188" s="319">
        <v>0</v>
      </c>
      <c r="O188" s="320">
        <v>0</v>
      </c>
      <c r="P188" s="319">
        <v>0</v>
      </c>
      <c r="Q188" s="320">
        <v>0</v>
      </c>
      <c r="R188" s="319"/>
      <c r="S188" s="320"/>
      <c r="T188" s="319"/>
      <c r="U188" s="320"/>
      <c r="V188" s="319">
        <v>0</v>
      </c>
      <c r="W188" s="320">
        <v>0</v>
      </c>
      <c r="X188" s="319">
        <v>0</v>
      </c>
      <c r="Y188" s="320">
        <v>0</v>
      </c>
      <c r="Z188" s="319">
        <v>0</v>
      </c>
      <c r="AA188" s="320">
        <v>0</v>
      </c>
      <c r="AB188" s="319">
        <v>0</v>
      </c>
      <c r="AC188" s="320">
        <v>0</v>
      </c>
      <c r="AD188" s="319">
        <v>0</v>
      </c>
      <c r="AE188" s="320">
        <v>0</v>
      </c>
      <c r="AF188" s="319"/>
      <c r="AG188" s="320"/>
      <c r="AH188" s="319"/>
      <c r="AI188" s="320"/>
      <c r="AJ188" s="319">
        <v>0</v>
      </c>
      <c r="AK188" s="320">
        <v>0</v>
      </c>
      <c r="AL188" s="319">
        <v>0</v>
      </c>
      <c r="AM188" s="320">
        <v>0</v>
      </c>
      <c r="AN188" s="319">
        <v>0</v>
      </c>
      <c r="AO188" s="320">
        <v>0</v>
      </c>
      <c r="AP188" s="319">
        <v>0</v>
      </c>
      <c r="AQ188" s="320">
        <v>0</v>
      </c>
      <c r="AR188" s="319">
        <v>0</v>
      </c>
      <c r="AS188" s="320">
        <v>0</v>
      </c>
      <c r="AT188" s="319"/>
      <c r="AU188" s="320"/>
      <c r="AV188" s="319"/>
      <c r="AW188" s="320"/>
      <c r="AX188" s="319">
        <v>0</v>
      </c>
      <c r="AY188" s="320">
        <v>0</v>
      </c>
      <c r="AZ188" s="319">
        <v>0</v>
      </c>
      <c r="BA188" s="320">
        <v>0</v>
      </c>
      <c r="BB188" s="319">
        <v>0</v>
      </c>
      <c r="BC188" s="320">
        <v>0</v>
      </c>
      <c r="BD188" s="319">
        <v>0</v>
      </c>
      <c r="BE188" s="320">
        <v>0</v>
      </c>
      <c r="BF188" s="319">
        <v>0</v>
      </c>
      <c r="BG188" s="320">
        <v>0</v>
      </c>
      <c r="BH188" s="319"/>
      <c r="BI188" s="320"/>
      <c r="BJ188" s="319"/>
      <c r="BK188" s="320"/>
      <c r="BL188" s="319">
        <v>0</v>
      </c>
      <c r="BM188" s="320">
        <v>0</v>
      </c>
      <c r="BN188" s="319">
        <v>0</v>
      </c>
      <c r="BO188" s="320">
        <v>0</v>
      </c>
      <c r="BP188" s="319">
        <v>0</v>
      </c>
      <c r="BQ188" s="320">
        <v>0</v>
      </c>
      <c r="BR188" s="319">
        <v>0</v>
      </c>
      <c r="BS188" s="320">
        <v>0</v>
      </c>
      <c r="BT188" s="319"/>
      <c r="BU188" s="320"/>
      <c r="BV188" s="264">
        <f t="shared" si="75"/>
        <v>0</v>
      </c>
      <c r="BW188" s="264">
        <f t="shared" si="76"/>
        <v>0</v>
      </c>
    </row>
    <row r="189" spans="1:75" s="62" customFormat="1" ht="21.95" customHeight="1" x14ac:dyDescent="0.2">
      <c r="A189" s="304" t="s">
        <v>3320</v>
      </c>
      <c r="B189" s="305" t="s">
        <v>3321</v>
      </c>
      <c r="C189" s="311" t="s">
        <v>3170</v>
      </c>
      <c r="D189" s="306" t="s">
        <v>3322</v>
      </c>
      <c r="E189" s="307" t="s">
        <v>3323</v>
      </c>
      <c r="F189" s="308" t="s">
        <v>3166</v>
      </c>
      <c r="G189" s="308" t="s">
        <v>3167</v>
      </c>
      <c r="H189" s="309" t="s">
        <v>1526</v>
      </c>
      <c r="I189" s="310" t="s">
        <v>1526</v>
      </c>
      <c r="J189" s="273" t="s">
        <v>3168</v>
      </c>
      <c r="K189" s="276" t="s">
        <v>3173</v>
      </c>
      <c r="L189" s="319">
        <v>0</v>
      </c>
      <c r="M189" s="320">
        <v>0</v>
      </c>
      <c r="N189" s="319">
        <v>0</v>
      </c>
      <c r="O189" s="320">
        <v>0</v>
      </c>
      <c r="P189" s="319">
        <v>0</v>
      </c>
      <c r="Q189" s="320">
        <v>0</v>
      </c>
      <c r="R189" s="319"/>
      <c r="S189" s="320"/>
      <c r="T189" s="319"/>
      <c r="U189" s="320"/>
      <c r="V189" s="319">
        <v>0</v>
      </c>
      <c r="W189" s="320">
        <v>0</v>
      </c>
      <c r="X189" s="319">
        <v>0</v>
      </c>
      <c r="Y189" s="320">
        <v>0</v>
      </c>
      <c r="Z189" s="319">
        <v>0</v>
      </c>
      <c r="AA189" s="320">
        <v>0</v>
      </c>
      <c r="AB189" s="319">
        <v>0</v>
      </c>
      <c r="AC189" s="320">
        <v>0</v>
      </c>
      <c r="AD189" s="319">
        <v>0</v>
      </c>
      <c r="AE189" s="320">
        <v>0</v>
      </c>
      <c r="AF189" s="319"/>
      <c r="AG189" s="320"/>
      <c r="AH189" s="319"/>
      <c r="AI189" s="320"/>
      <c r="AJ189" s="319">
        <v>0</v>
      </c>
      <c r="AK189" s="320">
        <v>0</v>
      </c>
      <c r="AL189" s="319">
        <v>0</v>
      </c>
      <c r="AM189" s="320">
        <v>0</v>
      </c>
      <c r="AN189" s="319">
        <v>0</v>
      </c>
      <c r="AO189" s="320">
        <v>0</v>
      </c>
      <c r="AP189" s="319">
        <v>0</v>
      </c>
      <c r="AQ189" s="320">
        <v>0</v>
      </c>
      <c r="AR189" s="319">
        <v>0</v>
      </c>
      <c r="AS189" s="320">
        <v>0</v>
      </c>
      <c r="AT189" s="319"/>
      <c r="AU189" s="320"/>
      <c r="AV189" s="319"/>
      <c r="AW189" s="320"/>
      <c r="AX189" s="319">
        <v>0</v>
      </c>
      <c r="AY189" s="320">
        <v>0</v>
      </c>
      <c r="AZ189" s="319">
        <v>0</v>
      </c>
      <c r="BA189" s="320">
        <v>0</v>
      </c>
      <c r="BB189" s="319">
        <v>0</v>
      </c>
      <c r="BC189" s="320">
        <v>0</v>
      </c>
      <c r="BD189" s="319">
        <v>0</v>
      </c>
      <c r="BE189" s="320">
        <v>0</v>
      </c>
      <c r="BF189" s="319">
        <v>0</v>
      </c>
      <c r="BG189" s="320">
        <v>0</v>
      </c>
      <c r="BH189" s="319"/>
      <c r="BI189" s="320"/>
      <c r="BJ189" s="319"/>
      <c r="BK189" s="320"/>
      <c r="BL189" s="319">
        <v>0</v>
      </c>
      <c r="BM189" s="320">
        <v>0</v>
      </c>
      <c r="BN189" s="319">
        <v>0</v>
      </c>
      <c r="BO189" s="320">
        <v>0</v>
      </c>
      <c r="BP189" s="319">
        <v>0</v>
      </c>
      <c r="BQ189" s="320">
        <v>0</v>
      </c>
      <c r="BR189" s="319">
        <v>0</v>
      </c>
      <c r="BS189" s="320">
        <v>0</v>
      </c>
      <c r="BT189" s="319"/>
      <c r="BU189" s="320"/>
      <c r="BV189" s="264">
        <f t="shared" si="75"/>
        <v>0</v>
      </c>
      <c r="BW189" s="264">
        <f t="shared" si="76"/>
        <v>0</v>
      </c>
    </row>
    <row r="190" spans="1:75" s="62" customFormat="1" ht="21.95" customHeight="1" thickBot="1" x14ac:dyDescent="0.25">
      <c r="A190" s="567" t="s">
        <v>3320</v>
      </c>
      <c r="B190" s="312" t="s">
        <v>3321</v>
      </c>
      <c r="C190" s="313" t="s">
        <v>3170</v>
      </c>
      <c r="D190" s="314" t="s">
        <v>3322</v>
      </c>
      <c r="E190" s="330" t="s">
        <v>3323</v>
      </c>
      <c r="F190" s="315" t="s">
        <v>3166</v>
      </c>
      <c r="G190" s="315" t="s">
        <v>3167</v>
      </c>
      <c r="H190" s="316" t="s">
        <v>1526</v>
      </c>
      <c r="I190" s="568" t="s">
        <v>1526</v>
      </c>
      <c r="J190" s="273" t="s">
        <v>3168</v>
      </c>
      <c r="K190" s="277" t="s">
        <v>53</v>
      </c>
      <c r="L190" s="321">
        <v>0</v>
      </c>
      <c r="M190" s="322">
        <v>0</v>
      </c>
      <c r="N190" s="321">
        <v>0</v>
      </c>
      <c r="O190" s="322">
        <v>0</v>
      </c>
      <c r="P190" s="321">
        <v>0</v>
      </c>
      <c r="Q190" s="322">
        <v>0</v>
      </c>
      <c r="R190" s="321"/>
      <c r="S190" s="322"/>
      <c r="T190" s="321"/>
      <c r="U190" s="322"/>
      <c r="V190" s="321">
        <v>0</v>
      </c>
      <c r="W190" s="322">
        <v>0</v>
      </c>
      <c r="X190" s="321">
        <v>0</v>
      </c>
      <c r="Y190" s="322">
        <v>0</v>
      </c>
      <c r="Z190" s="321">
        <v>0</v>
      </c>
      <c r="AA190" s="322">
        <v>0</v>
      </c>
      <c r="AB190" s="321">
        <v>0</v>
      </c>
      <c r="AC190" s="322">
        <v>0</v>
      </c>
      <c r="AD190" s="321">
        <v>0</v>
      </c>
      <c r="AE190" s="322">
        <v>0</v>
      </c>
      <c r="AF190" s="321"/>
      <c r="AG190" s="322"/>
      <c r="AH190" s="321"/>
      <c r="AI190" s="322"/>
      <c r="AJ190" s="321">
        <v>0</v>
      </c>
      <c r="AK190" s="322">
        <v>0</v>
      </c>
      <c r="AL190" s="321">
        <v>0</v>
      </c>
      <c r="AM190" s="322">
        <v>0</v>
      </c>
      <c r="AN190" s="321">
        <v>0</v>
      </c>
      <c r="AO190" s="322">
        <v>0</v>
      </c>
      <c r="AP190" s="321">
        <v>0</v>
      </c>
      <c r="AQ190" s="322">
        <v>0</v>
      </c>
      <c r="AR190" s="321">
        <v>0</v>
      </c>
      <c r="AS190" s="322">
        <v>0</v>
      </c>
      <c r="AT190" s="321"/>
      <c r="AU190" s="322"/>
      <c r="AV190" s="321"/>
      <c r="AW190" s="322"/>
      <c r="AX190" s="321">
        <v>0</v>
      </c>
      <c r="AY190" s="322">
        <v>0</v>
      </c>
      <c r="AZ190" s="321">
        <v>0</v>
      </c>
      <c r="BA190" s="322">
        <v>0</v>
      </c>
      <c r="BB190" s="321">
        <v>0</v>
      </c>
      <c r="BC190" s="322">
        <v>0</v>
      </c>
      <c r="BD190" s="321">
        <v>0</v>
      </c>
      <c r="BE190" s="322">
        <v>0</v>
      </c>
      <c r="BF190" s="321">
        <v>0</v>
      </c>
      <c r="BG190" s="322">
        <v>0</v>
      </c>
      <c r="BH190" s="321"/>
      <c r="BI190" s="322"/>
      <c r="BJ190" s="321"/>
      <c r="BK190" s="322"/>
      <c r="BL190" s="321">
        <v>0</v>
      </c>
      <c r="BM190" s="322">
        <v>0</v>
      </c>
      <c r="BN190" s="321">
        <v>0</v>
      </c>
      <c r="BO190" s="322">
        <v>0</v>
      </c>
      <c r="BP190" s="321">
        <v>0</v>
      </c>
      <c r="BQ190" s="322">
        <v>0</v>
      </c>
      <c r="BR190" s="321">
        <v>0</v>
      </c>
      <c r="BS190" s="322">
        <v>0</v>
      </c>
      <c r="BT190" s="321"/>
      <c r="BU190" s="322"/>
      <c r="BV190" s="264">
        <f t="shared" si="75"/>
        <v>0</v>
      </c>
      <c r="BW190" s="264">
        <f t="shared" si="76"/>
        <v>0</v>
      </c>
    </row>
    <row r="191" spans="1:75" s="62" customFormat="1" ht="21.95" customHeight="1" x14ac:dyDescent="0.25">
      <c r="A191" s="344" t="s">
        <v>3324</v>
      </c>
      <c r="B191" s="433" t="s">
        <v>3325</v>
      </c>
      <c r="C191" s="434">
        <v>1</v>
      </c>
      <c r="D191" s="435" t="s">
        <v>3326</v>
      </c>
      <c r="E191" s="345" t="s">
        <v>3327</v>
      </c>
      <c r="F191" s="436" t="s">
        <v>3166</v>
      </c>
      <c r="G191" s="436" t="s">
        <v>3167</v>
      </c>
      <c r="H191" s="437" t="s">
        <v>1527</v>
      </c>
      <c r="I191" s="303" t="s">
        <v>1527</v>
      </c>
      <c r="J191" s="273" t="s">
        <v>3168</v>
      </c>
      <c r="K191" s="274" t="s">
        <v>3169</v>
      </c>
      <c r="L191" s="321">
        <v>0</v>
      </c>
      <c r="M191" s="322">
        <v>0</v>
      </c>
      <c r="N191" s="321">
        <v>0</v>
      </c>
      <c r="O191" s="322">
        <v>0</v>
      </c>
      <c r="P191" s="321">
        <v>0</v>
      </c>
      <c r="Q191" s="322">
        <v>0</v>
      </c>
      <c r="R191" s="321"/>
      <c r="S191" s="322"/>
      <c r="T191" s="321"/>
      <c r="U191" s="322"/>
      <c r="V191" s="321">
        <v>0</v>
      </c>
      <c r="W191" s="322">
        <v>0</v>
      </c>
      <c r="X191" s="321">
        <v>0</v>
      </c>
      <c r="Y191" s="322">
        <v>0</v>
      </c>
      <c r="Z191" s="321">
        <v>0</v>
      </c>
      <c r="AA191" s="322">
        <v>0</v>
      </c>
      <c r="AB191" s="321">
        <v>0</v>
      </c>
      <c r="AC191" s="322">
        <v>0</v>
      </c>
      <c r="AD191" s="321">
        <v>0</v>
      </c>
      <c r="AE191" s="322">
        <v>0</v>
      </c>
      <c r="AF191" s="321"/>
      <c r="AG191" s="322"/>
      <c r="AH191" s="321"/>
      <c r="AI191" s="322"/>
      <c r="AJ191" s="321">
        <v>0</v>
      </c>
      <c r="AK191" s="322">
        <v>0</v>
      </c>
      <c r="AL191" s="321">
        <v>0</v>
      </c>
      <c r="AM191" s="322">
        <v>0</v>
      </c>
      <c r="AN191" s="321">
        <v>0</v>
      </c>
      <c r="AO191" s="322">
        <v>0</v>
      </c>
      <c r="AP191" s="321">
        <v>0</v>
      </c>
      <c r="AQ191" s="322">
        <v>0</v>
      </c>
      <c r="AR191" s="321">
        <v>0</v>
      </c>
      <c r="AS191" s="322">
        <v>0</v>
      </c>
      <c r="AT191" s="321"/>
      <c r="AU191" s="322"/>
      <c r="AV191" s="321"/>
      <c r="AW191" s="322"/>
      <c r="AX191" s="321">
        <v>0</v>
      </c>
      <c r="AY191" s="322">
        <v>0</v>
      </c>
      <c r="AZ191" s="321">
        <v>0</v>
      </c>
      <c r="BA191" s="322">
        <v>0</v>
      </c>
      <c r="BB191" s="321">
        <v>0</v>
      </c>
      <c r="BC191" s="322">
        <v>0</v>
      </c>
      <c r="BD191" s="321">
        <v>0</v>
      </c>
      <c r="BE191" s="322">
        <v>0</v>
      </c>
      <c r="BF191" s="321">
        <v>0</v>
      </c>
      <c r="BG191" s="322">
        <v>0</v>
      </c>
      <c r="BH191" s="321"/>
      <c r="BI191" s="322"/>
      <c r="BJ191" s="321"/>
      <c r="BK191" s="322"/>
      <c r="BL191" s="321">
        <v>0</v>
      </c>
      <c r="BM191" s="322">
        <v>0</v>
      </c>
      <c r="BN191" s="321">
        <v>0</v>
      </c>
      <c r="BO191" s="322">
        <v>0</v>
      </c>
      <c r="BP191" s="321">
        <v>0</v>
      </c>
      <c r="BQ191" s="322">
        <v>0</v>
      </c>
      <c r="BR191" s="321">
        <v>0</v>
      </c>
      <c r="BS191" s="322">
        <v>0</v>
      </c>
      <c r="BT191" s="321"/>
      <c r="BU191" s="322"/>
      <c r="BV191" s="264">
        <f>L191+N191+P191+R191+T191+V191+X191+Z191+AB191+AD191+AF191+AH191+AJ191+AL191+AN191+AP191+AR191+AT191+AV191+AX191+AZ191+BB191+BD191+BF191+BH191+BJ191+BL191+BN191+BP191+BR191+BT191</f>
        <v>0</v>
      </c>
      <c r="BW191" s="264">
        <f>M191+O191+Q191+S191+U191+W191+Y191+AA191+AC191+AE191+AG191+AI191+AK191+AM191+AO191+AQ191+AS191+AU191+AW191+AY191+BA191+BC191+BE191+BG191+BI191+BK191+BM191+BO191+BQ191+BS191+BU191</f>
        <v>0</v>
      </c>
    </row>
    <row r="192" spans="1:75" s="62" customFormat="1" ht="21.95" customHeight="1" x14ac:dyDescent="0.2">
      <c r="A192" s="304" t="s">
        <v>3324</v>
      </c>
      <c r="B192" s="305" t="s">
        <v>3325</v>
      </c>
      <c r="C192" s="272" t="s">
        <v>3170</v>
      </c>
      <c r="D192" s="306" t="s">
        <v>3326</v>
      </c>
      <c r="E192" s="307" t="s">
        <v>3327</v>
      </c>
      <c r="F192" s="308" t="s">
        <v>3166</v>
      </c>
      <c r="G192" s="308" t="s">
        <v>3167</v>
      </c>
      <c r="H192" s="309" t="s">
        <v>1527</v>
      </c>
      <c r="I192" s="310" t="s">
        <v>1527</v>
      </c>
      <c r="J192" s="273" t="s">
        <v>3168</v>
      </c>
      <c r="K192" s="273" t="s">
        <v>3171</v>
      </c>
      <c r="L192" s="319">
        <v>0</v>
      </c>
      <c r="M192" s="320">
        <v>0</v>
      </c>
      <c r="N192" s="319">
        <v>0</v>
      </c>
      <c r="O192" s="320">
        <v>0</v>
      </c>
      <c r="P192" s="319">
        <v>0</v>
      </c>
      <c r="Q192" s="320">
        <v>0</v>
      </c>
      <c r="R192" s="319"/>
      <c r="S192" s="320"/>
      <c r="T192" s="319"/>
      <c r="U192" s="320"/>
      <c r="V192" s="319">
        <v>0</v>
      </c>
      <c r="W192" s="320">
        <v>0</v>
      </c>
      <c r="X192" s="319">
        <v>0</v>
      </c>
      <c r="Y192" s="320">
        <v>0</v>
      </c>
      <c r="Z192" s="319">
        <v>0</v>
      </c>
      <c r="AA192" s="320">
        <v>0</v>
      </c>
      <c r="AB192" s="319">
        <v>0</v>
      </c>
      <c r="AC192" s="320">
        <v>0</v>
      </c>
      <c r="AD192" s="319">
        <v>0</v>
      </c>
      <c r="AE192" s="320">
        <v>0</v>
      </c>
      <c r="AF192" s="319"/>
      <c r="AG192" s="320"/>
      <c r="AH192" s="319"/>
      <c r="AI192" s="320"/>
      <c r="AJ192" s="319">
        <v>0</v>
      </c>
      <c r="AK192" s="320">
        <v>0</v>
      </c>
      <c r="AL192" s="319">
        <v>0</v>
      </c>
      <c r="AM192" s="320">
        <v>0</v>
      </c>
      <c r="AN192" s="319">
        <v>0</v>
      </c>
      <c r="AO192" s="320">
        <v>0</v>
      </c>
      <c r="AP192" s="319">
        <v>0</v>
      </c>
      <c r="AQ192" s="320">
        <v>0</v>
      </c>
      <c r="AR192" s="319">
        <v>0</v>
      </c>
      <c r="AS192" s="320">
        <v>0</v>
      </c>
      <c r="AT192" s="319"/>
      <c r="AU192" s="320"/>
      <c r="AV192" s="319"/>
      <c r="AW192" s="320"/>
      <c r="AX192" s="319">
        <v>0</v>
      </c>
      <c r="AY192" s="320">
        <v>0</v>
      </c>
      <c r="AZ192" s="319">
        <v>0</v>
      </c>
      <c r="BA192" s="320">
        <v>0</v>
      </c>
      <c r="BB192" s="319">
        <v>0</v>
      </c>
      <c r="BC192" s="320">
        <v>0</v>
      </c>
      <c r="BD192" s="319">
        <v>0</v>
      </c>
      <c r="BE192" s="320">
        <v>0</v>
      </c>
      <c r="BF192" s="319">
        <v>0</v>
      </c>
      <c r="BG192" s="320">
        <v>0</v>
      </c>
      <c r="BH192" s="319"/>
      <c r="BI192" s="320"/>
      <c r="BJ192" s="319"/>
      <c r="BK192" s="320"/>
      <c r="BL192" s="319">
        <v>0</v>
      </c>
      <c r="BM192" s="320">
        <v>0</v>
      </c>
      <c r="BN192" s="319">
        <v>0</v>
      </c>
      <c r="BO192" s="320">
        <v>0</v>
      </c>
      <c r="BP192" s="319">
        <v>0</v>
      </c>
      <c r="BQ192" s="320">
        <v>0</v>
      </c>
      <c r="BR192" s="319">
        <v>0</v>
      </c>
      <c r="BS192" s="320">
        <v>0</v>
      </c>
      <c r="BT192" s="319"/>
      <c r="BU192" s="320"/>
      <c r="BV192" s="264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264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2" customFormat="1" ht="21.95" customHeight="1" x14ac:dyDescent="0.2">
      <c r="A193" s="304" t="s">
        <v>3324</v>
      </c>
      <c r="B193" s="305" t="s">
        <v>3325</v>
      </c>
      <c r="C193" s="311" t="s">
        <v>3170</v>
      </c>
      <c r="D193" s="306" t="s">
        <v>3326</v>
      </c>
      <c r="E193" s="307" t="s">
        <v>3327</v>
      </c>
      <c r="F193" s="308" t="s">
        <v>3166</v>
      </c>
      <c r="G193" s="308" t="s">
        <v>3167</v>
      </c>
      <c r="H193" s="309" t="s">
        <v>1527</v>
      </c>
      <c r="I193" s="310" t="s">
        <v>1527</v>
      </c>
      <c r="J193" s="273" t="s">
        <v>3168</v>
      </c>
      <c r="K193" s="275" t="s">
        <v>3172</v>
      </c>
      <c r="L193" s="319">
        <v>0</v>
      </c>
      <c r="M193" s="320">
        <v>0</v>
      </c>
      <c r="N193" s="319">
        <v>0</v>
      </c>
      <c r="O193" s="320">
        <v>0</v>
      </c>
      <c r="P193" s="319">
        <v>0</v>
      </c>
      <c r="Q193" s="320">
        <v>0</v>
      </c>
      <c r="R193" s="319"/>
      <c r="S193" s="320"/>
      <c r="T193" s="319"/>
      <c r="U193" s="320"/>
      <c r="V193" s="319">
        <v>0</v>
      </c>
      <c r="W193" s="320">
        <v>0</v>
      </c>
      <c r="X193" s="319">
        <v>0</v>
      </c>
      <c r="Y193" s="320">
        <v>0</v>
      </c>
      <c r="Z193" s="319">
        <v>0</v>
      </c>
      <c r="AA193" s="320">
        <v>0</v>
      </c>
      <c r="AB193" s="319">
        <v>0</v>
      </c>
      <c r="AC193" s="320">
        <v>0</v>
      </c>
      <c r="AD193" s="319">
        <v>0</v>
      </c>
      <c r="AE193" s="320">
        <v>0</v>
      </c>
      <c r="AF193" s="319"/>
      <c r="AG193" s="320"/>
      <c r="AH193" s="319"/>
      <c r="AI193" s="320"/>
      <c r="AJ193" s="319">
        <v>0</v>
      </c>
      <c r="AK193" s="320">
        <v>0</v>
      </c>
      <c r="AL193" s="319">
        <v>0</v>
      </c>
      <c r="AM193" s="320">
        <v>0</v>
      </c>
      <c r="AN193" s="319">
        <v>0</v>
      </c>
      <c r="AO193" s="320">
        <v>0</v>
      </c>
      <c r="AP193" s="319">
        <v>0</v>
      </c>
      <c r="AQ193" s="320">
        <v>0</v>
      </c>
      <c r="AR193" s="319">
        <v>0</v>
      </c>
      <c r="AS193" s="320">
        <v>0</v>
      </c>
      <c r="AT193" s="319"/>
      <c r="AU193" s="320"/>
      <c r="AV193" s="319"/>
      <c r="AW193" s="320"/>
      <c r="AX193" s="319">
        <v>0</v>
      </c>
      <c r="AY193" s="320">
        <v>0</v>
      </c>
      <c r="AZ193" s="319">
        <v>0</v>
      </c>
      <c r="BA193" s="320">
        <v>0</v>
      </c>
      <c r="BB193" s="319">
        <v>0</v>
      </c>
      <c r="BC193" s="320">
        <v>0</v>
      </c>
      <c r="BD193" s="319">
        <v>0</v>
      </c>
      <c r="BE193" s="320">
        <v>0</v>
      </c>
      <c r="BF193" s="319">
        <v>0</v>
      </c>
      <c r="BG193" s="320">
        <v>0</v>
      </c>
      <c r="BH193" s="319"/>
      <c r="BI193" s="320"/>
      <c r="BJ193" s="319"/>
      <c r="BK193" s="320"/>
      <c r="BL193" s="319">
        <v>0</v>
      </c>
      <c r="BM193" s="320">
        <v>0</v>
      </c>
      <c r="BN193" s="319">
        <v>0</v>
      </c>
      <c r="BO193" s="320">
        <v>0</v>
      </c>
      <c r="BP193" s="319">
        <v>0</v>
      </c>
      <c r="BQ193" s="320">
        <v>0</v>
      </c>
      <c r="BR193" s="319">
        <v>0</v>
      </c>
      <c r="BS193" s="320">
        <v>0</v>
      </c>
      <c r="BT193" s="319"/>
      <c r="BU193" s="320"/>
      <c r="BV193" s="264">
        <f t="shared" si="77"/>
        <v>0</v>
      </c>
      <c r="BW193" s="264">
        <f t="shared" si="78"/>
        <v>0</v>
      </c>
    </row>
    <row r="194" spans="1:75" s="62" customFormat="1" ht="21.95" customHeight="1" x14ac:dyDescent="0.2">
      <c r="A194" s="304" t="s">
        <v>3324</v>
      </c>
      <c r="B194" s="305" t="s">
        <v>3325</v>
      </c>
      <c r="C194" s="311" t="s">
        <v>3170</v>
      </c>
      <c r="D194" s="306" t="s">
        <v>3326</v>
      </c>
      <c r="E194" s="307" t="s">
        <v>3327</v>
      </c>
      <c r="F194" s="308" t="s">
        <v>3166</v>
      </c>
      <c r="G194" s="308" t="s">
        <v>3167</v>
      </c>
      <c r="H194" s="309" t="s">
        <v>1527</v>
      </c>
      <c r="I194" s="310" t="s">
        <v>1527</v>
      </c>
      <c r="J194" s="273" t="s">
        <v>3168</v>
      </c>
      <c r="K194" s="276" t="s">
        <v>3173</v>
      </c>
      <c r="L194" s="319">
        <v>0</v>
      </c>
      <c r="M194" s="320">
        <v>0</v>
      </c>
      <c r="N194" s="319">
        <v>0</v>
      </c>
      <c r="O194" s="320">
        <v>0</v>
      </c>
      <c r="P194" s="319">
        <v>0</v>
      </c>
      <c r="Q194" s="320">
        <v>0</v>
      </c>
      <c r="R194" s="319"/>
      <c r="S194" s="320"/>
      <c r="T194" s="319"/>
      <c r="U194" s="320"/>
      <c r="V194" s="319">
        <v>0</v>
      </c>
      <c r="W194" s="320">
        <v>0</v>
      </c>
      <c r="X194" s="319">
        <v>0</v>
      </c>
      <c r="Y194" s="320">
        <v>0</v>
      </c>
      <c r="Z194" s="319">
        <v>0</v>
      </c>
      <c r="AA194" s="320">
        <v>0</v>
      </c>
      <c r="AB194" s="319">
        <v>0</v>
      </c>
      <c r="AC194" s="320">
        <v>0</v>
      </c>
      <c r="AD194" s="319">
        <v>0</v>
      </c>
      <c r="AE194" s="320">
        <v>0</v>
      </c>
      <c r="AF194" s="319"/>
      <c r="AG194" s="320"/>
      <c r="AH194" s="319"/>
      <c r="AI194" s="320"/>
      <c r="AJ194" s="319">
        <v>0</v>
      </c>
      <c r="AK194" s="320">
        <v>0</v>
      </c>
      <c r="AL194" s="319">
        <v>0</v>
      </c>
      <c r="AM194" s="320">
        <v>0</v>
      </c>
      <c r="AN194" s="319">
        <v>0</v>
      </c>
      <c r="AO194" s="320">
        <v>0</v>
      </c>
      <c r="AP194" s="319">
        <v>0</v>
      </c>
      <c r="AQ194" s="320">
        <v>0</v>
      </c>
      <c r="AR194" s="319">
        <v>0</v>
      </c>
      <c r="AS194" s="320">
        <v>0</v>
      </c>
      <c r="AT194" s="319"/>
      <c r="AU194" s="320"/>
      <c r="AV194" s="319"/>
      <c r="AW194" s="320"/>
      <c r="AX194" s="319">
        <v>0</v>
      </c>
      <c r="AY194" s="320">
        <v>0</v>
      </c>
      <c r="AZ194" s="319">
        <v>0</v>
      </c>
      <c r="BA194" s="320">
        <v>0</v>
      </c>
      <c r="BB194" s="319">
        <v>0</v>
      </c>
      <c r="BC194" s="320">
        <v>0</v>
      </c>
      <c r="BD194" s="319">
        <v>0</v>
      </c>
      <c r="BE194" s="320">
        <v>0</v>
      </c>
      <c r="BF194" s="319">
        <v>0</v>
      </c>
      <c r="BG194" s="320">
        <v>0</v>
      </c>
      <c r="BH194" s="319"/>
      <c r="BI194" s="320"/>
      <c r="BJ194" s="319"/>
      <c r="BK194" s="320"/>
      <c r="BL194" s="319">
        <v>0</v>
      </c>
      <c r="BM194" s="320">
        <v>0</v>
      </c>
      <c r="BN194" s="319">
        <v>0</v>
      </c>
      <c r="BO194" s="320">
        <v>0</v>
      </c>
      <c r="BP194" s="319">
        <v>0</v>
      </c>
      <c r="BQ194" s="320">
        <v>0</v>
      </c>
      <c r="BR194" s="319">
        <v>0</v>
      </c>
      <c r="BS194" s="320">
        <v>0</v>
      </c>
      <c r="BT194" s="319"/>
      <c r="BU194" s="320"/>
      <c r="BV194" s="264">
        <f t="shared" si="77"/>
        <v>0</v>
      </c>
      <c r="BW194" s="264">
        <f t="shared" si="78"/>
        <v>0</v>
      </c>
    </row>
    <row r="195" spans="1:75" s="62" customFormat="1" ht="21.95" customHeight="1" thickBot="1" x14ac:dyDescent="0.25">
      <c r="A195" s="567" t="s">
        <v>3324</v>
      </c>
      <c r="B195" s="312" t="s">
        <v>3325</v>
      </c>
      <c r="C195" s="313" t="s">
        <v>3170</v>
      </c>
      <c r="D195" s="314" t="s">
        <v>3326</v>
      </c>
      <c r="E195" s="330" t="s">
        <v>3327</v>
      </c>
      <c r="F195" s="315" t="s">
        <v>3166</v>
      </c>
      <c r="G195" s="315" t="s">
        <v>3167</v>
      </c>
      <c r="H195" s="316" t="s">
        <v>1527</v>
      </c>
      <c r="I195" s="568" t="s">
        <v>1527</v>
      </c>
      <c r="J195" s="273" t="s">
        <v>3168</v>
      </c>
      <c r="K195" s="277" t="s">
        <v>53</v>
      </c>
      <c r="L195" s="321">
        <v>0</v>
      </c>
      <c r="M195" s="322">
        <v>0</v>
      </c>
      <c r="N195" s="321">
        <v>0</v>
      </c>
      <c r="O195" s="322">
        <v>0</v>
      </c>
      <c r="P195" s="321">
        <v>0</v>
      </c>
      <c r="Q195" s="322">
        <v>0</v>
      </c>
      <c r="R195" s="321"/>
      <c r="S195" s="322"/>
      <c r="T195" s="321"/>
      <c r="U195" s="322"/>
      <c r="V195" s="321">
        <v>0</v>
      </c>
      <c r="W195" s="322">
        <v>0</v>
      </c>
      <c r="X195" s="321">
        <v>0</v>
      </c>
      <c r="Y195" s="322">
        <v>0</v>
      </c>
      <c r="Z195" s="321">
        <v>0</v>
      </c>
      <c r="AA195" s="322">
        <v>0</v>
      </c>
      <c r="AB195" s="321">
        <v>0</v>
      </c>
      <c r="AC195" s="322">
        <v>0</v>
      </c>
      <c r="AD195" s="321">
        <v>0</v>
      </c>
      <c r="AE195" s="322">
        <v>0</v>
      </c>
      <c r="AF195" s="321"/>
      <c r="AG195" s="322"/>
      <c r="AH195" s="321"/>
      <c r="AI195" s="322"/>
      <c r="AJ195" s="321">
        <v>0</v>
      </c>
      <c r="AK195" s="322">
        <v>0</v>
      </c>
      <c r="AL195" s="321">
        <v>0</v>
      </c>
      <c r="AM195" s="322">
        <v>0</v>
      </c>
      <c r="AN195" s="321">
        <v>0</v>
      </c>
      <c r="AO195" s="322">
        <v>0</v>
      </c>
      <c r="AP195" s="321">
        <v>0</v>
      </c>
      <c r="AQ195" s="322">
        <v>0</v>
      </c>
      <c r="AR195" s="321">
        <v>0</v>
      </c>
      <c r="AS195" s="322">
        <v>0</v>
      </c>
      <c r="AT195" s="321"/>
      <c r="AU195" s="322"/>
      <c r="AV195" s="321"/>
      <c r="AW195" s="322"/>
      <c r="AX195" s="321">
        <v>0</v>
      </c>
      <c r="AY195" s="322">
        <v>0</v>
      </c>
      <c r="AZ195" s="321">
        <v>0</v>
      </c>
      <c r="BA195" s="322">
        <v>0</v>
      </c>
      <c r="BB195" s="321">
        <v>0</v>
      </c>
      <c r="BC195" s="322">
        <v>0</v>
      </c>
      <c r="BD195" s="321">
        <v>0</v>
      </c>
      <c r="BE195" s="322">
        <v>0</v>
      </c>
      <c r="BF195" s="321">
        <v>0</v>
      </c>
      <c r="BG195" s="322">
        <v>0</v>
      </c>
      <c r="BH195" s="321"/>
      <c r="BI195" s="322"/>
      <c r="BJ195" s="321"/>
      <c r="BK195" s="322"/>
      <c r="BL195" s="321">
        <v>0</v>
      </c>
      <c r="BM195" s="322">
        <v>0</v>
      </c>
      <c r="BN195" s="321">
        <v>0</v>
      </c>
      <c r="BO195" s="322">
        <v>0</v>
      </c>
      <c r="BP195" s="321">
        <v>0</v>
      </c>
      <c r="BQ195" s="322">
        <v>0</v>
      </c>
      <c r="BR195" s="321">
        <v>0</v>
      </c>
      <c r="BS195" s="322">
        <v>0</v>
      </c>
      <c r="BT195" s="321"/>
      <c r="BU195" s="322"/>
      <c r="BV195" s="264">
        <f t="shared" si="77"/>
        <v>0</v>
      </c>
      <c r="BW195" s="264">
        <f t="shared" si="78"/>
        <v>0</v>
      </c>
    </row>
    <row r="196" spans="1:75" s="62" customFormat="1" ht="21.95" customHeight="1" x14ac:dyDescent="0.25">
      <c r="A196" s="344" t="s">
        <v>3328</v>
      </c>
      <c r="B196" s="433" t="s">
        <v>3329</v>
      </c>
      <c r="C196" s="434">
        <v>1</v>
      </c>
      <c r="D196" s="435" t="s">
        <v>3330</v>
      </c>
      <c r="E196" s="345" t="s">
        <v>3331</v>
      </c>
      <c r="F196" s="436" t="s">
        <v>3166</v>
      </c>
      <c r="G196" s="436" t="s">
        <v>3167</v>
      </c>
      <c r="H196" s="437" t="s">
        <v>1528</v>
      </c>
      <c r="I196" s="303" t="s">
        <v>1528</v>
      </c>
      <c r="J196" s="273" t="s">
        <v>3168</v>
      </c>
      <c r="K196" s="274" t="s">
        <v>3169</v>
      </c>
      <c r="L196" s="321">
        <v>0</v>
      </c>
      <c r="M196" s="322">
        <v>0</v>
      </c>
      <c r="N196" s="321">
        <v>0</v>
      </c>
      <c r="O196" s="322">
        <v>0</v>
      </c>
      <c r="P196" s="321">
        <v>0</v>
      </c>
      <c r="Q196" s="322">
        <v>0</v>
      </c>
      <c r="R196" s="321"/>
      <c r="S196" s="322"/>
      <c r="T196" s="321"/>
      <c r="U196" s="322"/>
      <c r="V196" s="321">
        <v>0</v>
      </c>
      <c r="W196" s="322">
        <v>0</v>
      </c>
      <c r="X196" s="321">
        <v>0</v>
      </c>
      <c r="Y196" s="322">
        <v>0</v>
      </c>
      <c r="Z196" s="321">
        <v>0</v>
      </c>
      <c r="AA196" s="322">
        <v>0</v>
      </c>
      <c r="AB196" s="321">
        <v>0</v>
      </c>
      <c r="AC196" s="322">
        <v>0</v>
      </c>
      <c r="AD196" s="321">
        <v>0</v>
      </c>
      <c r="AE196" s="322">
        <v>0</v>
      </c>
      <c r="AF196" s="321"/>
      <c r="AG196" s="322"/>
      <c r="AH196" s="321"/>
      <c r="AI196" s="322"/>
      <c r="AJ196" s="321">
        <v>0</v>
      </c>
      <c r="AK196" s="322">
        <v>0</v>
      </c>
      <c r="AL196" s="321">
        <v>0</v>
      </c>
      <c r="AM196" s="322">
        <v>0</v>
      </c>
      <c r="AN196" s="321">
        <v>0</v>
      </c>
      <c r="AO196" s="322">
        <v>0</v>
      </c>
      <c r="AP196" s="321">
        <v>0</v>
      </c>
      <c r="AQ196" s="322">
        <v>0</v>
      </c>
      <c r="AR196" s="321">
        <v>0</v>
      </c>
      <c r="AS196" s="322">
        <v>0</v>
      </c>
      <c r="AT196" s="321"/>
      <c r="AU196" s="322"/>
      <c r="AV196" s="321"/>
      <c r="AW196" s="322"/>
      <c r="AX196" s="321">
        <v>0</v>
      </c>
      <c r="AY196" s="322">
        <v>0</v>
      </c>
      <c r="AZ196" s="321">
        <v>0</v>
      </c>
      <c r="BA196" s="322">
        <v>0</v>
      </c>
      <c r="BB196" s="321">
        <v>0</v>
      </c>
      <c r="BC196" s="322">
        <v>0</v>
      </c>
      <c r="BD196" s="321">
        <v>0</v>
      </c>
      <c r="BE196" s="322">
        <v>0</v>
      </c>
      <c r="BF196" s="321">
        <v>0</v>
      </c>
      <c r="BG196" s="322">
        <v>0</v>
      </c>
      <c r="BH196" s="321"/>
      <c r="BI196" s="322"/>
      <c r="BJ196" s="321"/>
      <c r="BK196" s="322"/>
      <c r="BL196" s="321">
        <v>0</v>
      </c>
      <c r="BM196" s="322">
        <v>0</v>
      </c>
      <c r="BN196" s="321">
        <v>0</v>
      </c>
      <c r="BO196" s="322">
        <v>0</v>
      </c>
      <c r="BP196" s="321">
        <v>0</v>
      </c>
      <c r="BQ196" s="322">
        <v>0</v>
      </c>
      <c r="BR196" s="321">
        <v>0</v>
      </c>
      <c r="BS196" s="322">
        <v>0</v>
      </c>
      <c r="BT196" s="321"/>
      <c r="BU196" s="322"/>
      <c r="BV196" s="264">
        <f>L196+N196+P196+R196+T196+V196+X196+Z196+AB196+AD196+AF196+AH196+AJ196+AL196+AN196+AP196+AR196+AT196+AV196+AX196+AZ196+BB196+BD196+BF196+BH196+BJ196+BL196+BN196+BP196+BR196+BT196</f>
        <v>0</v>
      </c>
      <c r="BW196" s="264">
        <f>M196+O196+Q196+S196+U196+W196+Y196+AA196+AC196+AE196+AG196+AI196+AK196+AM196+AO196+AQ196+AS196+AU196+AW196+AY196+BA196+BC196+BE196+BG196+BI196+BK196+BM196+BO196+BQ196+BS196+BU196</f>
        <v>0</v>
      </c>
    </row>
    <row r="197" spans="1:75" s="62" customFormat="1" ht="21.95" customHeight="1" x14ac:dyDescent="0.2">
      <c r="A197" s="304" t="s">
        <v>3328</v>
      </c>
      <c r="B197" s="305" t="s">
        <v>3329</v>
      </c>
      <c r="C197" s="272" t="s">
        <v>3170</v>
      </c>
      <c r="D197" s="306" t="s">
        <v>3330</v>
      </c>
      <c r="E197" s="307" t="s">
        <v>3331</v>
      </c>
      <c r="F197" s="308" t="s">
        <v>3166</v>
      </c>
      <c r="G197" s="308" t="s">
        <v>3167</v>
      </c>
      <c r="H197" s="309" t="s">
        <v>1528</v>
      </c>
      <c r="I197" s="310" t="s">
        <v>1528</v>
      </c>
      <c r="J197" s="273" t="s">
        <v>3168</v>
      </c>
      <c r="K197" s="273" t="s">
        <v>3171</v>
      </c>
      <c r="L197" s="319">
        <v>0</v>
      </c>
      <c r="M197" s="320">
        <v>0</v>
      </c>
      <c r="N197" s="319">
        <v>0</v>
      </c>
      <c r="O197" s="320">
        <v>0</v>
      </c>
      <c r="P197" s="319">
        <v>0</v>
      </c>
      <c r="Q197" s="320">
        <v>0</v>
      </c>
      <c r="R197" s="319"/>
      <c r="S197" s="320"/>
      <c r="T197" s="319"/>
      <c r="U197" s="320"/>
      <c r="V197" s="319">
        <v>5</v>
      </c>
      <c r="W197" s="320">
        <v>0</v>
      </c>
      <c r="X197" s="319">
        <v>0</v>
      </c>
      <c r="Y197" s="320">
        <v>0</v>
      </c>
      <c r="Z197" s="319">
        <v>0</v>
      </c>
      <c r="AA197" s="320">
        <v>0</v>
      </c>
      <c r="AB197" s="319">
        <v>0</v>
      </c>
      <c r="AC197" s="320">
        <v>0</v>
      </c>
      <c r="AD197" s="319">
        <v>0</v>
      </c>
      <c r="AE197" s="320">
        <v>0</v>
      </c>
      <c r="AF197" s="319"/>
      <c r="AG197" s="320"/>
      <c r="AH197" s="319"/>
      <c r="AI197" s="320"/>
      <c r="AJ197" s="319">
        <v>5</v>
      </c>
      <c r="AK197" s="320">
        <v>0</v>
      </c>
      <c r="AL197" s="319">
        <v>0</v>
      </c>
      <c r="AM197" s="320">
        <v>0</v>
      </c>
      <c r="AN197" s="319">
        <v>0</v>
      </c>
      <c r="AO197" s="320">
        <v>0</v>
      </c>
      <c r="AP197" s="319">
        <v>0</v>
      </c>
      <c r="AQ197" s="320">
        <v>0</v>
      </c>
      <c r="AR197" s="319">
        <v>0</v>
      </c>
      <c r="AS197" s="320">
        <v>0</v>
      </c>
      <c r="AT197" s="319"/>
      <c r="AU197" s="320"/>
      <c r="AV197" s="319"/>
      <c r="AW197" s="320"/>
      <c r="AX197" s="319">
        <v>5</v>
      </c>
      <c r="AY197" s="320">
        <v>0</v>
      </c>
      <c r="AZ197" s="319">
        <v>0</v>
      </c>
      <c r="BA197" s="320">
        <v>0</v>
      </c>
      <c r="BB197" s="319">
        <v>0</v>
      </c>
      <c r="BC197" s="320">
        <v>0</v>
      </c>
      <c r="BD197" s="319">
        <v>0</v>
      </c>
      <c r="BE197" s="320">
        <v>0</v>
      </c>
      <c r="BF197" s="319">
        <v>0</v>
      </c>
      <c r="BG197" s="320">
        <v>0</v>
      </c>
      <c r="BH197" s="319"/>
      <c r="BI197" s="320"/>
      <c r="BJ197" s="319"/>
      <c r="BK197" s="320"/>
      <c r="BL197" s="319">
        <v>5</v>
      </c>
      <c r="BM197" s="320">
        <v>0</v>
      </c>
      <c r="BN197" s="319">
        <v>0</v>
      </c>
      <c r="BO197" s="320">
        <v>0</v>
      </c>
      <c r="BP197" s="319">
        <v>0</v>
      </c>
      <c r="BQ197" s="320">
        <v>0</v>
      </c>
      <c r="BR197" s="319">
        <v>0</v>
      </c>
      <c r="BS197" s="320">
        <v>0</v>
      </c>
      <c r="BT197" s="319"/>
      <c r="BU197" s="320"/>
      <c r="BV197" s="264">
        <f t="shared" ref="BV197:BV200" si="79">L197+N197+P197+R197+T197+V197+X197+Z197+AB197+AD197+AF197+AH197+AJ197+AL197+AN197+AP197+AR197+AT197+AV197+AX197+AZ197+BB197+BD197+BF197+BH197+BJ197+BL197+BN197+BP197+BR197+BT197</f>
        <v>20</v>
      </c>
      <c r="BW197" s="264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2" customFormat="1" ht="21.95" customHeight="1" x14ac:dyDescent="0.2">
      <c r="A198" s="304" t="s">
        <v>3328</v>
      </c>
      <c r="B198" s="305" t="s">
        <v>3329</v>
      </c>
      <c r="C198" s="311" t="s">
        <v>3170</v>
      </c>
      <c r="D198" s="306" t="s">
        <v>3330</v>
      </c>
      <c r="E198" s="307" t="s">
        <v>3331</v>
      </c>
      <c r="F198" s="308" t="s">
        <v>3166</v>
      </c>
      <c r="G198" s="308" t="s">
        <v>3167</v>
      </c>
      <c r="H198" s="309" t="s">
        <v>1528</v>
      </c>
      <c r="I198" s="310" t="s">
        <v>1528</v>
      </c>
      <c r="J198" s="273" t="s">
        <v>3168</v>
      </c>
      <c r="K198" s="275" t="s">
        <v>3172</v>
      </c>
      <c r="L198" s="319">
        <v>0</v>
      </c>
      <c r="M198" s="320">
        <v>0</v>
      </c>
      <c r="N198" s="319">
        <v>0</v>
      </c>
      <c r="O198" s="320">
        <v>0</v>
      </c>
      <c r="P198" s="319">
        <v>0</v>
      </c>
      <c r="Q198" s="320">
        <v>0</v>
      </c>
      <c r="R198" s="319"/>
      <c r="S198" s="320"/>
      <c r="T198" s="319"/>
      <c r="U198" s="320"/>
      <c r="V198" s="319">
        <v>0</v>
      </c>
      <c r="W198" s="320">
        <v>0</v>
      </c>
      <c r="X198" s="319">
        <v>0</v>
      </c>
      <c r="Y198" s="320">
        <v>0</v>
      </c>
      <c r="Z198" s="319">
        <v>0</v>
      </c>
      <c r="AA198" s="320">
        <v>0</v>
      </c>
      <c r="AB198" s="319">
        <v>0</v>
      </c>
      <c r="AC198" s="320">
        <v>0</v>
      </c>
      <c r="AD198" s="319">
        <v>0</v>
      </c>
      <c r="AE198" s="320">
        <v>0</v>
      </c>
      <c r="AF198" s="319"/>
      <c r="AG198" s="320"/>
      <c r="AH198" s="319"/>
      <c r="AI198" s="320"/>
      <c r="AJ198" s="319">
        <v>0</v>
      </c>
      <c r="AK198" s="320">
        <v>0</v>
      </c>
      <c r="AL198" s="319">
        <v>0</v>
      </c>
      <c r="AM198" s="320">
        <v>0</v>
      </c>
      <c r="AN198" s="319">
        <v>0</v>
      </c>
      <c r="AO198" s="320">
        <v>0</v>
      </c>
      <c r="AP198" s="319">
        <v>0</v>
      </c>
      <c r="AQ198" s="320">
        <v>0</v>
      </c>
      <c r="AR198" s="319">
        <v>0</v>
      </c>
      <c r="AS198" s="320">
        <v>0</v>
      </c>
      <c r="AT198" s="319"/>
      <c r="AU198" s="320"/>
      <c r="AV198" s="319"/>
      <c r="AW198" s="320"/>
      <c r="AX198" s="319">
        <v>0</v>
      </c>
      <c r="AY198" s="320">
        <v>0</v>
      </c>
      <c r="AZ198" s="319">
        <v>0</v>
      </c>
      <c r="BA198" s="320">
        <v>0</v>
      </c>
      <c r="BB198" s="319">
        <v>0</v>
      </c>
      <c r="BC198" s="320">
        <v>0</v>
      </c>
      <c r="BD198" s="319">
        <v>0</v>
      </c>
      <c r="BE198" s="320">
        <v>0</v>
      </c>
      <c r="BF198" s="319">
        <v>0</v>
      </c>
      <c r="BG198" s="320">
        <v>0</v>
      </c>
      <c r="BH198" s="319"/>
      <c r="BI198" s="320"/>
      <c r="BJ198" s="319"/>
      <c r="BK198" s="320"/>
      <c r="BL198" s="319">
        <v>0</v>
      </c>
      <c r="BM198" s="320">
        <v>0</v>
      </c>
      <c r="BN198" s="319">
        <v>0</v>
      </c>
      <c r="BO198" s="320">
        <v>0</v>
      </c>
      <c r="BP198" s="319">
        <v>0</v>
      </c>
      <c r="BQ198" s="320">
        <v>0</v>
      </c>
      <c r="BR198" s="319">
        <v>0</v>
      </c>
      <c r="BS198" s="320">
        <v>0</v>
      </c>
      <c r="BT198" s="319"/>
      <c r="BU198" s="320"/>
      <c r="BV198" s="264">
        <f t="shared" si="79"/>
        <v>0</v>
      </c>
      <c r="BW198" s="264">
        <f t="shared" si="80"/>
        <v>0</v>
      </c>
    </row>
    <row r="199" spans="1:75" s="62" customFormat="1" ht="21.95" customHeight="1" x14ac:dyDescent="0.2">
      <c r="A199" s="304" t="s">
        <v>3328</v>
      </c>
      <c r="B199" s="305" t="s">
        <v>3329</v>
      </c>
      <c r="C199" s="311" t="s">
        <v>3170</v>
      </c>
      <c r="D199" s="306" t="s">
        <v>3330</v>
      </c>
      <c r="E199" s="307" t="s">
        <v>3331</v>
      </c>
      <c r="F199" s="308" t="s">
        <v>3166</v>
      </c>
      <c r="G199" s="308" t="s">
        <v>3167</v>
      </c>
      <c r="H199" s="309" t="s">
        <v>1528</v>
      </c>
      <c r="I199" s="310" t="s">
        <v>1528</v>
      </c>
      <c r="J199" s="273" t="s">
        <v>3168</v>
      </c>
      <c r="K199" s="276" t="s">
        <v>3173</v>
      </c>
      <c r="L199" s="319">
        <v>0</v>
      </c>
      <c r="M199" s="320">
        <v>0</v>
      </c>
      <c r="N199" s="319">
        <v>0</v>
      </c>
      <c r="O199" s="320">
        <v>0</v>
      </c>
      <c r="P199" s="319">
        <v>0</v>
      </c>
      <c r="Q199" s="320">
        <v>0</v>
      </c>
      <c r="R199" s="319"/>
      <c r="S199" s="320"/>
      <c r="T199" s="319"/>
      <c r="U199" s="320"/>
      <c r="V199" s="319">
        <v>0</v>
      </c>
      <c r="W199" s="320">
        <v>0</v>
      </c>
      <c r="X199" s="319">
        <v>0</v>
      </c>
      <c r="Y199" s="320">
        <v>0</v>
      </c>
      <c r="Z199" s="319">
        <v>0</v>
      </c>
      <c r="AA199" s="320">
        <v>0</v>
      </c>
      <c r="AB199" s="319">
        <v>0</v>
      </c>
      <c r="AC199" s="320">
        <v>0</v>
      </c>
      <c r="AD199" s="319">
        <v>0</v>
      </c>
      <c r="AE199" s="320">
        <v>0</v>
      </c>
      <c r="AF199" s="319"/>
      <c r="AG199" s="320"/>
      <c r="AH199" s="319"/>
      <c r="AI199" s="320"/>
      <c r="AJ199" s="319">
        <v>0</v>
      </c>
      <c r="AK199" s="320">
        <v>0</v>
      </c>
      <c r="AL199" s="319">
        <v>0</v>
      </c>
      <c r="AM199" s="320">
        <v>0</v>
      </c>
      <c r="AN199" s="319">
        <v>0</v>
      </c>
      <c r="AO199" s="320">
        <v>0</v>
      </c>
      <c r="AP199" s="319">
        <v>0</v>
      </c>
      <c r="AQ199" s="320">
        <v>0</v>
      </c>
      <c r="AR199" s="319">
        <v>0</v>
      </c>
      <c r="AS199" s="320">
        <v>0</v>
      </c>
      <c r="AT199" s="319"/>
      <c r="AU199" s="320"/>
      <c r="AV199" s="319"/>
      <c r="AW199" s="320"/>
      <c r="AX199" s="319">
        <v>0</v>
      </c>
      <c r="AY199" s="320">
        <v>0</v>
      </c>
      <c r="AZ199" s="319">
        <v>0</v>
      </c>
      <c r="BA199" s="320">
        <v>0</v>
      </c>
      <c r="BB199" s="319">
        <v>0</v>
      </c>
      <c r="BC199" s="320">
        <v>0</v>
      </c>
      <c r="BD199" s="319">
        <v>0</v>
      </c>
      <c r="BE199" s="320">
        <v>0</v>
      </c>
      <c r="BF199" s="319">
        <v>0</v>
      </c>
      <c r="BG199" s="320">
        <v>0</v>
      </c>
      <c r="BH199" s="319"/>
      <c r="BI199" s="320"/>
      <c r="BJ199" s="319"/>
      <c r="BK199" s="320"/>
      <c r="BL199" s="319">
        <v>0</v>
      </c>
      <c r="BM199" s="320">
        <v>0</v>
      </c>
      <c r="BN199" s="319">
        <v>0</v>
      </c>
      <c r="BO199" s="320">
        <v>0</v>
      </c>
      <c r="BP199" s="319">
        <v>0</v>
      </c>
      <c r="BQ199" s="320">
        <v>0</v>
      </c>
      <c r="BR199" s="319">
        <v>0</v>
      </c>
      <c r="BS199" s="320">
        <v>0</v>
      </c>
      <c r="BT199" s="319"/>
      <c r="BU199" s="320"/>
      <c r="BV199" s="264">
        <f t="shared" si="79"/>
        <v>0</v>
      </c>
      <c r="BW199" s="264">
        <f t="shared" si="80"/>
        <v>0</v>
      </c>
    </row>
    <row r="200" spans="1:75" s="62" customFormat="1" ht="21.95" customHeight="1" x14ac:dyDescent="0.2">
      <c r="A200" s="567" t="s">
        <v>3328</v>
      </c>
      <c r="B200" s="312" t="s">
        <v>3329</v>
      </c>
      <c r="C200" s="313" t="s">
        <v>3170</v>
      </c>
      <c r="D200" s="314" t="s">
        <v>3330</v>
      </c>
      <c r="E200" s="330" t="s">
        <v>3331</v>
      </c>
      <c r="F200" s="315" t="s">
        <v>3166</v>
      </c>
      <c r="G200" s="315" t="s">
        <v>3167</v>
      </c>
      <c r="H200" s="316" t="s">
        <v>1528</v>
      </c>
      <c r="I200" s="568" t="s">
        <v>1528</v>
      </c>
      <c r="J200" s="273" t="s">
        <v>3168</v>
      </c>
      <c r="K200" s="277" t="s">
        <v>53</v>
      </c>
      <c r="L200" s="321">
        <v>0</v>
      </c>
      <c r="M200" s="322">
        <v>0</v>
      </c>
      <c r="N200" s="321">
        <v>0</v>
      </c>
      <c r="O200" s="322">
        <v>0</v>
      </c>
      <c r="P200" s="321">
        <v>0</v>
      </c>
      <c r="Q200" s="322">
        <v>0</v>
      </c>
      <c r="R200" s="321"/>
      <c r="S200" s="322"/>
      <c r="T200" s="321"/>
      <c r="U200" s="322"/>
      <c r="V200" s="321">
        <v>0</v>
      </c>
      <c r="W200" s="322">
        <v>0</v>
      </c>
      <c r="X200" s="321">
        <v>0</v>
      </c>
      <c r="Y200" s="322">
        <v>0</v>
      </c>
      <c r="Z200" s="321">
        <v>0</v>
      </c>
      <c r="AA200" s="322">
        <v>0</v>
      </c>
      <c r="AB200" s="321">
        <v>0</v>
      </c>
      <c r="AC200" s="322">
        <v>0</v>
      </c>
      <c r="AD200" s="321">
        <v>0</v>
      </c>
      <c r="AE200" s="322">
        <v>0</v>
      </c>
      <c r="AF200" s="321"/>
      <c r="AG200" s="322"/>
      <c r="AH200" s="321"/>
      <c r="AI200" s="322"/>
      <c r="AJ200" s="321">
        <v>0</v>
      </c>
      <c r="AK200" s="322">
        <v>0</v>
      </c>
      <c r="AL200" s="321">
        <v>0</v>
      </c>
      <c r="AM200" s="322">
        <v>0</v>
      </c>
      <c r="AN200" s="321">
        <v>0</v>
      </c>
      <c r="AO200" s="322">
        <v>0</v>
      </c>
      <c r="AP200" s="321">
        <v>0</v>
      </c>
      <c r="AQ200" s="322">
        <v>0</v>
      </c>
      <c r="AR200" s="321">
        <v>0</v>
      </c>
      <c r="AS200" s="322">
        <v>0</v>
      </c>
      <c r="AT200" s="321"/>
      <c r="AU200" s="322"/>
      <c r="AV200" s="321"/>
      <c r="AW200" s="322"/>
      <c r="AX200" s="321">
        <v>0</v>
      </c>
      <c r="AY200" s="322">
        <v>0</v>
      </c>
      <c r="AZ200" s="321">
        <v>0</v>
      </c>
      <c r="BA200" s="322">
        <v>0</v>
      </c>
      <c r="BB200" s="321">
        <v>0</v>
      </c>
      <c r="BC200" s="322">
        <v>0</v>
      </c>
      <c r="BD200" s="321">
        <v>0</v>
      </c>
      <c r="BE200" s="322">
        <v>0</v>
      </c>
      <c r="BF200" s="321">
        <v>0</v>
      </c>
      <c r="BG200" s="322">
        <v>0</v>
      </c>
      <c r="BH200" s="321"/>
      <c r="BI200" s="322"/>
      <c r="BJ200" s="321"/>
      <c r="BK200" s="322"/>
      <c r="BL200" s="321">
        <v>0</v>
      </c>
      <c r="BM200" s="322">
        <v>0</v>
      </c>
      <c r="BN200" s="321">
        <v>0</v>
      </c>
      <c r="BO200" s="322">
        <v>0</v>
      </c>
      <c r="BP200" s="321">
        <v>0</v>
      </c>
      <c r="BQ200" s="322">
        <v>0</v>
      </c>
      <c r="BR200" s="321">
        <v>0</v>
      </c>
      <c r="BS200" s="322">
        <v>0</v>
      </c>
      <c r="BT200" s="321"/>
      <c r="BU200" s="322"/>
      <c r="BV200" s="264">
        <f t="shared" si="79"/>
        <v>0</v>
      </c>
      <c r="BW200" s="264">
        <f t="shared" si="80"/>
        <v>0</v>
      </c>
    </row>
    <row r="201" spans="1:75" s="62" customFormat="1" ht="21.95" customHeight="1" x14ac:dyDescent="0.2">
      <c r="A201" s="4"/>
      <c r="B201" s="4"/>
      <c r="C201" s="5"/>
      <c r="D201" s="6"/>
      <c r="E201" s="6"/>
      <c r="F201" s="6"/>
      <c r="G201" s="5"/>
      <c r="H201" s="4"/>
      <c r="I201" s="77"/>
      <c r="J201" s="4"/>
      <c r="K201" s="4"/>
      <c r="L201" s="262"/>
      <c r="M201" s="263"/>
      <c r="N201" s="262"/>
      <c r="O201" s="263"/>
      <c r="P201" s="262"/>
      <c r="Q201" s="263"/>
      <c r="R201" s="262"/>
      <c r="S201" s="263"/>
      <c r="T201" s="262"/>
      <c r="U201" s="263"/>
      <c r="V201" s="262"/>
      <c r="W201" s="263"/>
      <c r="X201" s="262"/>
      <c r="Y201" s="263"/>
      <c r="Z201" s="262"/>
      <c r="AA201" s="263"/>
      <c r="AB201" s="262"/>
      <c r="AC201" s="263"/>
      <c r="AD201" s="262"/>
      <c r="AE201" s="263"/>
      <c r="AF201" s="262"/>
      <c r="AG201" s="263"/>
      <c r="AH201" s="262"/>
      <c r="AI201" s="263"/>
      <c r="AJ201" s="262"/>
      <c r="AK201" s="263"/>
      <c r="AL201" s="262"/>
      <c r="AM201" s="263"/>
      <c r="AN201" s="262"/>
      <c r="AO201" s="263"/>
      <c r="AP201" s="262"/>
      <c r="AQ201" s="263"/>
      <c r="AR201" s="262"/>
      <c r="AS201" s="263"/>
      <c r="AT201" s="262"/>
      <c r="AU201" s="263"/>
      <c r="AV201" s="262"/>
      <c r="AW201" s="263"/>
      <c r="AX201" s="262"/>
      <c r="AY201" s="263"/>
      <c r="AZ201" s="262"/>
      <c r="BA201" s="263"/>
      <c r="BB201" s="262"/>
      <c r="BC201" s="263"/>
      <c r="BD201" s="262"/>
      <c r="BE201" s="263"/>
      <c r="BF201" s="262"/>
      <c r="BG201" s="263"/>
      <c r="BH201" s="262"/>
      <c r="BI201" s="263"/>
      <c r="BJ201" s="262"/>
      <c r="BK201" s="263"/>
      <c r="BL201" s="262"/>
      <c r="BM201" s="263"/>
      <c r="BN201" s="262"/>
      <c r="BO201" s="263"/>
      <c r="BP201" s="262"/>
      <c r="BQ201" s="263"/>
      <c r="BR201" s="262"/>
      <c r="BS201" s="263"/>
      <c r="BT201" s="262"/>
      <c r="BU201" s="263"/>
      <c r="BV201" s="264"/>
      <c r="BW201" s="264"/>
    </row>
    <row r="202" spans="1:75" s="62" customFormat="1" ht="21.95" customHeight="1" x14ac:dyDescent="0.2">
      <c r="A202" s="4"/>
      <c r="B202" s="4"/>
      <c r="C202" s="5"/>
      <c r="D202" s="6"/>
      <c r="E202" s="6"/>
      <c r="F202" s="6"/>
      <c r="G202" s="5"/>
      <c r="H202" s="4"/>
      <c r="I202" s="77"/>
      <c r="J202" s="4"/>
      <c r="K202" s="4"/>
      <c r="L202" s="262">
        <f t="shared" ref="L202:BU202" si="81">SUM(L6:L201)</f>
        <v>0</v>
      </c>
      <c r="M202" s="262">
        <f t="shared" si="81"/>
        <v>0</v>
      </c>
      <c r="N202" s="262">
        <f t="shared" si="81"/>
        <v>0</v>
      </c>
      <c r="O202" s="262">
        <f t="shared" si="81"/>
        <v>0</v>
      </c>
      <c r="P202" s="262">
        <f t="shared" si="81"/>
        <v>0</v>
      </c>
      <c r="Q202" s="262">
        <f t="shared" si="81"/>
        <v>0</v>
      </c>
      <c r="R202" s="262">
        <f t="shared" si="81"/>
        <v>0</v>
      </c>
      <c r="S202" s="262">
        <f t="shared" si="81"/>
        <v>0</v>
      </c>
      <c r="T202" s="262">
        <f t="shared" si="81"/>
        <v>0</v>
      </c>
      <c r="U202" s="262">
        <f t="shared" si="81"/>
        <v>0</v>
      </c>
      <c r="V202" s="262">
        <f t="shared" si="81"/>
        <v>98</v>
      </c>
      <c r="W202" s="262">
        <f t="shared" si="81"/>
        <v>1</v>
      </c>
      <c r="X202" s="262">
        <f t="shared" si="81"/>
        <v>0</v>
      </c>
      <c r="Y202" s="262">
        <f t="shared" si="81"/>
        <v>0</v>
      </c>
      <c r="Z202" s="262">
        <f t="shared" si="81"/>
        <v>0</v>
      </c>
      <c r="AA202" s="262">
        <f t="shared" si="81"/>
        <v>0</v>
      </c>
      <c r="AB202" s="262">
        <f t="shared" si="81"/>
        <v>0</v>
      </c>
      <c r="AC202" s="262">
        <f t="shared" si="81"/>
        <v>0</v>
      </c>
      <c r="AD202" s="262">
        <f t="shared" si="81"/>
        <v>0</v>
      </c>
      <c r="AE202" s="262">
        <f t="shared" si="81"/>
        <v>0</v>
      </c>
      <c r="AF202" s="262">
        <f t="shared" si="81"/>
        <v>0</v>
      </c>
      <c r="AG202" s="262">
        <f t="shared" si="81"/>
        <v>0</v>
      </c>
      <c r="AH202" s="262">
        <f t="shared" si="81"/>
        <v>0</v>
      </c>
      <c r="AI202" s="262">
        <f t="shared" si="81"/>
        <v>0</v>
      </c>
      <c r="AJ202" s="262">
        <f t="shared" si="81"/>
        <v>98</v>
      </c>
      <c r="AK202" s="262">
        <f t="shared" si="81"/>
        <v>1</v>
      </c>
      <c r="AL202" s="262">
        <f t="shared" si="81"/>
        <v>0</v>
      </c>
      <c r="AM202" s="262">
        <f t="shared" si="81"/>
        <v>0</v>
      </c>
      <c r="AN202" s="262">
        <f t="shared" si="81"/>
        <v>0</v>
      </c>
      <c r="AO202" s="262">
        <f t="shared" si="81"/>
        <v>0</v>
      </c>
      <c r="AP202" s="262">
        <f t="shared" si="81"/>
        <v>0</v>
      </c>
      <c r="AQ202" s="262">
        <f t="shared" si="81"/>
        <v>0</v>
      </c>
      <c r="AR202" s="262">
        <f t="shared" si="81"/>
        <v>0</v>
      </c>
      <c r="AS202" s="262">
        <f t="shared" si="81"/>
        <v>0</v>
      </c>
      <c r="AT202" s="262">
        <f t="shared" si="81"/>
        <v>0</v>
      </c>
      <c r="AU202" s="262">
        <f t="shared" si="81"/>
        <v>0</v>
      </c>
      <c r="AV202" s="262">
        <f t="shared" si="81"/>
        <v>0</v>
      </c>
      <c r="AW202" s="262">
        <f t="shared" si="81"/>
        <v>0</v>
      </c>
      <c r="AX202" s="262">
        <f t="shared" si="81"/>
        <v>98</v>
      </c>
      <c r="AY202" s="262">
        <f t="shared" si="81"/>
        <v>1</v>
      </c>
      <c r="AZ202" s="262">
        <f t="shared" si="81"/>
        <v>0</v>
      </c>
      <c r="BA202" s="262">
        <f t="shared" si="81"/>
        <v>0</v>
      </c>
      <c r="BB202" s="262">
        <f t="shared" si="81"/>
        <v>0</v>
      </c>
      <c r="BC202" s="262">
        <f t="shared" si="81"/>
        <v>0</v>
      </c>
      <c r="BD202" s="262">
        <f t="shared" si="81"/>
        <v>0</v>
      </c>
      <c r="BE202" s="262">
        <f t="shared" si="81"/>
        <v>0</v>
      </c>
      <c r="BF202" s="262">
        <f t="shared" si="81"/>
        <v>0</v>
      </c>
      <c r="BG202" s="262">
        <f t="shared" si="81"/>
        <v>0</v>
      </c>
      <c r="BH202" s="262">
        <f t="shared" si="81"/>
        <v>0</v>
      </c>
      <c r="BI202" s="262">
        <f t="shared" si="81"/>
        <v>0</v>
      </c>
      <c r="BJ202" s="262">
        <f t="shared" si="81"/>
        <v>0</v>
      </c>
      <c r="BK202" s="262">
        <f t="shared" si="81"/>
        <v>0</v>
      </c>
      <c r="BL202" s="262">
        <f t="shared" si="81"/>
        <v>98</v>
      </c>
      <c r="BM202" s="262">
        <f t="shared" si="81"/>
        <v>1</v>
      </c>
      <c r="BN202" s="262">
        <f t="shared" si="81"/>
        <v>0</v>
      </c>
      <c r="BO202" s="262">
        <f t="shared" si="81"/>
        <v>0</v>
      </c>
      <c r="BP202" s="262">
        <f t="shared" si="81"/>
        <v>0</v>
      </c>
      <c r="BQ202" s="262">
        <f t="shared" si="81"/>
        <v>0</v>
      </c>
      <c r="BR202" s="262">
        <f t="shared" si="81"/>
        <v>0</v>
      </c>
      <c r="BS202" s="262">
        <f t="shared" si="81"/>
        <v>0</v>
      </c>
      <c r="BT202" s="262">
        <f t="shared" si="81"/>
        <v>0</v>
      </c>
      <c r="BU202" s="262">
        <f t="shared" si="81"/>
        <v>0</v>
      </c>
      <c r="BV202" s="262">
        <f>SUM(BV6:BV201)</f>
        <v>392</v>
      </c>
      <c r="BW202" s="262">
        <f>SUM(BW6:BW201)</f>
        <v>4</v>
      </c>
    </row>
    <row r="203" spans="1:75" ht="21.95" customHeight="1" x14ac:dyDescent="0.25">
      <c r="A203" s="259"/>
      <c r="L203" s="262"/>
      <c r="M203" s="263"/>
      <c r="N203" s="262"/>
      <c r="O203" s="263"/>
      <c r="P203" s="262"/>
      <c r="Q203" s="263"/>
      <c r="R203" s="262"/>
      <c r="S203" s="263"/>
      <c r="T203" s="262"/>
      <c r="U203" s="263"/>
      <c r="V203" s="262"/>
      <c r="W203" s="263"/>
      <c r="X203" s="262"/>
      <c r="Y203" s="263"/>
      <c r="Z203" s="262"/>
      <c r="AA203" s="263"/>
      <c r="AB203" s="262"/>
      <c r="AC203" s="263"/>
      <c r="AD203" s="262"/>
      <c r="AE203" s="263"/>
      <c r="AF203" s="262"/>
      <c r="AG203" s="263"/>
      <c r="AH203" s="262"/>
      <c r="AI203" s="263"/>
      <c r="AJ203" s="262"/>
      <c r="AK203" s="263"/>
      <c r="AL203" s="262"/>
      <c r="AM203" s="263"/>
      <c r="AN203" s="262"/>
      <c r="AO203" s="263"/>
      <c r="AP203" s="262"/>
      <c r="AQ203" s="263"/>
      <c r="AR203" s="262"/>
      <c r="AS203" s="263"/>
      <c r="AT203" s="262"/>
      <c r="AU203" s="263"/>
      <c r="AV203" s="262"/>
      <c r="AW203" s="263"/>
      <c r="AX203" s="262"/>
      <c r="AY203" s="263"/>
      <c r="AZ203" s="262"/>
      <c r="BA203" s="263"/>
      <c r="BB203" s="262"/>
      <c r="BC203" s="263"/>
      <c r="BD203" s="262"/>
      <c r="BE203" s="263"/>
      <c r="BF203" s="262"/>
      <c r="BG203" s="263"/>
      <c r="BH203" s="262"/>
      <c r="BI203" s="263"/>
      <c r="BJ203" s="262"/>
      <c r="BK203" s="263"/>
      <c r="BL203" s="262"/>
      <c r="BM203" s="263"/>
      <c r="BN203" s="262"/>
      <c r="BO203" s="263"/>
      <c r="BP203" s="262"/>
      <c r="BQ203" s="263"/>
      <c r="BR203" s="262"/>
      <c r="BS203" s="263"/>
      <c r="BT203" s="262"/>
      <c r="BU203" s="263"/>
      <c r="BV203" s="264"/>
      <c r="BW203" s="264"/>
    </row>
    <row r="204" spans="1:75" ht="21.95" customHeight="1" x14ac:dyDescent="0.2">
      <c r="A204" s="77"/>
      <c r="B204" s="77"/>
      <c r="C204" s="258"/>
      <c r="D204" s="260"/>
      <c r="E204" s="260"/>
      <c r="F204" s="260"/>
      <c r="G204" s="258"/>
      <c r="H204" s="77"/>
      <c r="J204" s="261"/>
      <c r="K204" s="77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262"/>
      <c r="BH204" s="262"/>
      <c r="BI204" s="262"/>
      <c r="BJ204" s="262"/>
      <c r="BK204" s="262"/>
      <c r="BL204" s="262"/>
      <c r="BM204" s="262"/>
      <c r="BN204" s="262"/>
      <c r="BO204" s="262"/>
      <c r="BP204" s="262"/>
      <c r="BQ204" s="262"/>
      <c r="BR204" s="262"/>
      <c r="BS204" s="262"/>
      <c r="BT204" s="262"/>
      <c r="BU204" s="262"/>
    </row>
  </sheetData>
  <sheetProtection autoFilter="0"/>
  <dataConsolidate/>
  <mergeCells count="36">
    <mergeCell ref="A1:F2"/>
    <mergeCell ref="G1:H1"/>
    <mergeCell ref="I1:J2"/>
    <mergeCell ref="G2:H2"/>
    <mergeCell ref="F4:G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N4:O4"/>
    <mergeCell ref="P4:Q4"/>
    <mergeCell ref="R4:S4"/>
    <mergeCell ref="T4:U4"/>
    <mergeCell ref="L4:M4"/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</mergeCells>
  <conditionalFormatting sqref="I6:I200">
    <cfRule type="expression" dxfId="591" priority="401">
      <formula>C7="CSE"</formula>
    </cfRule>
    <cfRule type="expression" dxfId="590" priority="402">
      <formula>C7="CSC"</formula>
    </cfRule>
    <cfRule type="expression" dxfId="589" priority="403">
      <formula>C7="CSE"</formula>
    </cfRule>
    <cfRule type="expression" dxfId="588" priority="404">
      <formula>C7="CSC"</formula>
    </cfRule>
  </conditionalFormatting>
  <conditionalFormatting sqref="I10">
    <cfRule type="expression" dxfId="587" priority="393">
      <formula>C10="CSE"</formula>
    </cfRule>
    <cfRule type="expression" dxfId="586" priority="394">
      <formula>C10="CSC"</formula>
    </cfRule>
    <cfRule type="expression" dxfId="585" priority="395">
      <formula>C10="CSE"</formula>
    </cfRule>
    <cfRule type="expression" dxfId="584" priority="396">
      <formula>C10="CSC"</formula>
    </cfRule>
    <cfRule type="expression" dxfId="583" priority="397">
      <formula>C10="CSE"</formula>
    </cfRule>
    <cfRule type="expression" dxfId="582" priority="398">
      <formula>C10="CSC"</formula>
    </cfRule>
    <cfRule type="expression" dxfId="581" priority="399">
      <formula>C10="CSE"</formula>
    </cfRule>
    <cfRule type="expression" dxfId="580" priority="400">
      <formula>C10="CSC"</formula>
    </cfRule>
  </conditionalFormatting>
  <conditionalFormatting sqref="I15">
    <cfRule type="expression" dxfId="579" priority="385">
      <formula>C15="CSE"</formula>
    </cfRule>
    <cfRule type="expression" dxfId="578" priority="386">
      <formula>C15="CSC"</formula>
    </cfRule>
    <cfRule type="expression" dxfId="577" priority="387">
      <formula>C15="CSE"</formula>
    </cfRule>
    <cfRule type="expression" dxfId="576" priority="388">
      <formula>C15="CSC"</formula>
    </cfRule>
    <cfRule type="expression" dxfId="575" priority="389">
      <formula>C15="CSE"</formula>
    </cfRule>
    <cfRule type="expression" dxfId="574" priority="390">
      <formula>C15="CSC"</formula>
    </cfRule>
    <cfRule type="expression" dxfId="573" priority="391">
      <formula>C15="CSE"</formula>
    </cfRule>
    <cfRule type="expression" dxfId="572" priority="392">
      <formula>C15="CSC"</formula>
    </cfRule>
  </conditionalFormatting>
  <conditionalFormatting sqref="I20">
    <cfRule type="expression" dxfId="571" priority="377">
      <formula>C20="CSE"</formula>
    </cfRule>
    <cfRule type="expression" dxfId="570" priority="378">
      <formula>C20="CSC"</formula>
    </cfRule>
    <cfRule type="expression" dxfId="569" priority="379">
      <formula>C20="CSE"</formula>
    </cfRule>
    <cfRule type="expression" dxfId="568" priority="380">
      <formula>C20="CSC"</formula>
    </cfRule>
    <cfRule type="expression" dxfId="567" priority="381">
      <formula>C20="CSE"</formula>
    </cfRule>
    <cfRule type="expression" dxfId="566" priority="382">
      <formula>C20="CSC"</formula>
    </cfRule>
    <cfRule type="expression" dxfId="565" priority="383">
      <formula>C20="CSE"</formula>
    </cfRule>
    <cfRule type="expression" dxfId="564" priority="384">
      <formula>C20="CSC"</formula>
    </cfRule>
  </conditionalFormatting>
  <conditionalFormatting sqref="I25">
    <cfRule type="expression" dxfId="563" priority="369">
      <formula>C25="CSE"</formula>
    </cfRule>
    <cfRule type="expression" dxfId="562" priority="370">
      <formula>C25="CSC"</formula>
    </cfRule>
    <cfRule type="expression" dxfId="561" priority="371">
      <formula>C25="CSE"</formula>
    </cfRule>
    <cfRule type="expression" dxfId="560" priority="372">
      <formula>C25="CSC"</formula>
    </cfRule>
    <cfRule type="expression" dxfId="559" priority="373">
      <formula>C25="CSE"</formula>
    </cfRule>
    <cfRule type="expression" dxfId="558" priority="374">
      <formula>C25="CSC"</formula>
    </cfRule>
    <cfRule type="expression" dxfId="557" priority="375">
      <formula>C25="CSE"</formula>
    </cfRule>
    <cfRule type="expression" dxfId="556" priority="376">
      <formula>C25="CSC"</formula>
    </cfRule>
  </conditionalFormatting>
  <conditionalFormatting sqref="I30">
    <cfRule type="expression" dxfId="555" priority="361">
      <formula>C30="CSE"</formula>
    </cfRule>
    <cfRule type="expression" dxfId="554" priority="362">
      <formula>C30="CSC"</formula>
    </cfRule>
    <cfRule type="expression" dxfId="553" priority="363">
      <formula>C30="CSE"</formula>
    </cfRule>
    <cfRule type="expression" dxfId="552" priority="364">
      <formula>C30="CSC"</formula>
    </cfRule>
    <cfRule type="expression" dxfId="551" priority="365">
      <formula>C30="CSE"</formula>
    </cfRule>
    <cfRule type="expression" dxfId="550" priority="366">
      <formula>C30="CSC"</formula>
    </cfRule>
    <cfRule type="expression" dxfId="549" priority="367">
      <formula>C30="CSE"</formula>
    </cfRule>
    <cfRule type="expression" dxfId="548" priority="368">
      <formula>C30="CSC"</formula>
    </cfRule>
  </conditionalFormatting>
  <conditionalFormatting sqref="I35">
    <cfRule type="expression" dxfId="547" priority="353">
      <formula>C35="CSE"</formula>
    </cfRule>
    <cfRule type="expression" dxfId="546" priority="354">
      <formula>C35="CSC"</formula>
    </cfRule>
    <cfRule type="expression" dxfId="545" priority="355">
      <formula>C35="CSE"</formula>
    </cfRule>
    <cfRule type="expression" dxfId="544" priority="356">
      <formula>C35="CSC"</formula>
    </cfRule>
    <cfRule type="expression" dxfId="543" priority="357">
      <formula>C35="CSE"</formula>
    </cfRule>
    <cfRule type="expression" dxfId="542" priority="358">
      <formula>C35="CSC"</formula>
    </cfRule>
    <cfRule type="expression" dxfId="541" priority="359">
      <formula>C35="CSE"</formula>
    </cfRule>
    <cfRule type="expression" dxfId="540" priority="360">
      <formula>C35="CSC"</formula>
    </cfRule>
  </conditionalFormatting>
  <conditionalFormatting sqref="I40">
    <cfRule type="expression" dxfId="539" priority="345">
      <formula>C40="CSE"</formula>
    </cfRule>
    <cfRule type="expression" dxfId="538" priority="346">
      <formula>C40="CSC"</formula>
    </cfRule>
    <cfRule type="expression" dxfId="537" priority="347">
      <formula>C40="CSE"</formula>
    </cfRule>
    <cfRule type="expression" dxfId="536" priority="348">
      <formula>C40="CSC"</formula>
    </cfRule>
    <cfRule type="expression" dxfId="535" priority="349">
      <formula>C40="CSE"</formula>
    </cfRule>
    <cfRule type="expression" dxfId="534" priority="350">
      <formula>C40="CSC"</formula>
    </cfRule>
    <cfRule type="expression" dxfId="533" priority="351">
      <formula>C40="CSE"</formula>
    </cfRule>
    <cfRule type="expression" dxfId="532" priority="352">
      <formula>C40="CSC"</formula>
    </cfRule>
  </conditionalFormatting>
  <conditionalFormatting sqref="I45">
    <cfRule type="expression" dxfId="531" priority="337">
      <formula>C45="CSE"</formula>
    </cfRule>
    <cfRule type="expression" dxfId="530" priority="338">
      <formula>C45="CSC"</formula>
    </cfRule>
    <cfRule type="expression" dxfId="529" priority="339">
      <formula>C45="CSE"</formula>
    </cfRule>
    <cfRule type="expression" dxfId="528" priority="340">
      <formula>C45="CSC"</formula>
    </cfRule>
    <cfRule type="expression" dxfId="527" priority="341">
      <formula>C45="CSE"</formula>
    </cfRule>
    <cfRule type="expression" dxfId="526" priority="342">
      <formula>C45="CSC"</formula>
    </cfRule>
    <cfRule type="expression" dxfId="525" priority="343">
      <formula>C45="CSE"</formula>
    </cfRule>
    <cfRule type="expression" dxfId="524" priority="344">
      <formula>C45="CSC"</formula>
    </cfRule>
  </conditionalFormatting>
  <conditionalFormatting sqref="I50">
    <cfRule type="expression" dxfId="523" priority="329">
      <formula>C50="CSE"</formula>
    </cfRule>
    <cfRule type="expression" dxfId="522" priority="330">
      <formula>C50="CSC"</formula>
    </cfRule>
    <cfRule type="expression" dxfId="521" priority="331">
      <formula>C50="CSE"</formula>
    </cfRule>
    <cfRule type="expression" dxfId="520" priority="332">
      <formula>C50="CSC"</formula>
    </cfRule>
    <cfRule type="expression" dxfId="519" priority="333">
      <formula>C50="CSE"</formula>
    </cfRule>
    <cfRule type="expression" dxfId="518" priority="334">
      <formula>C50="CSC"</formula>
    </cfRule>
    <cfRule type="expression" dxfId="517" priority="335">
      <formula>C50="CSE"</formula>
    </cfRule>
    <cfRule type="expression" dxfId="516" priority="336">
      <formula>C50="CSC"</formula>
    </cfRule>
  </conditionalFormatting>
  <conditionalFormatting sqref="I55">
    <cfRule type="expression" dxfId="515" priority="321">
      <formula>C55="CSE"</formula>
    </cfRule>
    <cfRule type="expression" dxfId="514" priority="322">
      <formula>C55="CSC"</formula>
    </cfRule>
    <cfRule type="expression" dxfId="513" priority="323">
      <formula>C55="CSE"</formula>
    </cfRule>
    <cfRule type="expression" dxfId="512" priority="324">
      <formula>C55="CSC"</formula>
    </cfRule>
    <cfRule type="expression" dxfId="511" priority="325">
      <formula>C55="CSE"</formula>
    </cfRule>
    <cfRule type="expression" dxfId="510" priority="326">
      <formula>C55="CSC"</formula>
    </cfRule>
    <cfRule type="expression" dxfId="509" priority="327">
      <formula>C55="CSE"</formula>
    </cfRule>
    <cfRule type="expression" dxfId="508" priority="328">
      <formula>C55="CSC"</formula>
    </cfRule>
  </conditionalFormatting>
  <conditionalFormatting sqref="I60">
    <cfRule type="expression" dxfId="507" priority="313">
      <formula>C60="CSE"</formula>
    </cfRule>
    <cfRule type="expression" dxfId="506" priority="314">
      <formula>C60="CSC"</formula>
    </cfRule>
    <cfRule type="expression" dxfId="505" priority="315">
      <formula>C60="CSE"</formula>
    </cfRule>
    <cfRule type="expression" dxfId="504" priority="316">
      <formula>C60="CSC"</formula>
    </cfRule>
    <cfRule type="expression" dxfId="503" priority="317">
      <formula>C60="CSE"</formula>
    </cfRule>
    <cfRule type="expression" dxfId="502" priority="318">
      <formula>C60="CSC"</formula>
    </cfRule>
    <cfRule type="expression" dxfId="501" priority="319">
      <formula>C60="CSE"</formula>
    </cfRule>
    <cfRule type="expression" dxfId="500" priority="320">
      <formula>C60="CSC"</formula>
    </cfRule>
  </conditionalFormatting>
  <conditionalFormatting sqref="I65">
    <cfRule type="expression" dxfId="499" priority="305">
      <formula>C65="CSE"</formula>
    </cfRule>
    <cfRule type="expression" dxfId="498" priority="306">
      <formula>C65="CSC"</formula>
    </cfRule>
    <cfRule type="expression" dxfId="497" priority="307">
      <formula>C65="CSE"</formula>
    </cfRule>
    <cfRule type="expression" dxfId="496" priority="308">
      <formula>C65="CSC"</formula>
    </cfRule>
    <cfRule type="expression" dxfId="495" priority="309">
      <formula>C65="CSE"</formula>
    </cfRule>
    <cfRule type="expression" dxfId="494" priority="310">
      <formula>C65="CSC"</formula>
    </cfRule>
    <cfRule type="expression" dxfId="493" priority="311">
      <formula>C65="CSE"</formula>
    </cfRule>
    <cfRule type="expression" dxfId="492" priority="312">
      <formula>C65="CSC"</formula>
    </cfRule>
  </conditionalFormatting>
  <conditionalFormatting sqref="I70">
    <cfRule type="expression" dxfId="491" priority="297">
      <formula>C70="CSE"</formula>
    </cfRule>
    <cfRule type="expression" dxfId="490" priority="298">
      <formula>C70="CSC"</formula>
    </cfRule>
    <cfRule type="expression" dxfId="489" priority="299">
      <formula>C70="CSE"</formula>
    </cfRule>
    <cfRule type="expression" dxfId="488" priority="300">
      <formula>C70="CSC"</formula>
    </cfRule>
    <cfRule type="expression" dxfId="487" priority="301">
      <formula>C70="CSE"</formula>
    </cfRule>
    <cfRule type="expression" dxfId="486" priority="302">
      <formula>C70="CSC"</formula>
    </cfRule>
    <cfRule type="expression" dxfId="485" priority="303">
      <formula>C70="CSE"</formula>
    </cfRule>
    <cfRule type="expression" dxfId="484" priority="304">
      <formula>C70="CSC"</formula>
    </cfRule>
  </conditionalFormatting>
  <conditionalFormatting sqref="I75">
    <cfRule type="expression" dxfId="483" priority="289">
      <formula>C75="CSE"</formula>
    </cfRule>
    <cfRule type="expression" dxfId="482" priority="290">
      <formula>C75="CSC"</formula>
    </cfRule>
    <cfRule type="expression" dxfId="481" priority="291">
      <formula>C75="CSE"</formula>
    </cfRule>
    <cfRule type="expression" dxfId="480" priority="292">
      <formula>C75="CSC"</formula>
    </cfRule>
    <cfRule type="expression" dxfId="479" priority="293">
      <formula>C75="CSE"</formula>
    </cfRule>
    <cfRule type="expression" dxfId="478" priority="294">
      <formula>C75="CSC"</formula>
    </cfRule>
    <cfRule type="expression" dxfId="477" priority="295">
      <formula>C75="CSE"</formula>
    </cfRule>
    <cfRule type="expression" dxfId="476" priority="296">
      <formula>C75="CSC"</formula>
    </cfRule>
  </conditionalFormatting>
  <conditionalFormatting sqref="I80">
    <cfRule type="expression" dxfId="475" priority="281">
      <formula>C80="CSE"</formula>
    </cfRule>
    <cfRule type="expression" dxfId="474" priority="282">
      <formula>C80="CSC"</formula>
    </cfRule>
    <cfRule type="expression" dxfId="473" priority="283">
      <formula>C80="CSE"</formula>
    </cfRule>
    <cfRule type="expression" dxfId="472" priority="284">
      <formula>C80="CSC"</formula>
    </cfRule>
    <cfRule type="expression" dxfId="471" priority="285">
      <formula>C80="CSE"</formula>
    </cfRule>
    <cfRule type="expression" dxfId="470" priority="286">
      <formula>C80="CSC"</formula>
    </cfRule>
    <cfRule type="expression" dxfId="469" priority="287">
      <formula>C80="CSE"</formula>
    </cfRule>
    <cfRule type="expression" dxfId="468" priority="288">
      <formula>C80="CSC"</formula>
    </cfRule>
  </conditionalFormatting>
  <conditionalFormatting sqref="I85">
    <cfRule type="expression" dxfId="467" priority="273">
      <formula>C85="CSE"</formula>
    </cfRule>
    <cfRule type="expression" dxfId="466" priority="274">
      <formula>C85="CSC"</formula>
    </cfRule>
    <cfRule type="expression" dxfId="465" priority="275">
      <formula>C85="CSE"</formula>
    </cfRule>
    <cfRule type="expression" dxfId="464" priority="276">
      <formula>C85="CSC"</formula>
    </cfRule>
    <cfRule type="expression" dxfId="463" priority="277">
      <formula>C85="CSE"</formula>
    </cfRule>
    <cfRule type="expression" dxfId="462" priority="278">
      <formula>C85="CSC"</formula>
    </cfRule>
    <cfRule type="expression" dxfId="461" priority="279">
      <formula>C85="CSE"</formula>
    </cfRule>
    <cfRule type="expression" dxfId="460" priority="280">
      <formula>C85="CSC"</formula>
    </cfRule>
  </conditionalFormatting>
  <conditionalFormatting sqref="I90">
    <cfRule type="expression" dxfId="459" priority="265">
      <formula>C90="CSE"</formula>
    </cfRule>
    <cfRule type="expression" dxfId="458" priority="266">
      <formula>C90="CSC"</formula>
    </cfRule>
    <cfRule type="expression" dxfId="457" priority="267">
      <formula>C90="CSE"</formula>
    </cfRule>
    <cfRule type="expression" dxfId="456" priority="268">
      <formula>C90="CSC"</formula>
    </cfRule>
    <cfRule type="expression" dxfId="455" priority="269">
      <formula>C90="CSE"</formula>
    </cfRule>
    <cfRule type="expression" dxfId="454" priority="270">
      <formula>C90="CSC"</formula>
    </cfRule>
    <cfRule type="expression" dxfId="453" priority="271">
      <formula>C90="CSE"</formula>
    </cfRule>
    <cfRule type="expression" dxfId="452" priority="272">
      <formula>C90="CSC"</formula>
    </cfRule>
  </conditionalFormatting>
  <conditionalFormatting sqref="I95">
    <cfRule type="expression" dxfId="451" priority="257">
      <formula>C95="CSE"</formula>
    </cfRule>
    <cfRule type="expression" dxfId="450" priority="258">
      <formula>C95="CSC"</formula>
    </cfRule>
    <cfRule type="expression" dxfId="449" priority="259">
      <formula>C95="CSE"</formula>
    </cfRule>
    <cfRule type="expression" dxfId="448" priority="260">
      <formula>C95="CSC"</formula>
    </cfRule>
    <cfRule type="expression" dxfId="447" priority="261">
      <formula>C95="CSE"</formula>
    </cfRule>
    <cfRule type="expression" dxfId="446" priority="262">
      <formula>C95="CSC"</formula>
    </cfRule>
    <cfRule type="expression" dxfId="445" priority="263">
      <formula>C95="CSE"</formula>
    </cfRule>
    <cfRule type="expression" dxfId="444" priority="264">
      <formula>C95="CSC"</formula>
    </cfRule>
  </conditionalFormatting>
  <conditionalFormatting sqref="I100">
    <cfRule type="expression" dxfId="443" priority="249">
      <formula>C100="CSE"</formula>
    </cfRule>
    <cfRule type="expression" dxfId="442" priority="250">
      <formula>C100="CSC"</formula>
    </cfRule>
    <cfRule type="expression" dxfId="441" priority="251">
      <formula>C100="CSE"</formula>
    </cfRule>
    <cfRule type="expression" dxfId="440" priority="252">
      <formula>C100="CSC"</formula>
    </cfRule>
    <cfRule type="expression" dxfId="439" priority="253">
      <formula>C100="CSE"</formula>
    </cfRule>
    <cfRule type="expression" dxfId="438" priority="254">
      <formula>C100="CSC"</formula>
    </cfRule>
    <cfRule type="expression" dxfId="437" priority="255">
      <formula>C100="CSE"</formula>
    </cfRule>
    <cfRule type="expression" dxfId="436" priority="256">
      <formula>C100="CSC"</formula>
    </cfRule>
  </conditionalFormatting>
  <conditionalFormatting sqref="I105">
    <cfRule type="expression" dxfId="435" priority="241">
      <formula>C105="CSE"</formula>
    </cfRule>
    <cfRule type="expression" dxfId="434" priority="242">
      <formula>C105="CSC"</formula>
    </cfRule>
    <cfRule type="expression" dxfId="433" priority="243">
      <formula>C105="CSE"</formula>
    </cfRule>
    <cfRule type="expression" dxfId="432" priority="244">
      <formula>C105="CSC"</formula>
    </cfRule>
    <cfRule type="expression" dxfId="431" priority="245">
      <formula>C105="CSE"</formula>
    </cfRule>
    <cfRule type="expression" dxfId="430" priority="246">
      <formula>C105="CSC"</formula>
    </cfRule>
    <cfRule type="expression" dxfId="429" priority="247">
      <formula>C105="CSE"</formula>
    </cfRule>
    <cfRule type="expression" dxfId="428" priority="248">
      <formula>C105="CSC"</formula>
    </cfRule>
  </conditionalFormatting>
  <conditionalFormatting sqref="I110">
    <cfRule type="expression" dxfId="427" priority="233">
      <formula>C110="CSE"</formula>
    </cfRule>
    <cfRule type="expression" dxfId="426" priority="234">
      <formula>C110="CSC"</formula>
    </cfRule>
    <cfRule type="expression" dxfId="425" priority="235">
      <formula>C110="CSE"</formula>
    </cfRule>
    <cfRule type="expression" dxfId="424" priority="236">
      <formula>C110="CSC"</formula>
    </cfRule>
    <cfRule type="expression" dxfId="423" priority="237">
      <formula>C110="CSE"</formula>
    </cfRule>
    <cfRule type="expression" dxfId="422" priority="238">
      <formula>C110="CSC"</formula>
    </cfRule>
    <cfRule type="expression" dxfId="421" priority="239">
      <formula>C110="CSE"</formula>
    </cfRule>
    <cfRule type="expression" dxfId="420" priority="240">
      <formula>C110="CSC"</formula>
    </cfRule>
  </conditionalFormatting>
  <conditionalFormatting sqref="I115">
    <cfRule type="expression" dxfId="419" priority="225">
      <formula>C115="CSE"</formula>
    </cfRule>
    <cfRule type="expression" dxfId="418" priority="226">
      <formula>C115="CSC"</formula>
    </cfRule>
    <cfRule type="expression" dxfId="417" priority="227">
      <formula>C115="CSE"</formula>
    </cfRule>
    <cfRule type="expression" dxfId="416" priority="228">
      <formula>C115="CSC"</formula>
    </cfRule>
    <cfRule type="expression" dxfId="415" priority="229">
      <formula>C115="CSE"</formula>
    </cfRule>
    <cfRule type="expression" dxfId="414" priority="230">
      <formula>C115="CSC"</formula>
    </cfRule>
    <cfRule type="expression" dxfId="413" priority="231">
      <formula>C115="CSE"</formula>
    </cfRule>
    <cfRule type="expression" dxfId="412" priority="232">
      <formula>C115="CSC"</formula>
    </cfRule>
  </conditionalFormatting>
  <conditionalFormatting sqref="I120">
    <cfRule type="expression" dxfId="411" priority="217">
      <formula>C120="CSE"</formula>
    </cfRule>
    <cfRule type="expression" dxfId="410" priority="218">
      <formula>C120="CSC"</formula>
    </cfRule>
    <cfRule type="expression" dxfId="409" priority="219">
      <formula>C120="CSE"</formula>
    </cfRule>
    <cfRule type="expression" dxfId="408" priority="220">
      <formula>C120="CSC"</formula>
    </cfRule>
    <cfRule type="expression" dxfId="407" priority="221">
      <formula>C120="CSE"</formula>
    </cfRule>
    <cfRule type="expression" dxfId="406" priority="222">
      <formula>C120="CSC"</formula>
    </cfRule>
    <cfRule type="expression" dxfId="405" priority="223">
      <formula>C120="CSE"</formula>
    </cfRule>
    <cfRule type="expression" dxfId="404" priority="224">
      <formula>C120="CSC"</formula>
    </cfRule>
  </conditionalFormatting>
  <conditionalFormatting sqref="I125">
    <cfRule type="expression" dxfId="403" priority="209">
      <formula>C125="CSE"</formula>
    </cfRule>
    <cfRule type="expression" dxfId="402" priority="210">
      <formula>C125="CSC"</formula>
    </cfRule>
    <cfRule type="expression" dxfId="401" priority="211">
      <formula>C125="CSE"</formula>
    </cfRule>
    <cfRule type="expression" dxfId="400" priority="212">
      <formula>C125="CSC"</formula>
    </cfRule>
    <cfRule type="expression" dxfId="399" priority="213">
      <formula>C125="CSE"</formula>
    </cfRule>
    <cfRule type="expression" dxfId="398" priority="214">
      <formula>C125="CSC"</formula>
    </cfRule>
    <cfRule type="expression" dxfId="397" priority="215">
      <formula>C125="CSE"</formula>
    </cfRule>
    <cfRule type="expression" dxfId="396" priority="216">
      <formula>C125="CSC"</formula>
    </cfRule>
  </conditionalFormatting>
  <conditionalFormatting sqref="I130">
    <cfRule type="expression" dxfId="395" priority="201">
      <formula>C130="CSE"</formula>
    </cfRule>
    <cfRule type="expression" dxfId="394" priority="202">
      <formula>C130="CSC"</formula>
    </cfRule>
    <cfRule type="expression" dxfId="393" priority="203">
      <formula>C130="CSE"</formula>
    </cfRule>
    <cfRule type="expression" dxfId="392" priority="204">
      <formula>C130="CSC"</formula>
    </cfRule>
    <cfRule type="expression" dxfId="391" priority="205">
      <formula>C130="CSE"</formula>
    </cfRule>
    <cfRule type="expression" dxfId="390" priority="206">
      <formula>C130="CSC"</formula>
    </cfRule>
    <cfRule type="expression" dxfId="389" priority="207">
      <formula>C130="CSE"</formula>
    </cfRule>
    <cfRule type="expression" dxfId="388" priority="208">
      <formula>C130="CSC"</formula>
    </cfRule>
  </conditionalFormatting>
  <conditionalFormatting sqref="I135">
    <cfRule type="expression" dxfId="387" priority="193">
      <formula>C135="CSE"</formula>
    </cfRule>
    <cfRule type="expression" dxfId="386" priority="194">
      <formula>C135="CSC"</formula>
    </cfRule>
    <cfRule type="expression" dxfId="385" priority="195">
      <formula>C135="CSE"</formula>
    </cfRule>
    <cfRule type="expression" dxfId="384" priority="196">
      <formula>C135="CSC"</formula>
    </cfRule>
    <cfRule type="expression" dxfId="383" priority="197">
      <formula>C135="CSE"</formula>
    </cfRule>
    <cfRule type="expression" dxfId="382" priority="198">
      <formula>C135="CSC"</formula>
    </cfRule>
    <cfRule type="expression" dxfId="381" priority="199">
      <formula>C135="CSE"</formula>
    </cfRule>
    <cfRule type="expression" dxfId="380" priority="200">
      <formula>C135="CSC"</formula>
    </cfRule>
  </conditionalFormatting>
  <conditionalFormatting sqref="I140">
    <cfRule type="expression" dxfId="379" priority="185">
      <formula>C140="CSE"</formula>
    </cfRule>
    <cfRule type="expression" dxfId="378" priority="186">
      <formula>C140="CSC"</formula>
    </cfRule>
    <cfRule type="expression" dxfId="377" priority="187">
      <formula>C140="CSE"</formula>
    </cfRule>
    <cfRule type="expression" dxfId="376" priority="188">
      <formula>C140="CSC"</formula>
    </cfRule>
    <cfRule type="expression" dxfId="375" priority="189">
      <formula>C140="CSE"</formula>
    </cfRule>
    <cfRule type="expression" dxfId="374" priority="190">
      <formula>C140="CSC"</formula>
    </cfRule>
    <cfRule type="expression" dxfId="373" priority="191">
      <formula>C140="CSE"</formula>
    </cfRule>
    <cfRule type="expression" dxfId="372" priority="192">
      <formula>C140="CSC"</formula>
    </cfRule>
  </conditionalFormatting>
  <conditionalFormatting sqref="I145">
    <cfRule type="expression" dxfId="371" priority="177">
      <formula>C145="CSE"</formula>
    </cfRule>
    <cfRule type="expression" dxfId="370" priority="178">
      <formula>C145="CSC"</formula>
    </cfRule>
    <cfRule type="expression" dxfId="369" priority="179">
      <formula>C145="CSE"</formula>
    </cfRule>
    <cfRule type="expression" dxfId="368" priority="180">
      <formula>C145="CSC"</formula>
    </cfRule>
    <cfRule type="expression" dxfId="367" priority="181">
      <formula>C145="CSE"</formula>
    </cfRule>
    <cfRule type="expression" dxfId="366" priority="182">
      <formula>C145="CSC"</formula>
    </cfRule>
    <cfRule type="expression" dxfId="365" priority="183">
      <formula>C145="CSE"</formula>
    </cfRule>
    <cfRule type="expression" dxfId="364" priority="184">
      <formula>C145="CSC"</formula>
    </cfRule>
  </conditionalFormatting>
  <conditionalFormatting sqref="I150">
    <cfRule type="expression" dxfId="363" priority="169">
      <formula>C150="CSE"</formula>
    </cfRule>
    <cfRule type="expression" dxfId="362" priority="170">
      <formula>C150="CSC"</formula>
    </cfRule>
    <cfRule type="expression" dxfId="361" priority="171">
      <formula>C150="CSE"</formula>
    </cfRule>
    <cfRule type="expression" dxfId="360" priority="172">
      <formula>C150="CSC"</formula>
    </cfRule>
    <cfRule type="expression" dxfId="359" priority="173">
      <formula>C150="CSE"</formula>
    </cfRule>
    <cfRule type="expression" dxfId="358" priority="174">
      <formula>C150="CSC"</formula>
    </cfRule>
    <cfRule type="expression" dxfId="357" priority="175">
      <formula>C150="CSE"</formula>
    </cfRule>
    <cfRule type="expression" dxfId="356" priority="176">
      <formula>C150="CSC"</formula>
    </cfRule>
  </conditionalFormatting>
  <conditionalFormatting sqref="I155">
    <cfRule type="expression" dxfId="355" priority="161">
      <formula>C155="CSE"</formula>
    </cfRule>
    <cfRule type="expression" dxfId="354" priority="162">
      <formula>C155="CSC"</formula>
    </cfRule>
    <cfRule type="expression" dxfId="353" priority="163">
      <formula>C155="CSE"</formula>
    </cfRule>
    <cfRule type="expression" dxfId="352" priority="164">
      <formula>C155="CSC"</formula>
    </cfRule>
    <cfRule type="expression" dxfId="351" priority="165">
      <formula>C155="CSE"</formula>
    </cfRule>
    <cfRule type="expression" dxfId="350" priority="166">
      <formula>C155="CSC"</formula>
    </cfRule>
    <cfRule type="expression" dxfId="349" priority="167">
      <formula>C155="CSE"</formula>
    </cfRule>
    <cfRule type="expression" dxfId="348" priority="168">
      <formula>C155="CSC"</formula>
    </cfRule>
  </conditionalFormatting>
  <conditionalFormatting sqref="I160">
    <cfRule type="expression" dxfId="347" priority="153">
      <formula>C160="CSE"</formula>
    </cfRule>
    <cfRule type="expression" dxfId="346" priority="154">
      <formula>C160="CSC"</formula>
    </cfRule>
    <cfRule type="expression" dxfId="345" priority="155">
      <formula>C160="CSE"</formula>
    </cfRule>
    <cfRule type="expression" dxfId="344" priority="156">
      <formula>C160="CSC"</formula>
    </cfRule>
    <cfRule type="expression" dxfId="343" priority="157">
      <formula>C160="CSE"</formula>
    </cfRule>
    <cfRule type="expression" dxfId="342" priority="158">
      <formula>C160="CSC"</formula>
    </cfRule>
    <cfRule type="expression" dxfId="341" priority="159">
      <formula>C160="CSE"</formula>
    </cfRule>
    <cfRule type="expression" dxfId="340" priority="160">
      <formula>C160="CSC"</formula>
    </cfRule>
  </conditionalFormatting>
  <conditionalFormatting sqref="I165">
    <cfRule type="expression" dxfId="339" priority="145">
      <formula>C165="CSE"</formula>
    </cfRule>
    <cfRule type="expression" dxfId="338" priority="146">
      <formula>C165="CSC"</formula>
    </cfRule>
    <cfRule type="expression" dxfId="337" priority="147">
      <formula>C165="CSE"</formula>
    </cfRule>
    <cfRule type="expression" dxfId="336" priority="148">
      <formula>C165="CSC"</formula>
    </cfRule>
    <cfRule type="expression" dxfId="335" priority="149">
      <formula>C165="CSE"</formula>
    </cfRule>
    <cfRule type="expression" dxfId="334" priority="150">
      <formula>C165="CSC"</formula>
    </cfRule>
    <cfRule type="expression" dxfId="333" priority="151">
      <formula>C165="CSE"</formula>
    </cfRule>
    <cfRule type="expression" dxfId="332" priority="152">
      <formula>C165="CSC"</formula>
    </cfRule>
  </conditionalFormatting>
  <conditionalFormatting sqref="I170">
    <cfRule type="expression" dxfId="331" priority="137">
      <formula>C170="CSE"</formula>
    </cfRule>
    <cfRule type="expression" dxfId="330" priority="138">
      <formula>C170="CSC"</formula>
    </cfRule>
    <cfRule type="expression" dxfId="329" priority="139">
      <formula>C170="CSE"</formula>
    </cfRule>
    <cfRule type="expression" dxfId="328" priority="140">
      <formula>C170="CSC"</formula>
    </cfRule>
    <cfRule type="expression" dxfId="327" priority="141">
      <formula>C170="CSE"</formula>
    </cfRule>
    <cfRule type="expression" dxfId="326" priority="142">
      <formula>C170="CSC"</formula>
    </cfRule>
    <cfRule type="expression" dxfId="325" priority="143">
      <formula>C170="CSE"</formula>
    </cfRule>
    <cfRule type="expression" dxfId="324" priority="144">
      <formula>C170="CSC"</formula>
    </cfRule>
  </conditionalFormatting>
  <conditionalFormatting sqref="I175">
    <cfRule type="expression" dxfId="323" priority="129">
      <formula>C175="CSE"</formula>
    </cfRule>
    <cfRule type="expression" dxfId="322" priority="130">
      <formula>C175="CSC"</formula>
    </cfRule>
    <cfRule type="expression" dxfId="321" priority="131">
      <formula>C175="CSE"</formula>
    </cfRule>
    <cfRule type="expression" dxfId="320" priority="132">
      <formula>C175="CSC"</formula>
    </cfRule>
    <cfRule type="expression" dxfId="319" priority="133">
      <formula>C175="CSE"</formula>
    </cfRule>
    <cfRule type="expression" dxfId="318" priority="134">
      <formula>C175="CSC"</formula>
    </cfRule>
    <cfRule type="expression" dxfId="317" priority="135">
      <formula>C175="CSE"</formula>
    </cfRule>
    <cfRule type="expression" dxfId="316" priority="136">
      <formula>C175="CSC"</formula>
    </cfRule>
  </conditionalFormatting>
  <conditionalFormatting sqref="I180">
    <cfRule type="expression" dxfId="315" priority="121">
      <formula>C180="CSE"</formula>
    </cfRule>
    <cfRule type="expression" dxfId="314" priority="122">
      <formula>C180="CSC"</formula>
    </cfRule>
    <cfRule type="expression" dxfId="313" priority="123">
      <formula>C180="CSE"</formula>
    </cfRule>
    <cfRule type="expression" dxfId="312" priority="124">
      <formula>C180="CSC"</formula>
    </cfRule>
    <cfRule type="expression" dxfId="311" priority="125">
      <formula>C180="CSE"</formula>
    </cfRule>
    <cfRule type="expression" dxfId="310" priority="126">
      <formula>C180="CSC"</formula>
    </cfRule>
    <cfRule type="expression" dxfId="309" priority="127">
      <formula>C180="CSE"</formula>
    </cfRule>
    <cfRule type="expression" dxfId="308" priority="128">
      <formula>C180="CSC"</formula>
    </cfRule>
  </conditionalFormatting>
  <conditionalFormatting sqref="I185">
    <cfRule type="expression" dxfId="307" priority="113">
      <formula>C185="CSE"</formula>
    </cfRule>
    <cfRule type="expression" dxfId="306" priority="114">
      <formula>C185="CSC"</formula>
    </cfRule>
    <cfRule type="expression" dxfId="305" priority="115">
      <formula>C185="CSE"</formula>
    </cfRule>
    <cfRule type="expression" dxfId="304" priority="116">
      <formula>C185="CSC"</formula>
    </cfRule>
    <cfRule type="expression" dxfId="303" priority="117">
      <formula>C185="CSE"</formula>
    </cfRule>
    <cfRule type="expression" dxfId="302" priority="118">
      <formula>C185="CSC"</formula>
    </cfRule>
    <cfRule type="expression" dxfId="301" priority="119">
      <formula>C185="CSE"</formula>
    </cfRule>
    <cfRule type="expression" dxfId="300" priority="120">
      <formula>C185="CSC"</formula>
    </cfRule>
  </conditionalFormatting>
  <conditionalFormatting sqref="I190">
    <cfRule type="expression" dxfId="299" priority="105">
      <formula>C190="CSE"</formula>
    </cfRule>
    <cfRule type="expression" dxfId="298" priority="106">
      <formula>C190="CSC"</formula>
    </cfRule>
    <cfRule type="expression" dxfId="297" priority="107">
      <formula>C190="CSE"</formula>
    </cfRule>
    <cfRule type="expression" dxfId="296" priority="108">
      <formula>C190="CSC"</formula>
    </cfRule>
    <cfRule type="expression" dxfId="295" priority="109">
      <formula>C190="CSE"</formula>
    </cfRule>
    <cfRule type="expression" dxfId="294" priority="110">
      <formula>C190="CSC"</formula>
    </cfRule>
    <cfRule type="expression" dxfId="293" priority="111">
      <formula>C190="CSE"</formula>
    </cfRule>
    <cfRule type="expression" dxfId="292" priority="112">
      <formula>C190="CSC"</formula>
    </cfRule>
  </conditionalFormatting>
  <conditionalFormatting sqref="I195">
    <cfRule type="expression" dxfId="291" priority="97">
      <formula>C195="CSE"</formula>
    </cfRule>
    <cfRule type="expression" dxfId="290" priority="98">
      <formula>C195="CSC"</formula>
    </cfRule>
    <cfRule type="expression" dxfId="289" priority="99">
      <formula>C195="CSE"</formula>
    </cfRule>
    <cfRule type="expression" dxfId="288" priority="100">
      <formula>C195="CSC"</formula>
    </cfRule>
    <cfRule type="expression" dxfId="287" priority="101">
      <formula>C195="CSE"</formula>
    </cfRule>
    <cfRule type="expression" dxfId="286" priority="102">
      <formula>C195="CSC"</formula>
    </cfRule>
    <cfRule type="expression" dxfId="285" priority="103">
      <formula>C195="CSE"</formula>
    </cfRule>
    <cfRule type="expression" dxfId="284" priority="104">
      <formula>C195="CSC"</formula>
    </cfRule>
  </conditionalFormatting>
  <conditionalFormatting sqref="I200">
    <cfRule type="expression" dxfId="283" priority="89">
      <formula>C200="CSE"</formula>
    </cfRule>
    <cfRule type="expression" dxfId="282" priority="90">
      <formula>C200="CSC"</formula>
    </cfRule>
    <cfRule type="expression" dxfId="281" priority="91">
      <formula>C200="CSE"</formula>
    </cfRule>
    <cfRule type="expression" dxfId="280" priority="92">
      <formula>C200="CSC"</formula>
    </cfRule>
    <cfRule type="expression" dxfId="279" priority="93">
      <formula>C200="CSE"</formula>
    </cfRule>
    <cfRule type="expression" dxfId="278" priority="94">
      <formula>C200="CSC"</formula>
    </cfRule>
    <cfRule type="expression" dxfId="277" priority="95">
      <formula>C200="CSE"</formula>
    </cfRule>
    <cfRule type="expression" dxfId="276" priority="96">
      <formula>C200="CSC"</formula>
    </cfRule>
  </conditionalFormatting>
  <conditionalFormatting sqref="I201:I202">
    <cfRule type="expression" dxfId="275" priority="118601">
      <formula>C201="CSE"</formula>
    </cfRule>
    <cfRule type="expression" dxfId="274" priority="118622">
      <formula>C201="CSC"</formula>
    </cfRule>
    <cfRule type="expression" dxfId="273" priority="118623">
      <formula>C202="CSE"</formula>
    </cfRule>
    <cfRule type="expression" dxfId="272" priority="118624">
      <formula>C202="CSC"</formula>
    </cfRule>
    <cfRule type="expression" dxfId="271" priority="162479">
      <formula>C201="CSE"</formula>
    </cfRule>
    <cfRule type="expression" dxfId="270" priority="162480">
      <formula>C201="CSC"</formula>
    </cfRule>
    <cfRule type="expression" dxfId="269" priority="162481">
      <formula>C201="CSE"</formula>
    </cfRule>
    <cfRule type="expression" dxfId="268" priority="162482">
      <formula>C201="CSC"</formula>
    </cfRule>
    <cfRule type="expression" dxfId="267" priority="162483">
      <formula>C202="CSE"</formula>
    </cfRule>
    <cfRule type="expression" dxfId="266" priority="162484">
      <formula>C202="CSC"</formula>
    </cfRule>
    <cfRule type="expression" dxfId="265" priority="162485">
      <formula>C202="CSE"</formula>
    </cfRule>
    <cfRule type="expression" dxfId="264" priority="162486">
      <formula>C202="CSC"</formula>
    </cfRule>
    <cfRule type="expression" dxfId="263" priority="162525">
      <formula>C201="CSE"</formula>
    </cfRule>
    <cfRule type="expression" dxfId="262" priority="162526">
      <formula>C201="CSC"</formula>
    </cfRule>
    <cfRule type="expression" dxfId="261" priority="162527">
      <formula>C202="CSE"</formula>
    </cfRule>
    <cfRule type="expression" dxfId="260" priority="162528">
      <formula>C202="CSC"</formula>
    </cfRule>
    <cfRule type="expression" dxfId="259" priority="164321">
      <formula>C201="CSE"</formula>
    </cfRule>
    <cfRule type="expression" dxfId="258" priority="164322">
      <formula>C201="CSC"</formula>
    </cfRule>
    <cfRule type="expression" dxfId="257" priority="164323">
      <formula>C202="CSE"</formula>
    </cfRule>
    <cfRule type="expression" dxfId="256" priority="164324">
      <formula>C202="CSC"</formula>
    </cfRule>
  </conditionalFormatting>
  <conditionalFormatting sqref="J6:J200">
    <cfRule type="cellIs" dxfId="255" priority="83" operator="equal">
      <formula>"CRECHE"</formula>
    </cfRule>
    <cfRule type="cellIs" dxfId="254" priority="84" operator="equal">
      <formula>"ADAPTADO"</formula>
    </cfRule>
  </conditionalFormatting>
  <conditionalFormatting sqref="J201:J202">
    <cfRule type="cellIs" dxfId="253" priority="118599" operator="equal">
      <formula>"CRECHE"</formula>
    </cfRule>
    <cfRule type="cellIs" dxfId="252" priority="118600" operator="equal">
      <formula>"ADAPTADO"</formula>
    </cfRule>
    <cfRule type="cellIs" dxfId="251" priority="162473" operator="equal">
      <formula>"CRECHE"</formula>
    </cfRule>
    <cfRule type="cellIs" dxfId="250" priority="162474" operator="equal">
      <formula>"ADAPTADO"</formula>
    </cfRule>
    <cfRule type="cellIs" dxfId="249" priority="162487" operator="equal">
      <formula>"CRECHE"</formula>
    </cfRule>
    <cfRule type="cellIs" dxfId="248" priority="162488" operator="equal">
      <formula>"ADAPTADO"</formula>
    </cfRule>
    <cfRule type="cellIs" dxfId="247" priority="162515" operator="equal">
      <formula>"CRECHE"</formula>
    </cfRule>
    <cfRule type="cellIs" dxfId="246" priority="162516" operator="equal">
      <formula>"ADAPTADO"</formula>
    </cfRule>
  </conditionalFormatting>
  <conditionalFormatting sqref="J6:K10">
    <cfRule type="expression" dxfId="245" priority="81">
      <formula>NOT(ISERROR(SEARCH("NORMAL",J6)))</formula>
    </cfRule>
    <cfRule type="expression" dxfId="244" priority="82">
      <formula>NOT(ISERROR(SEARCH("ADAPTADO",J6)))</formula>
    </cfRule>
  </conditionalFormatting>
  <conditionalFormatting sqref="J6:K15">
    <cfRule type="expression" dxfId="243" priority="77">
      <formula>NOT(ISERROR(SEARCH("NORMAL",J6)))</formula>
    </cfRule>
    <cfRule type="expression" dxfId="242" priority="78">
      <formula>NOT(ISERROR(SEARCH("ADAPTADO",J6)))</formula>
    </cfRule>
  </conditionalFormatting>
  <conditionalFormatting sqref="J11:K20">
    <cfRule type="expression" dxfId="241" priority="75">
      <formula>NOT(ISERROR(SEARCH("NORMAL",J11)))</formula>
    </cfRule>
    <cfRule type="expression" dxfId="240" priority="76">
      <formula>NOT(ISERROR(SEARCH("ADAPTADO",J11)))</formula>
    </cfRule>
  </conditionalFormatting>
  <conditionalFormatting sqref="J16:K25">
    <cfRule type="expression" dxfId="239" priority="73">
      <formula>NOT(ISERROR(SEARCH("NORMAL",J16)))</formula>
    </cfRule>
    <cfRule type="expression" dxfId="238" priority="74">
      <formula>NOT(ISERROR(SEARCH("ADAPTADO",J16)))</formula>
    </cfRule>
  </conditionalFormatting>
  <conditionalFormatting sqref="J21:K30">
    <cfRule type="expression" dxfId="237" priority="71">
      <formula>NOT(ISERROR(SEARCH("NORMAL",J21)))</formula>
    </cfRule>
    <cfRule type="expression" dxfId="236" priority="72">
      <formula>NOT(ISERROR(SEARCH("ADAPTADO",J21)))</formula>
    </cfRule>
  </conditionalFormatting>
  <conditionalFormatting sqref="J26:K35">
    <cfRule type="expression" dxfId="235" priority="69">
      <formula>NOT(ISERROR(SEARCH("NORMAL",J26)))</formula>
    </cfRule>
    <cfRule type="expression" dxfId="234" priority="70">
      <formula>NOT(ISERROR(SEARCH("ADAPTADO",J26)))</formula>
    </cfRule>
  </conditionalFormatting>
  <conditionalFormatting sqref="J31:K40">
    <cfRule type="expression" dxfId="233" priority="67">
      <formula>NOT(ISERROR(SEARCH("NORMAL",J31)))</formula>
    </cfRule>
    <cfRule type="expression" dxfId="232" priority="68">
      <formula>NOT(ISERROR(SEARCH("ADAPTADO",J31)))</formula>
    </cfRule>
  </conditionalFormatting>
  <conditionalFormatting sqref="J36:K45">
    <cfRule type="expression" dxfId="231" priority="65">
      <formula>NOT(ISERROR(SEARCH("NORMAL",J36)))</formula>
    </cfRule>
    <cfRule type="expression" dxfId="230" priority="66">
      <formula>NOT(ISERROR(SEARCH("ADAPTADO",J36)))</formula>
    </cfRule>
  </conditionalFormatting>
  <conditionalFormatting sqref="J41:K50">
    <cfRule type="expression" dxfId="229" priority="63">
      <formula>NOT(ISERROR(SEARCH("NORMAL",J41)))</formula>
    </cfRule>
    <cfRule type="expression" dxfId="228" priority="64">
      <formula>NOT(ISERROR(SEARCH("ADAPTADO",J41)))</formula>
    </cfRule>
  </conditionalFormatting>
  <conditionalFormatting sqref="J46:K55">
    <cfRule type="expression" dxfId="227" priority="61">
      <formula>NOT(ISERROR(SEARCH("NORMAL",J46)))</formula>
    </cfRule>
    <cfRule type="expression" dxfId="226" priority="62">
      <formula>NOT(ISERROR(SEARCH("ADAPTADO",J46)))</formula>
    </cfRule>
  </conditionalFormatting>
  <conditionalFormatting sqref="J51:K60">
    <cfRule type="expression" dxfId="225" priority="59">
      <formula>NOT(ISERROR(SEARCH("NORMAL",J51)))</formula>
    </cfRule>
    <cfRule type="expression" dxfId="224" priority="60">
      <formula>NOT(ISERROR(SEARCH("ADAPTADO",J51)))</formula>
    </cfRule>
  </conditionalFormatting>
  <conditionalFormatting sqref="J56:K65">
    <cfRule type="expression" dxfId="223" priority="57">
      <formula>NOT(ISERROR(SEARCH("NORMAL",J56)))</formula>
    </cfRule>
    <cfRule type="expression" dxfId="222" priority="58">
      <formula>NOT(ISERROR(SEARCH("ADAPTADO",J56)))</formula>
    </cfRule>
  </conditionalFormatting>
  <conditionalFormatting sqref="J61:K70">
    <cfRule type="expression" dxfId="221" priority="55">
      <formula>NOT(ISERROR(SEARCH("NORMAL",J61)))</formula>
    </cfRule>
    <cfRule type="expression" dxfId="220" priority="56">
      <formula>NOT(ISERROR(SEARCH("ADAPTADO",J61)))</formula>
    </cfRule>
  </conditionalFormatting>
  <conditionalFormatting sqref="J66:K75">
    <cfRule type="expression" dxfId="219" priority="53">
      <formula>NOT(ISERROR(SEARCH("NORMAL",J66)))</formula>
    </cfRule>
    <cfRule type="expression" dxfId="218" priority="54">
      <formula>NOT(ISERROR(SEARCH("ADAPTADO",J66)))</formula>
    </cfRule>
  </conditionalFormatting>
  <conditionalFormatting sqref="J71:K80">
    <cfRule type="expression" dxfId="217" priority="51">
      <formula>NOT(ISERROR(SEARCH("NORMAL",J71)))</formula>
    </cfRule>
    <cfRule type="expression" dxfId="216" priority="52">
      <formula>NOT(ISERROR(SEARCH("ADAPTADO",J71)))</formula>
    </cfRule>
  </conditionalFormatting>
  <conditionalFormatting sqref="J76:K85">
    <cfRule type="expression" dxfId="215" priority="49">
      <formula>NOT(ISERROR(SEARCH("NORMAL",J76)))</formula>
    </cfRule>
    <cfRule type="expression" dxfId="214" priority="50">
      <formula>NOT(ISERROR(SEARCH("ADAPTADO",J76)))</formula>
    </cfRule>
  </conditionalFormatting>
  <conditionalFormatting sqref="J81:K90">
    <cfRule type="expression" dxfId="213" priority="47">
      <formula>NOT(ISERROR(SEARCH("NORMAL",J81)))</formula>
    </cfRule>
    <cfRule type="expression" dxfId="212" priority="48">
      <formula>NOT(ISERROR(SEARCH("ADAPTADO",J81)))</formula>
    </cfRule>
  </conditionalFormatting>
  <conditionalFormatting sqref="J86:K95">
    <cfRule type="expression" dxfId="211" priority="45">
      <formula>NOT(ISERROR(SEARCH("NORMAL",J86)))</formula>
    </cfRule>
    <cfRule type="expression" dxfId="210" priority="46">
      <formula>NOT(ISERROR(SEARCH("ADAPTADO",J86)))</formula>
    </cfRule>
  </conditionalFormatting>
  <conditionalFormatting sqref="J91:K100">
    <cfRule type="expression" dxfId="209" priority="43">
      <formula>NOT(ISERROR(SEARCH("NORMAL",J91)))</formula>
    </cfRule>
    <cfRule type="expression" dxfId="208" priority="44">
      <formula>NOT(ISERROR(SEARCH("ADAPTADO",J91)))</formula>
    </cfRule>
  </conditionalFormatting>
  <conditionalFormatting sqref="J96:K105">
    <cfRule type="expression" dxfId="207" priority="41">
      <formula>NOT(ISERROR(SEARCH("NORMAL",J96)))</formula>
    </cfRule>
    <cfRule type="expression" dxfId="206" priority="42">
      <formula>NOT(ISERROR(SEARCH("ADAPTADO",J96)))</formula>
    </cfRule>
  </conditionalFormatting>
  <conditionalFormatting sqref="J101:K110">
    <cfRule type="expression" dxfId="205" priority="39">
      <formula>NOT(ISERROR(SEARCH("NORMAL",J101)))</formula>
    </cfRule>
    <cfRule type="expression" dxfId="204" priority="40">
      <formula>NOT(ISERROR(SEARCH("ADAPTADO",J101)))</formula>
    </cfRule>
  </conditionalFormatting>
  <conditionalFormatting sqref="J106:K115">
    <cfRule type="expression" dxfId="203" priority="37">
      <formula>NOT(ISERROR(SEARCH("NORMAL",J106)))</formula>
    </cfRule>
    <cfRule type="expression" dxfId="202" priority="38">
      <formula>NOT(ISERROR(SEARCH("ADAPTADO",J106)))</formula>
    </cfRule>
  </conditionalFormatting>
  <conditionalFormatting sqref="J111:K120">
    <cfRule type="expression" dxfId="201" priority="35">
      <formula>NOT(ISERROR(SEARCH("NORMAL",J111)))</formula>
    </cfRule>
    <cfRule type="expression" dxfId="200" priority="36">
      <formula>NOT(ISERROR(SEARCH("ADAPTADO",J111)))</formula>
    </cfRule>
  </conditionalFormatting>
  <conditionalFormatting sqref="J116:K125">
    <cfRule type="expression" dxfId="199" priority="33">
      <formula>NOT(ISERROR(SEARCH("NORMAL",J116)))</formula>
    </cfRule>
    <cfRule type="expression" dxfId="198" priority="34">
      <formula>NOT(ISERROR(SEARCH("ADAPTADO",J116)))</formula>
    </cfRule>
  </conditionalFormatting>
  <conditionalFormatting sqref="J121:K130">
    <cfRule type="expression" dxfId="197" priority="31">
      <formula>NOT(ISERROR(SEARCH("NORMAL",J121)))</formula>
    </cfRule>
    <cfRule type="expression" dxfId="196" priority="32">
      <formula>NOT(ISERROR(SEARCH("ADAPTADO",J121)))</formula>
    </cfRule>
  </conditionalFormatting>
  <conditionalFormatting sqref="J126:K135">
    <cfRule type="expression" dxfId="195" priority="29">
      <formula>NOT(ISERROR(SEARCH("NORMAL",J126)))</formula>
    </cfRule>
    <cfRule type="expression" dxfId="194" priority="30">
      <formula>NOT(ISERROR(SEARCH("ADAPTADO",J126)))</formula>
    </cfRule>
  </conditionalFormatting>
  <conditionalFormatting sqref="J131:K140">
    <cfRule type="expression" dxfId="193" priority="27">
      <formula>NOT(ISERROR(SEARCH("NORMAL",J131)))</formula>
    </cfRule>
    <cfRule type="expression" dxfId="192" priority="28">
      <formula>NOT(ISERROR(SEARCH("ADAPTADO",J131)))</formula>
    </cfRule>
  </conditionalFormatting>
  <conditionalFormatting sqref="J136:K145">
    <cfRule type="expression" dxfId="191" priority="25">
      <formula>NOT(ISERROR(SEARCH("NORMAL",J136)))</formula>
    </cfRule>
    <cfRule type="expression" dxfId="190" priority="26">
      <formula>NOT(ISERROR(SEARCH("ADAPTADO",J136)))</formula>
    </cfRule>
  </conditionalFormatting>
  <conditionalFormatting sqref="J141:K150">
    <cfRule type="expression" dxfId="189" priority="23">
      <formula>NOT(ISERROR(SEARCH("NORMAL",J141)))</formula>
    </cfRule>
    <cfRule type="expression" dxfId="188" priority="24">
      <formula>NOT(ISERROR(SEARCH("ADAPTADO",J141)))</formula>
    </cfRule>
  </conditionalFormatting>
  <conditionalFormatting sqref="J146:K155">
    <cfRule type="expression" dxfId="187" priority="21">
      <formula>NOT(ISERROR(SEARCH("NORMAL",J146)))</formula>
    </cfRule>
    <cfRule type="expression" dxfId="186" priority="22">
      <formula>NOT(ISERROR(SEARCH("ADAPTADO",J146)))</formula>
    </cfRule>
  </conditionalFormatting>
  <conditionalFormatting sqref="J151:K160">
    <cfRule type="expression" dxfId="185" priority="19">
      <formula>NOT(ISERROR(SEARCH("NORMAL",J151)))</formula>
    </cfRule>
    <cfRule type="expression" dxfId="184" priority="20">
      <formula>NOT(ISERROR(SEARCH("ADAPTADO",J151)))</formula>
    </cfRule>
  </conditionalFormatting>
  <conditionalFormatting sqref="J156:K165">
    <cfRule type="expression" dxfId="183" priority="17">
      <formula>NOT(ISERROR(SEARCH("NORMAL",J156)))</formula>
    </cfRule>
    <cfRule type="expression" dxfId="182" priority="18">
      <formula>NOT(ISERROR(SEARCH("ADAPTADO",J156)))</formula>
    </cfRule>
  </conditionalFormatting>
  <conditionalFormatting sqref="J161:K170">
    <cfRule type="expression" dxfId="181" priority="15">
      <formula>NOT(ISERROR(SEARCH("NORMAL",J161)))</formula>
    </cfRule>
    <cfRule type="expression" dxfId="180" priority="16">
      <formula>NOT(ISERROR(SEARCH("ADAPTADO",J161)))</formula>
    </cfRule>
  </conditionalFormatting>
  <conditionalFormatting sqref="J166:K175">
    <cfRule type="expression" dxfId="179" priority="13">
      <formula>NOT(ISERROR(SEARCH("NORMAL",J166)))</formula>
    </cfRule>
    <cfRule type="expression" dxfId="178" priority="14">
      <formula>NOT(ISERROR(SEARCH("ADAPTADO",J166)))</formula>
    </cfRule>
  </conditionalFormatting>
  <conditionalFormatting sqref="J171:K180">
    <cfRule type="expression" dxfId="177" priority="11">
      <formula>NOT(ISERROR(SEARCH("NORMAL",J171)))</formula>
    </cfRule>
    <cfRule type="expression" dxfId="176" priority="12">
      <formula>NOT(ISERROR(SEARCH("ADAPTADO",J171)))</formula>
    </cfRule>
  </conditionalFormatting>
  <conditionalFormatting sqref="J176:K185">
    <cfRule type="expression" dxfId="175" priority="9">
      <formula>NOT(ISERROR(SEARCH("NORMAL",J176)))</formula>
    </cfRule>
    <cfRule type="expression" dxfId="174" priority="10">
      <formula>NOT(ISERROR(SEARCH("ADAPTADO",J176)))</formula>
    </cfRule>
  </conditionalFormatting>
  <conditionalFormatting sqref="J181:K190">
    <cfRule type="expression" dxfId="173" priority="7">
      <formula>NOT(ISERROR(SEARCH("NORMAL",J181)))</formula>
    </cfRule>
    <cfRule type="expression" dxfId="172" priority="8">
      <formula>NOT(ISERROR(SEARCH("ADAPTADO",J181)))</formula>
    </cfRule>
  </conditionalFormatting>
  <conditionalFormatting sqref="J186:K195">
    <cfRule type="expression" dxfId="171" priority="5">
      <formula>NOT(ISERROR(SEARCH("NORMAL",J186)))</formula>
    </cfRule>
    <cfRule type="expression" dxfId="170" priority="6">
      <formula>NOT(ISERROR(SEARCH("ADAPTADO",J186)))</formula>
    </cfRule>
  </conditionalFormatting>
  <conditionalFormatting sqref="J191:K200">
    <cfRule type="expression" dxfId="169" priority="3">
      <formula>NOT(ISERROR(SEARCH("NORMAL",J191)))</formula>
    </cfRule>
    <cfRule type="expression" dxfId="168" priority="4">
      <formula>NOT(ISERROR(SEARCH("ADAPTADO",J191)))</formula>
    </cfRule>
  </conditionalFormatting>
  <conditionalFormatting sqref="J196:K200">
    <cfRule type="expression" dxfId="167" priority="1">
      <formula>NOT(ISERROR(SEARCH("NORMAL",J196)))</formula>
    </cfRule>
    <cfRule type="expression" dxfId="166" priority="2">
      <formula>NOT(ISERROR(SEARCH("ADAPTADO",J196)))</formula>
    </cfRule>
  </conditionalFormatting>
  <conditionalFormatting sqref="J201:K202">
    <cfRule type="expression" dxfId="165" priority="118593" stopIfTrue="1">
      <formula>NOT(ISERROR(SEARCH("NORMAL",J201)))</formula>
    </cfRule>
    <cfRule type="expression" dxfId="164" priority="118594" stopIfTrue="1">
      <formula>NOT(ISERROR(SEARCH("ADAPTADO",J201)))</formula>
    </cfRule>
    <cfRule type="expression" dxfId="163" priority="162469">
      <formula>NOT(ISERROR(SEARCH("NORMAL",J201)))</formula>
    </cfRule>
    <cfRule type="expression" dxfId="162" priority="162470">
      <formula>NOT(ISERROR(SEARCH("ADAPTADO",J201)))</formula>
    </cfRule>
    <cfRule type="expression" dxfId="161" priority="162471">
      <formula>NOT(ISERROR(SEARCH("NORMAL",J201)))</formula>
    </cfRule>
    <cfRule type="expression" dxfId="160" priority="162472">
      <formula>NOT(ISERROR(SEARCH("ADAPTADO",J201)))</formula>
    </cfRule>
    <cfRule type="expression" dxfId="159" priority="162513" stopIfTrue="1">
      <formula>NOT(ISERROR(SEARCH("NORMAL",J201)))</formula>
    </cfRule>
    <cfRule type="expression" dxfId="158" priority="162514" stopIfTrue="1">
      <formula>NOT(ISERROR(SEARCH("ADAPTADO",J201)))</formula>
    </cfRule>
    <cfRule type="expression" dxfId="157" priority="164362" stopIfTrue="1">
      <formula>NOT(ISERROR(SEARCH("NORMAL",J201)))</formula>
    </cfRule>
    <cfRule type="expression" dxfId="156" priority="164363" stopIfTrue="1">
      <formula>NOT(ISERROR(SEARCH("ADAPTADO",J201)))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0">
    <cfRule type="cellIs" dxfId="155" priority="57185" operator="lessThan">
      <formula>0</formula>
    </cfRule>
    <cfRule type="cellIs" dxfId="154" priority="57186" operator="greaterThan">
      <formula>0</formula>
    </cfRule>
  </conditionalFormatting>
  <conditionalFormatting sqref="L201:BU201">
    <cfRule type="cellIs" dxfId="153" priority="162511" operator="lessThan">
      <formula>0</formula>
    </cfRule>
    <cfRule type="cellIs" dxfId="152" priority="162512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2" sqref="D12:N12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237" t="s">
        <v>164</v>
      </c>
      <c r="B1" s="238"/>
      <c r="C1" s="238"/>
      <c r="D1" s="238"/>
      <c r="E1" t="s">
        <v>294</v>
      </c>
      <c r="F1" s="354" t="str">
        <f>IFERROR(VLOOKUP(D4,APELIDOS!A:B,2,FALSE),D4)</f>
        <v>RENATO CROZARA DA SILVA</v>
      </c>
      <c r="G1" s="238"/>
      <c r="H1" s="238"/>
      <c r="I1" s="238"/>
      <c r="J1" s="238"/>
      <c r="K1" s="238"/>
      <c r="L1" s="239"/>
    </row>
    <row r="2" spans="1:21" ht="42.75" customHeight="1" thickBot="1" x14ac:dyDescent="0.25">
      <c r="A2" s="649" t="s">
        <v>0</v>
      </c>
      <c r="B2" s="650"/>
      <c r="C2" s="234" t="str">
        <f>UPPER(MID('APONTAMENTO CREDENCIAMENTO'!C7,1,2))</f>
        <v>G</v>
      </c>
      <c r="D2" s="649" t="str">
        <f>UPPER('APONTAMENTO CREDENCIAMENTO'!A1)</f>
        <v>GUAIANASES</v>
      </c>
      <c r="E2" s="651"/>
      <c r="F2" s="651"/>
      <c r="G2" s="652"/>
      <c r="H2" s="243"/>
      <c r="I2" s="235" t="s">
        <v>161</v>
      </c>
      <c r="J2" s="236" t="s">
        <v>162</v>
      </c>
      <c r="K2" s="241"/>
      <c r="L2" s="242"/>
      <c r="N2" s="648" t="s">
        <v>1</v>
      </c>
      <c r="O2" s="648"/>
      <c r="P2" s="230" t="s">
        <v>2</v>
      </c>
      <c r="Q2" s="639" t="s">
        <v>3</v>
      </c>
      <c r="R2" s="639"/>
      <c r="S2" s="639"/>
      <c r="T2" s="639"/>
      <c r="U2" s="639"/>
    </row>
    <row r="3" spans="1:21" ht="20.25" customHeight="1" thickBot="1" x14ac:dyDescent="0.3">
      <c r="A3" s="222" t="s">
        <v>4</v>
      </c>
      <c r="B3" s="339" t="s">
        <v>3318</v>
      </c>
      <c r="C3" s="338"/>
      <c r="D3" s="223" t="s">
        <v>5</v>
      </c>
      <c r="E3" s="640" t="s">
        <v>163</v>
      </c>
      <c r="F3" s="641"/>
      <c r="G3" s="642"/>
      <c r="H3" s="645" t="s">
        <v>169</v>
      </c>
      <c r="I3" s="657" t="str">
        <f>N3</f>
        <v>01/04/2026</v>
      </c>
      <c r="J3" s="659" t="str">
        <f>O3</f>
        <v>30/04/2026</v>
      </c>
      <c r="K3" s="666" t="s">
        <v>168</v>
      </c>
      <c r="L3" s="667"/>
      <c r="N3" s="1" t="str">
        <f>'APONTAMENTO CREDENCIAMENTO'!F5</f>
        <v>01/04/2026</v>
      </c>
      <c r="O3" s="1" t="str">
        <f>'APONTAMENTO CREDENCIAMENTO'!G5</f>
        <v>30/04/2026</v>
      </c>
      <c r="P3" s="231"/>
      <c r="Q3" s="2"/>
      <c r="R3" s="2"/>
      <c r="S3" s="2"/>
      <c r="T3" s="2"/>
      <c r="U3" s="2"/>
    </row>
    <row r="4" spans="1:21" ht="22.5" customHeight="1" x14ac:dyDescent="0.25">
      <c r="A4" s="220" t="s">
        <v>6</v>
      </c>
      <c r="B4" s="221" t="str">
        <f>I3</f>
        <v>01/04/2026</v>
      </c>
      <c r="C4" s="221" t="str">
        <f>J3</f>
        <v>30/04/2026</v>
      </c>
      <c r="D4" s="663" t="str">
        <f>D10</f>
        <v>RENATO CROZARA DA SILVA</v>
      </c>
      <c r="E4" s="645" t="str">
        <f>UPPER(TEXT(B4,"MMMM"))</f>
        <v>ABRIL</v>
      </c>
      <c r="F4" s="653"/>
      <c r="G4" s="654"/>
      <c r="H4" s="646"/>
      <c r="I4" s="658"/>
      <c r="J4" s="660"/>
      <c r="K4" s="666"/>
      <c r="L4" s="667"/>
      <c r="P4" s="231"/>
      <c r="Q4" s="3"/>
      <c r="R4" s="3"/>
      <c r="S4" s="3"/>
      <c r="T4" s="3"/>
      <c r="U4" s="3"/>
    </row>
    <row r="5" spans="1:21" ht="24.75" customHeight="1" x14ac:dyDescent="0.2">
      <c r="A5" s="218" t="s">
        <v>7</v>
      </c>
      <c r="B5" s="643">
        <v>45868</v>
      </c>
      <c r="C5" s="643"/>
      <c r="D5" s="664"/>
      <c r="E5" s="646"/>
      <c r="F5" s="655"/>
      <c r="G5" s="656"/>
      <c r="H5" s="646"/>
      <c r="I5" s="658"/>
      <c r="J5" s="660"/>
      <c r="K5" s="666"/>
      <c r="L5" s="667"/>
      <c r="P5" s="231"/>
      <c r="Q5" s="3"/>
      <c r="R5" s="3"/>
      <c r="S5" s="3"/>
      <c r="T5" s="3"/>
      <c r="U5" s="3"/>
    </row>
    <row r="6" spans="1:21" ht="21.75" customHeight="1" x14ac:dyDescent="0.2">
      <c r="A6" s="218" t="s">
        <v>8</v>
      </c>
      <c r="B6" s="644" t="s">
        <v>167</v>
      </c>
      <c r="C6" s="644"/>
      <c r="D6" s="664"/>
      <c r="E6" s="646"/>
      <c r="F6" s="655"/>
      <c r="G6" s="656"/>
      <c r="H6" s="646"/>
      <c r="I6" s="658"/>
      <c r="J6" s="660"/>
      <c r="K6" s="666"/>
      <c r="L6" s="667"/>
      <c r="P6" s="231"/>
      <c r="Q6" s="3"/>
      <c r="R6" t="s">
        <v>165</v>
      </c>
      <c r="S6" s="3"/>
      <c r="T6" s="3"/>
      <c r="U6" s="3"/>
    </row>
    <row r="7" spans="1:21" ht="17.25" customHeight="1" x14ac:dyDescent="0.2">
      <c r="A7" s="218" t="s">
        <v>9</v>
      </c>
      <c r="B7" s="647">
        <f>IF(N10="C",'VALORES TABELA'!B17,IF(N10="N",'VALORES TABELA'!B18,0))</f>
        <v>0</v>
      </c>
      <c r="C7" s="647"/>
      <c r="D7" s="664"/>
      <c r="E7" s="646"/>
      <c r="F7" s="655"/>
      <c r="G7" s="656"/>
      <c r="H7" s="646"/>
      <c r="I7" s="658"/>
      <c r="J7" s="660"/>
      <c r="K7" s="666"/>
      <c r="L7" s="667"/>
      <c r="R7" s="232"/>
    </row>
    <row r="8" spans="1:21" ht="18" customHeight="1" x14ac:dyDescent="0.2">
      <c r="A8" s="661" t="s">
        <v>10</v>
      </c>
      <c r="B8" s="662"/>
      <c r="C8" s="662"/>
      <c r="D8" s="665"/>
      <c r="E8" s="646"/>
      <c r="F8" s="655"/>
      <c r="G8" s="656"/>
      <c r="H8" s="646"/>
      <c r="I8" s="658"/>
      <c r="J8" s="660"/>
      <c r="K8" s="666"/>
      <c r="L8" s="667"/>
    </row>
    <row r="9" spans="1:21" ht="33" customHeight="1" x14ac:dyDescent="0.25">
      <c r="A9" s="224" t="s">
        <v>166</v>
      </c>
      <c r="B9" s="224" t="s">
        <v>166</v>
      </c>
      <c r="C9" s="225" t="s">
        <v>11</v>
      </c>
      <c r="D9" s="226" t="str">
        <f>VLOOKUP($C9,'APONTAMENTO CREDENCIAMENTO'!$A:$J,8,0)</f>
        <v>EMPRESA</v>
      </c>
      <c r="E9" s="226" t="str">
        <f>VLOOKUP($C9,'APONTAMENTO CREDENCIAMENTO'!$A:$J,9,0)</f>
        <v>NOME CONDUTOR</v>
      </c>
      <c r="F9" s="227" t="str">
        <f>VLOOKUP($C9,'APONTAMENTO CREDENCIAMENTO'!$A:$P,15,0)</f>
        <v>SEI</v>
      </c>
      <c r="G9" s="228" t="str">
        <f>VLOOKUP($C9,'APONTAMENTO CREDENCIAMENTO'!$A:$P,4,0)</f>
        <v>CONTRATO</v>
      </c>
      <c r="H9" s="244" t="s">
        <v>170</v>
      </c>
      <c r="I9" s="212" t="s">
        <v>42</v>
      </c>
      <c r="J9" s="229"/>
      <c r="K9" s="240" t="str">
        <f>VLOOKUP($C9,'APONTAMENTO CREDENCIAMENTO'!$A:$J,6,0)</f>
        <v>PERÍODO</v>
      </c>
      <c r="L9" s="240"/>
      <c r="M9" s="219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233">
        <v>1</v>
      </c>
      <c r="B10" s="233">
        <v>1</v>
      </c>
      <c r="C10" s="269" t="s">
        <v>3316</v>
      </c>
      <c r="D10" s="226" t="str">
        <f>VLOOKUP($C10,'APONTAMENTO CREDENCIAMENTO'!$A:$J,8,0)</f>
        <v>RENATO CROZARA DA SILVA</v>
      </c>
      <c r="E10" s="226" t="str">
        <f>VLOOKUP($C10,'APONTAMENTO CREDENCIAMENTO'!$A:$J,9,0)</f>
        <v>RENATO CROZARA DA SILVA</v>
      </c>
      <c r="F10" s="227" t="str">
        <f>VLOOKUP($C10,'APONTAMENTO CREDENCIAMENTO'!$A:$P,15,0)</f>
        <v>6020.2025/0012259-2</v>
      </c>
      <c r="G10" s="228" t="str">
        <f>VLOOKUP($C10,'APONTAMENTO CREDENCIAMENTO'!$A:$P,4,0)</f>
        <v>2025/0012259</v>
      </c>
      <c r="H10" s="228" t="str">
        <f>VLOOKUP($C10,'APONTAMENTO CREDENCIAMENTO'!$A:$P,5,0)</f>
        <v>FYB7439</v>
      </c>
      <c r="I10" s="228" t="str">
        <f>IF(VLOOKUP($C10,'APONTAMENTO CREDENCIAMENTO'!$A:$J,10,0)="NORMAL","NORMAL","ADAPTADO")</f>
        <v>NORMAL</v>
      </c>
      <c r="J10" s="229" t="e">
        <f>VLOOKUP($C10,'APONTAMENTO CREDENCIAMENTO'!$A:$T,142,0)</f>
        <v>#REF!</v>
      </c>
      <c r="K10" s="240" t="str">
        <f>VLOOKUP($C10,'APONTAMENTO CREDENCIAMENTO'!$A:$J,6,0)</f>
        <v>01/04/2026</v>
      </c>
      <c r="L10" s="240" t="str">
        <f>VLOOKUP($C10,'APONTAMENTO CREDENCIAMENTO'!$A:$J,7,0)</f>
        <v>30/04/2026</v>
      </c>
      <c r="M10" s="219" t="str">
        <f t="shared" si="0"/>
        <v>REN</v>
      </c>
      <c r="N10">
        <f>VLOOKUP($C10,'APONTAMENTO CREDENCIAMENTO'!$A:$P,16,0)</f>
        <v>0</v>
      </c>
    </row>
    <row r="11" spans="1:21" ht="15" x14ac:dyDescent="0.25">
      <c r="D11" s="226"/>
      <c r="E11" s="226"/>
      <c r="F11" s="227"/>
      <c r="G11" s="228"/>
      <c r="H11" s="228"/>
      <c r="I11" s="228"/>
      <c r="J11" s="229"/>
      <c r="K11" s="240"/>
      <c r="L11" s="240"/>
      <c r="M11" s="219"/>
    </row>
    <row r="12" spans="1:21" ht="15" x14ac:dyDescent="0.25">
      <c r="D12" s="226"/>
      <c r="E12" s="226"/>
      <c r="F12" s="227"/>
      <c r="G12" s="228"/>
      <c r="H12" s="228"/>
      <c r="I12" s="228"/>
      <c r="J12" s="229"/>
      <c r="K12" s="240"/>
      <c r="L12" s="240"/>
      <c r="M12" s="219"/>
    </row>
    <row r="13" spans="1:21" ht="15" x14ac:dyDescent="0.25">
      <c r="D13" s="226"/>
      <c r="E13" s="226"/>
      <c r="F13" s="227"/>
      <c r="G13" s="228"/>
      <c r="H13" s="228"/>
      <c r="I13" s="228"/>
      <c r="J13" s="229"/>
      <c r="K13" s="240"/>
      <c r="L13" s="240"/>
      <c r="M13" s="219"/>
    </row>
    <row r="14" spans="1:21" ht="15" x14ac:dyDescent="0.25">
      <c r="D14" s="226"/>
      <c r="E14" s="226"/>
      <c r="F14" s="227"/>
      <c r="G14" s="228"/>
      <c r="H14" s="228"/>
      <c r="I14" s="228"/>
      <c r="J14" s="229"/>
      <c r="K14" s="240"/>
      <c r="L14" s="240"/>
      <c r="M14" s="219"/>
    </row>
    <row r="15" spans="1:21" ht="15" x14ac:dyDescent="0.25">
      <c r="D15" s="226"/>
      <c r="E15" s="226"/>
      <c r="F15" s="227"/>
      <c r="G15" s="228"/>
      <c r="H15" s="228"/>
      <c r="I15" s="228"/>
      <c r="J15" s="229"/>
      <c r="K15" s="240"/>
      <c r="L15" s="240"/>
      <c r="M15" s="219"/>
    </row>
    <row r="16" spans="1:21" ht="15" x14ac:dyDescent="0.25">
      <c r="D16" s="226"/>
      <c r="E16" s="226"/>
      <c r="F16" s="227"/>
      <c r="G16" s="228"/>
      <c r="H16" s="228"/>
      <c r="I16" s="228"/>
      <c r="J16" s="229"/>
      <c r="K16" s="240"/>
      <c r="L16" s="240"/>
      <c r="M16" s="219"/>
    </row>
    <row r="17" spans="4:13" ht="15" x14ac:dyDescent="0.25">
      <c r="D17" s="226"/>
      <c r="E17" s="226"/>
      <c r="F17" s="227"/>
      <c r="G17" s="228"/>
      <c r="H17" s="228"/>
      <c r="I17" s="228"/>
      <c r="J17" s="229"/>
      <c r="K17" s="240"/>
      <c r="L17" s="240"/>
      <c r="M17" s="219"/>
    </row>
    <row r="18" spans="4:13" ht="15" x14ac:dyDescent="0.25">
      <c r="D18" s="226"/>
      <c r="E18" s="226"/>
      <c r="F18" s="227"/>
      <c r="G18" s="228"/>
      <c r="H18" s="228"/>
      <c r="I18" s="228"/>
      <c r="J18" s="229"/>
      <c r="K18" s="240"/>
      <c r="L18" s="240"/>
      <c r="M18" s="219"/>
    </row>
    <row r="19" spans="4:13" ht="15" x14ac:dyDescent="0.25">
      <c r="D19" s="226"/>
      <c r="E19" s="226"/>
      <c r="F19" s="227"/>
      <c r="G19" s="228"/>
      <c r="H19" s="228"/>
      <c r="I19" s="228"/>
      <c r="J19" s="229"/>
      <c r="K19" s="240"/>
      <c r="L19" s="240"/>
      <c r="M19" s="219"/>
    </row>
    <row r="20" spans="4:13" ht="15" x14ac:dyDescent="0.25">
      <c r="D20" s="226"/>
      <c r="E20" s="226"/>
      <c r="F20" s="227"/>
      <c r="G20" s="228"/>
      <c r="H20" s="228"/>
      <c r="I20" s="228"/>
      <c r="J20" s="229"/>
      <c r="K20" s="240"/>
      <c r="L20" s="240"/>
      <c r="M20" s="219"/>
    </row>
    <row r="21" spans="4:13" ht="15" x14ac:dyDescent="0.25">
      <c r="D21" s="226"/>
      <c r="E21" s="226"/>
      <c r="F21" s="227"/>
      <c r="G21" s="228"/>
      <c r="H21" s="228"/>
      <c r="I21" s="228"/>
      <c r="J21" s="229"/>
      <c r="K21" s="240"/>
      <c r="L21" s="240"/>
      <c r="M21" s="219"/>
    </row>
    <row r="22" spans="4:13" ht="15" x14ac:dyDescent="0.25">
      <c r="D22" s="226"/>
      <c r="E22" s="226"/>
      <c r="F22" s="227"/>
      <c r="G22" s="228"/>
      <c r="H22" s="228"/>
      <c r="I22" s="228"/>
      <c r="J22" s="229"/>
      <c r="K22" s="240"/>
      <c r="L22" s="240"/>
      <c r="M22" s="219"/>
    </row>
    <row r="23" spans="4:13" ht="15" x14ac:dyDescent="0.25">
      <c r="D23" s="226"/>
      <c r="E23" s="226"/>
      <c r="F23" s="227"/>
      <c r="G23" s="228"/>
      <c r="H23" s="228"/>
      <c r="I23" s="228"/>
      <c r="J23" s="229"/>
      <c r="K23" s="240"/>
      <c r="L23" s="240"/>
      <c r="M23" s="219"/>
    </row>
    <row r="24" spans="4:13" ht="15" x14ac:dyDescent="0.25">
      <c r="D24" s="226"/>
      <c r="E24" s="226"/>
      <c r="F24" s="227"/>
      <c r="G24" s="228"/>
      <c r="H24" s="228"/>
      <c r="I24" s="228"/>
      <c r="J24" s="229"/>
      <c r="K24" s="240"/>
      <c r="L24" s="240"/>
      <c r="M24" s="219"/>
    </row>
    <row r="25" spans="4:13" ht="15" x14ac:dyDescent="0.25">
      <c r="D25" s="226"/>
      <c r="E25" s="226"/>
      <c r="F25" s="227"/>
      <c r="G25" s="228"/>
      <c r="H25" s="228"/>
      <c r="I25" s="228"/>
      <c r="J25" s="229"/>
      <c r="K25" s="240"/>
      <c r="L25" s="240"/>
      <c r="M25" s="219"/>
    </row>
    <row r="26" spans="4:13" ht="15" x14ac:dyDescent="0.25">
      <c r="D26" s="226"/>
      <c r="E26" s="226"/>
      <c r="F26" s="227"/>
      <c r="G26" s="228"/>
      <c r="H26" s="228"/>
      <c r="I26" s="228"/>
      <c r="J26" s="229"/>
      <c r="K26" s="240"/>
      <c r="L26" s="240"/>
      <c r="M26" s="219"/>
    </row>
    <row r="27" spans="4:13" ht="15" x14ac:dyDescent="0.25">
      <c r="D27" s="226"/>
      <c r="E27" s="226"/>
      <c r="F27" s="227"/>
      <c r="G27" s="228"/>
      <c r="H27" s="228"/>
      <c r="I27" s="228"/>
      <c r="J27" s="229"/>
      <c r="K27" s="240"/>
      <c r="L27" s="240"/>
      <c r="M27" s="219"/>
    </row>
    <row r="28" spans="4:13" ht="15" x14ac:dyDescent="0.25">
      <c r="D28" s="226"/>
      <c r="E28" s="226"/>
      <c r="F28" s="227"/>
      <c r="G28" s="228"/>
      <c r="H28" s="228"/>
      <c r="I28" s="228"/>
      <c r="J28" s="229"/>
      <c r="K28" s="240"/>
      <c r="L28" s="240"/>
      <c r="M28" s="219"/>
    </row>
    <row r="29" spans="4:13" ht="15" x14ac:dyDescent="0.25">
      <c r="D29" s="226"/>
      <c r="E29" s="226"/>
      <c r="F29" s="227"/>
      <c r="G29" s="228"/>
      <c r="H29" s="228"/>
      <c r="I29" s="228"/>
      <c r="J29" s="229"/>
      <c r="K29" s="240"/>
      <c r="L29" s="240"/>
      <c r="M29" s="219"/>
    </row>
    <row r="30" spans="4:13" ht="15" x14ac:dyDescent="0.25">
      <c r="D30" s="226"/>
      <c r="E30" s="226"/>
      <c r="F30" s="227"/>
      <c r="G30" s="228"/>
      <c r="H30" s="228"/>
      <c r="I30" s="228"/>
      <c r="J30" s="229"/>
      <c r="K30" s="240"/>
      <c r="L30" s="240"/>
      <c r="M30" s="219"/>
    </row>
    <row r="31" spans="4:13" ht="15" x14ac:dyDescent="0.25">
      <c r="D31" s="226"/>
      <c r="E31" s="226"/>
      <c r="F31" s="227"/>
      <c r="G31" s="228"/>
      <c r="H31" s="228"/>
      <c r="I31" s="228"/>
      <c r="J31" s="229"/>
      <c r="K31" s="240"/>
      <c r="L31" s="240"/>
      <c r="M31" s="219"/>
    </row>
    <row r="32" spans="4:13" ht="15" x14ac:dyDescent="0.25">
      <c r="D32" s="226"/>
      <c r="E32" s="226"/>
      <c r="F32" s="227"/>
      <c r="G32" s="228"/>
      <c r="H32" s="228"/>
      <c r="I32" s="228"/>
      <c r="J32" s="229"/>
      <c r="K32" s="240"/>
      <c r="L32" s="240"/>
      <c r="M32" s="219"/>
    </row>
    <row r="33" spans="4:13" ht="15" x14ac:dyDescent="0.25">
      <c r="D33" s="226"/>
      <c r="E33" s="226"/>
      <c r="F33" s="227"/>
      <c r="G33" s="228"/>
      <c r="H33" s="228"/>
      <c r="I33" s="228"/>
      <c r="J33" s="229"/>
      <c r="K33" s="240"/>
      <c r="L33" s="240"/>
      <c r="M33" s="219"/>
    </row>
    <row r="34" spans="4:13" ht="15" x14ac:dyDescent="0.25">
      <c r="D34" s="226"/>
      <c r="E34" s="226"/>
      <c r="F34" s="227"/>
      <c r="G34" s="228"/>
      <c r="H34" s="228"/>
      <c r="I34" s="228"/>
      <c r="J34" s="229"/>
      <c r="K34" s="240"/>
      <c r="L34" s="240"/>
      <c r="M34" s="219"/>
    </row>
    <row r="35" spans="4:13" ht="15" x14ac:dyDescent="0.25">
      <c r="D35" s="226"/>
      <c r="E35" s="226"/>
      <c r="F35" s="227"/>
      <c r="G35" s="228"/>
      <c r="H35" s="228"/>
      <c r="I35" s="228"/>
      <c r="J35" s="229"/>
      <c r="K35" s="240"/>
      <c r="L35" s="240"/>
      <c r="M35" s="219"/>
    </row>
    <row r="36" spans="4:13" ht="15" x14ac:dyDescent="0.25">
      <c r="D36" s="226"/>
      <c r="E36" s="226"/>
      <c r="F36" s="227"/>
      <c r="G36" s="228"/>
      <c r="H36" s="228"/>
      <c r="I36" s="228"/>
      <c r="J36" s="229"/>
      <c r="K36" s="240"/>
      <c r="L36" s="240"/>
      <c r="M36" s="219"/>
    </row>
    <row r="37" spans="4:13" ht="15" x14ac:dyDescent="0.25">
      <c r="D37" s="226"/>
      <c r="E37" s="226"/>
      <c r="F37" s="227"/>
      <c r="G37" s="228"/>
      <c r="H37" s="228"/>
      <c r="I37" s="228"/>
      <c r="J37" s="229"/>
      <c r="K37" s="240"/>
      <c r="L37" s="240"/>
      <c r="M37" s="219"/>
    </row>
    <row r="38" spans="4:13" ht="15" x14ac:dyDescent="0.25">
      <c r="D38" s="226"/>
      <c r="E38" s="226"/>
      <c r="F38" s="227"/>
      <c r="G38" s="228"/>
      <c r="H38" s="228"/>
      <c r="I38" s="228"/>
      <c r="J38" s="229"/>
      <c r="K38" s="240"/>
      <c r="L38" s="240"/>
      <c r="M38" s="219"/>
    </row>
    <row r="39" spans="4:13" ht="15" x14ac:dyDescent="0.25">
      <c r="D39" s="226"/>
      <c r="E39" s="226"/>
      <c r="F39" s="227"/>
      <c r="G39" s="228"/>
      <c r="H39" s="228"/>
      <c r="I39" s="228"/>
      <c r="J39" s="229"/>
      <c r="K39" s="240"/>
      <c r="L39" s="240"/>
      <c r="M39" s="219"/>
    </row>
    <row r="40" spans="4:13" ht="15" x14ac:dyDescent="0.25">
      <c r="D40" s="226"/>
      <c r="E40" s="226"/>
      <c r="F40" s="227"/>
      <c r="G40" s="228"/>
      <c r="H40" s="228"/>
      <c r="I40" s="228"/>
      <c r="J40" s="229"/>
      <c r="K40" s="240"/>
      <c r="L40" s="240"/>
      <c r="M40" s="219"/>
    </row>
    <row r="41" spans="4:13" ht="15" x14ac:dyDescent="0.25">
      <c r="D41" s="226"/>
      <c r="E41" s="226"/>
      <c r="F41" s="227"/>
      <c r="G41" s="228"/>
      <c r="H41" s="228"/>
      <c r="I41" s="228"/>
      <c r="J41" s="229"/>
      <c r="K41" s="240"/>
      <c r="L41" s="240"/>
      <c r="M41" s="219"/>
    </row>
    <row r="42" spans="4:13" ht="15" x14ac:dyDescent="0.25">
      <c r="D42" s="226"/>
      <c r="E42" s="226"/>
      <c r="F42" s="227"/>
      <c r="G42" s="228"/>
      <c r="H42" s="228"/>
      <c r="I42" s="228"/>
      <c r="J42" s="229"/>
      <c r="K42" s="240"/>
      <c r="L42" s="240"/>
      <c r="M42" s="219"/>
    </row>
    <row r="43" spans="4:13" ht="15" x14ac:dyDescent="0.25">
      <c r="D43" s="226"/>
      <c r="E43" s="226"/>
      <c r="F43" s="227"/>
      <c r="G43" s="228"/>
      <c r="H43" s="228"/>
      <c r="I43" s="228"/>
      <c r="J43" s="229"/>
      <c r="K43" s="240"/>
      <c r="L43" s="240"/>
      <c r="M43" s="219"/>
    </row>
    <row r="44" spans="4:13" ht="15" x14ac:dyDescent="0.25">
      <c r="D44" s="226"/>
      <c r="E44" s="226"/>
      <c r="F44" s="227"/>
      <c r="G44" s="228"/>
      <c r="H44" s="228"/>
      <c r="I44" s="228"/>
      <c r="J44" s="229"/>
      <c r="K44" s="240"/>
      <c r="L44" s="240"/>
      <c r="M44" s="219"/>
    </row>
    <row r="45" spans="4:13" ht="15" x14ac:dyDescent="0.25">
      <c r="D45" s="226"/>
      <c r="E45" s="226"/>
      <c r="F45" s="227"/>
      <c r="G45" s="228"/>
      <c r="H45" s="228"/>
      <c r="I45" s="228"/>
      <c r="J45" s="229"/>
      <c r="K45" s="240"/>
      <c r="L45" s="240"/>
      <c r="M45" s="219"/>
    </row>
    <row r="46" spans="4:13" ht="15" x14ac:dyDescent="0.25">
      <c r="D46" s="226"/>
      <c r="E46" s="226"/>
      <c r="F46" s="227"/>
      <c r="G46" s="228"/>
      <c r="H46" s="228"/>
      <c r="I46" s="228"/>
      <c r="J46" s="229"/>
      <c r="K46" s="240"/>
      <c r="L46" s="240"/>
      <c r="M46" s="219"/>
    </row>
    <row r="47" spans="4:13" ht="15" x14ac:dyDescent="0.25">
      <c r="D47" s="226"/>
      <c r="E47" s="226"/>
      <c r="F47" s="227"/>
      <c r="G47" s="228"/>
      <c r="H47" s="228"/>
      <c r="I47" s="228"/>
      <c r="J47" s="229"/>
      <c r="K47" s="240"/>
      <c r="L47" s="240"/>
      <c r="M47" s="219"/>
    </row>
    <row r="48" spans="4:13" ht="15" x14ac:dyDescent="0.25">
      <c r="D48" s="226"/>
      <c r="E48" s="226"/>
      <c r="F48" s="227"/>
      <c r="G48" s="228"/>
      <c r="H48" s="228"/>
      <c r="I48" s="228"/>
      <c r="J48" s="229"/>
      <c r="K48" s="240"/>
      <c r="L48" s="240"/>
      <c r="M48" s="219"/>
    </row>
    <row r="49" spans="4:13" ht="15" x14ac:dyDescent="0.25">
      <c r="D49" s="226"/>
      <c r="E49" s="226"/>
      <c r="F49" s="227"/>
      <c r="G49" s="228"/>
      <c r="H49" s="228"/>
      <c r="I49" s="228"/>
      <c r="J49" s="229"/>
      <c r="K49" s="240"/>
      <c r="L49" s="240"/>
      <c r="M49" s="219"/>
    </row>
    <row r="50" spans="4:13" ht="15" x14ac:dyDescent="0.25">
      <c r="D50" s="226"/>
      <c r="E50" s="226"/>
      <c r="F50" s="227"/>
      <c r="G50" s="228"/>
      <c r="H50" s="228"/>
      <c r="I50" s="228"/>
      <c r="J50" s="229"/>
      <c r="K50" s="240"/>
      <c r="L50" s="240"/>
      <c r="M50" s="219"/>
    </row>
    <row r="51" spans="4:13" ht="15" x14ac:dyDescent="0.25">
      <c r="D51" s="226"/>
      <c r="E51" s="226"/>
      <c r="F51" s="227"/>
      <c r="G51" s="228"/>
      <c r="H51" s="228"/>
      <c r="I51" s="228"/>
      <c r="J51" s="229"/>
      <c r="K51" s="240"/>
      <c r="L51" s="240"/>
      <c r="M51" s="219"/>
    </row>
    <row r="52" spans="4:13" ht="15" x14ac:dyDescent="0.25">
      <c r="D52" s="226"/>
      <c r="E52" s="226"/>
      <c r="F52" s="227"/>
      <c r="G52" s="228"/>
      <c r="H52" s="228"/>
      <c r="I52" s="228"/>
      <c r="J52" s="229"/>
      <c r="K52" s="240"/>
      <c r="L52" s="240"/>
      <c r="M52" s="219"/>
    </row>
    <row r="53" spans="4:13" ht="15" x14ac:dyDescent="0.25">
      <c r="D53" s="226"/>
      <c r="E53" s="226"/>
      <c r="F53" s="227"/>
      <c r="G53" s="228"/>
      <c r="H53" s="228"/>
      <c r="I53" s="228"/>
      <c r="J53" s="229"/>
      <c r="K53" s="240"/>
      <c r="L53" s="240"/>
      <c r="M53" s="219"/>
    </row>
    <row r="54" spans="4:13" ht="15" x14ac:dyDescent="0.25">
      <c r="D54" s="226"/>
      <c r="E54" s="226"/>
      <c r="F54" s="227"/>
      <c r="G54" s="228"/>
      <c r="H54" s="228"/>
      <c r="I54" s="228"/>
      <c r="J54" s="229"/>
      <c r="K54" s="240"/>
      <c r="L54" s="240"/>
      <c r="M54" s="219"/>
    </row>
    <row r="55" spans="4:13" ht="15" x14ac:dyDescent="0.25">
      <c r="D55" s="226"/>
      <c r="E55" s="226"/>
      <c r="F55" s="227"/>
      <c r="G55" s="228"/>
      <c r="H55" s="228"/>
      <c r="I55" s="228"/>
      <c r="J55" s="229"/>
      <c r="K55" s="240"/>
      <c r="L55" s="240"/>
      <c r="M55" s="219"/>
    </row>
    <row r="56" spans="4:13" ht="15" x14ac:dyDescent="0.25">
      <c r="D56" s="226"/>
      <c r="E56" s="226"/>
      <c r="F56" s="227"/>
      <c r="G56" s="228"/>
      <c r="H56" s="228"/>
      <c r="I56" s="228"/>
      <c r="J56" s="229"/>
      <c r="K56" s="240"/>
      <c r="L56" s="240"/>
      <c r="M56" s="219"/>
    </row>
    <row r="57" spans="4:13" ht="15" x14ac:dyDescent="0.25">
      <c r="D57" s="226"/>
      <c r="E57" s="226"/>
      <c r="F57" s="227"/>
      <c r="G57" s="228"/>
      <c r="H57" s="228"/>
      <c r="I57" s="228"/>
      <c r="J57" s="229"/>
      <c r="K57" s="240"/>
      <c r="L57" s="240"/>
      <c r="M57" s="219"/>
    </row>
    <row r="58" spans="4:13" ht="15" x14ac:dyDescent="0.25">
      <c r="D58" s="226"/>
      <c r="E58" s="226"/>
      <c r="F58" s="227"/>
      <c r="G58" s="228"/>
      <c r="H58" s="228"/>
      <c r="I58" s="228"/>
      <c r="J58" s="229"/>
      <c r="K58" s="240"/>
      <c r="L58" s="240"/>
      <c r="M58" s="219"/>
    </row>
    <row r="59" spans="4:13" ht="15" x14ac:dyDescent="0.25">
      <c r="D59" s="226"/>
      <c r="E59" s="226"/>
      <c r="F59" s="227"/>
      <c r="G59" s="228"/>
      <c r="H59" s="228"/>
      <c r="I59" s="228"/>
      <c r="J59" s="229"/>
      <c r="K59" s="240"/>
      <c r="L59" s="240"/>
      <c r="M59" s="219"/>
    </row>
    <row r="60" spans="4:13" ht="15" x14ac:dyDescent="0.25">
      <c r="D60" s="226"/>
      <c r="E60" s="226"/>
      <c r="F60" s="227"/>
      <c r="G60" s="228"/>
      <c r="H60" s="228"/>
      <c r="I60" s="228"/>
      <c r="J60" s="229"/>
      <c r="K60" s="240"/>
      <c r="L60" s="240"/>
      <c r="M60" s="219"/>
    </row>
    <row r="61" spans="4:13" ht="15" x14ac:dyDescent="0.25">
      <c r="D61" s="226"/>
      <c r="E61" s="226"/>
      <c r="F61" s="227"/>
      <c r="G61" s="228"/>
      <c r="H61" s="228"/>
      <c r="I61" s="228"/>
      <c r="J61" s="229"/>
      <c r="K61" s="240"/>
      <c r="L61" s="240"/>
      <c r="M61" s="219"/>
    </row>
    <row r="62" spans="4:13" ht="15" x14ac:dyDescent="0.25">
      <c r="D62" s="226"/>
      <c r="E62" s="226"/>
      <c r="F62" s="227"/>
      <c r="G62" s="228"/>
      <c r="H62" s="228"/>
      <c r="I62" s="228"/>
      <c r="J62" s="229"/>
      <c r="K62" s="240"/>
      <c r="L62" s="240"/>
      <c r="M62" s="219"/>
    </row>
    <row r="63" spans="4:13" ht="15" x14ac:dyDescent="0.25">
      <c r="D63" s="226"/>
      <c r="E63" s="226"/>
      <c r="F63" s="227"/>
      <c r="G63" s="228"/>
      <c r="H63" s="228"/>
      <c r="I63" s="228"/>
      <c r="J63" s="229"/>
      <c r="K63" s="240"/>
      <c r="L63" s="240"/>
      <c r="M63" s="219"/>
    </row>
    <row r="64" spans="4:13" ht="15" x14ac:dyDescent="0.25">
      <c r="D64" s="226"/>
      <c r="E64" s="226"/>
      <c r="F64" s="227"/>
      <c r="G64" s="228"/>
      <c r="H64" s="228"/>
      <c r="I64" s="228"/>
      <c r="J64" s="229"/>
      <c r="K64" s="240"/>
      <c r="L64" s="240"/>
      <c r="M64" s="219"/>
    </row>
    <row r="65" spans="4:13" ht="15" x14ac:dyDescent="0.25">
      <c r="D65" s="226"/>
      <c r="E65" s="226"/>
      <c r="F65" s="227"/>
      <c r="G65" s="228"/>
      <c r="H65" s="228"/>
      <c r="I65" s="228"/>
      <c r="J65" s="229"/>
      <c r="K65" s="240"/>
      <c r="L65" s="240"/>
      <c r="M65" s="219"/>
    </row>
    <row r="66" spans="4:13" ht="15" x14ac:dyDescent="0.25">
      <c r="D66" s="226"/>
      <c r="E66" s="226"/>
      <c r="F66" s="227"/>
      <c r="G66" s="228"/>
      <c r="H66" s="228"/>
      <c r="I66" s="228"/>
      <c r="J66" s="229"/>
      <c r="K66" s="240"/>
      <c r="L66" s="240"/>
      <c r="M66" s="219"/>
    </row>
    <row r="67" spans="4:13" ht="15" x14ac:dyDescent="0.25">
      <c r="D67" s="226"/>
      <c r="E67" s="226"/>
      <c r="F67" s="227"/>
      <c r="G67" s="228"/>
      <c r="H67" s="228"/>
      <c r="I67" s="228"/>
      <c r="J67" s="229"/>
      <c r="K67" s="240"/>
      <c r="L67" s="240"/>
      <c r="M67" s="219"/>
    </row>
    <row r="68" spans="4:13" ht="15" x14ac:dyDescent="0.25">
      <c r="D68" s="226"/>
      <c r="E68" s="226"/>
      <c r="F68" s="227"/>
      <c r="G68" s="228"/>
      <c r="H68" s="228"/>
      <c r="I68" s="228"/>
      <c r="J68" s="229"/>
      <c r="K68" s="240"/>
      <c r="L68" s="240"/>
      <c r="M68" s="219"/>
    </row>
    <row r="69" spans="4:13" ht="15" x14ac:dyDescent="0.25">
      <c r="D69" s="226"/>
      <c r="E69" s="226"/>
      <c r="F69" s="227"/>
      <c r="G69" s="228"/>
      <c r="H69" s="228"/>
      <c r="I69" s="228"/>
      <c r="J69" s="229"/>
      <c r="K69" s="240"/>
      <c r="L69" s="240"/>
      <c r="M69" s="219"/>
    </row>
    <row r="70" spans="4:13" ht="15" x14ac:dyDescent="0.25">
      <c r="D70" s="226"/>
      <c r="E70" s="226"/>
      <c r="F70" s="227"/>
      <c r="G70" s="228"/>
      <c r="H70" s="228"/>
      <c r="I70" s="228"/>
      <c r="J70" s="229"/>
      <c r="K70" s="240"/>
      <c r="L70" s="240"/>
      <c r="M70" s="219"/>
    </row>
    <row r="71" spans="4:13" ht="15" x14ac:dyDescent="0.25">
      <c r="D71" s="226"/>
      <c r="E71" s="226"/>
      <c r="F71" s="227"/>
      <c r="G71" s="228"/>
      <c r="H71" s="228"/>
      <c r="I71" s="228"/>
      <c r="J71" s="229"/>
      <c r="K71" s="240"/>
      <c r="L71" s="240"/>
      <c r="M71" s="219"/>
    </row>
    <row r="72" spans="4:13" ht="15" x14ac:dyDescent="0.25">
      <c r="D72" s="226"/>
      <c r="E72" s="226"/>
      <c r="F72" s="227"/>
      <c r="G72" s="228"/>
      <c r="H72" s="228"/>
      <c r="I72" s="228"/>
      <c r="J72" s="229"/>
      <c r="K72" s="240"/>
      <c r="L72" s="240"/>
      <c r="M72" s="219"/>
    </row>
    <row r="73" spans="4:13" ht="15" x14ac:dyDescent="0.25">
      <c r="D73" s="226"/>
      <c r="E73" s="226"/>
      <c r="F73" s="227"/>
      <c r="G73" s="228"/>
      <c r="H73" s="228"/>
      <c r="I73" s="228"/>
      <c r="J73" s="229"/>
      <c r="K73" s="240"/>
      <c r="L73" s="240"/>
      <c r="M73" s="219"/>
    </row>
    <row r="74" spans="4:13" ht="15" x14ac:dyDescent="0.25">
      <c r="D74" s="226"/>
      <c r="E74" s="226"/>
      <c r="F74" s="227"/>
      <c r="G74" s="228"/>
      <c r="H74" s="228"/>
      <c r="I74" s="228"/>
      <c r="J74" s="229"/>
      <c r="K74" s="240"/>
      <c r="L74" s="240"/>
      <c r="M74" s="219"/>
    </row>
    <row r="75" spans="4:13" ht="15" x14ac:dyDescent="0.25">
      <c r="D75" s="226"/>
      <c r="E75" s="226"/>
      <c r="F75" s="227"/>
      <c r="G75" s="228"/>
      <c r="H75" s="228"/>
      <c r="I75" s="228"/>
      <c r="J75" s="229"/>
      <c r="K75" s="240"/>
      <c r="L75" s="240"/>
      <c r="M75" s="219"/>
    </row>
    <row r="76" spans="4:13" ht="15" x14ac:dyDescent="0.25">
      <c r="D76" s="226"/>
      <c r="E76" s="226"/>
      <c r="F76" s="227"/>
      <c r="G76" s="228"/>
      <c r="H76" s="228"/>
      <c r="I76" s="228"/>
      <c r="J76" s="229"/>
      <c r="K76" s="240"/>
      <c r="L76" s="240"/>
      <c r="M76" s="219"/>
    </row>
    <row r="77" spans="4:13" ht="15" x14ac:dyDescent="0.25">
      <c r="D77" s="226"/>
      <c r="E77" s="226"/>
      <c r="F77" s="227"/>
      <c r="G77" s="228"/>
      <c r="H77" s="228"/>
      <c r="I77" s="228"/>
      <c r="J77" s="229"/>
      <c r="K77" s="240"/>
      <c r="L77" s="240"/>
      <c r="M77" s="219"/>
    </row>
    <row r="78" spans="4:13" ht="15" x14ac:dyDescent="0.25">
      <c r="D78" s="226"/>
      <c r="E78" s="226"/>
      <c r="F78" s="227"/>
      <c r="G78" s="228"/>
      <c r="H78" s="228"/>
      <c r="I78" s="228"/>
      <c r="J78" s="229"/>
      <c r="K78" s="240"/>
      <c r="L78" s="240"/>
      <c r="M78" s="219"/>
    </row>
    <row r="79" spans="4:13" ht="15" x14ac:dyDescent="0.25">
      <c r="D79" s="226"/>
      <c r="E79" s="226"/>
      <c r="F79" s="227"/>
      <c r="G79" s="228"/>
      <c r="H79" s="228"/>
      <c r="I79" s="228"/>
      <c r="J79" s="229"/>
      <c r="K79" s="240"/>
      <c r="L79" s="240"/>
      <c r="M79" s="219"/>
    </row>
    <row r="80" spans="4:13" ht="15" x14ac:dyDescent="0.25">
      <c r="D80" s="226"/>
      <c r="E80" s="226"/>
      <c r="F80" s="227"/>
      <c r="G80" s="228"/>
      <c r="H80" s="228"/>
      <c r="I80" s="228"/>
      <c r="J80" s="229"/>
      <c r="K80" s="240"/>
      <c r="L80" s="240"/>
      <c r="M80" s="219"/>
    </row>
    <row r="81" spans="4:13" ht="15" x14ac:dyDescent="0.25">
      <c r="D81" s="226"/>
      <c r="E81" s="226"/>
      <c r="F81" s="227"/>
      <c r="G81" s="228"/>
      <c r="H81" s="228"/>
      <c r="I81" s="228"/>
      <c r="J81" s="229"/>
      <c r="K81" s="240"/>
      <c r="L81" s="240"/>
      <c r="M81" s="219"/>
    </row>
    <row r="82" spans="4:13" ht="15" x14ac:dyDescent="0.25">
      <c r="D82" s="226"/>
      <c r="E82" s="226"/>
      <c r="F82" s="227"/>
      <c r="G82" s="228"/>
      <c r="H82" s="228"/>
      <c r="I82" s="228"/>
      <c r="J82" s="229"/>
      <c r="K82" s="240"/>
      <c r="L82" s="240"/>
      <c r="M82" s="219"/>
    </row>
    <row r="83" spans="4:13" ht="15" x14ac:dyDescent="0.25">
      <c r="D83" s="226"/>
      <c r="E83" s="226"/>
      <c r="F83" s="227"/>
      <c r="G83" s="228"/>
      <c r="H83" s="228"/>
      <c r="I83" s="228"/>
      <c r="J83" s="229"/>
      <c r="K83" s="240"/>
      <c r="L83" s="240"/>
      <c r="M83" s="219"/>
    </row>
    <row r="84" spans="4:13" ht="15" x14ac:dyDescent="0.25">
      <c r="D84" s="226"/>
      <c r="E84" s="226"/>
      <c r="F84" s="227"/>
      <c r="G84" s="228"/>
      <c r="H84" s="228"/>
      <c r="I84" s="228"/>
      <c r="J84" s="229"/>
      <c r="K84" s="240"/>
      <c r="L84" s="240"/>
      <c r="M84" s="219"/>
    </row>
    <row r="85" spans="4:13" ht="15" x14ac:dyDescent="0.25">
      <c r="D85" s="226"/>
      <c r="E85" s="226"/>
      <c r="F85" s="227"/>
      <c r="G85" s="228"/>
      <c r="H85" s="228"/>
      <c r="I85" s="228"/>
      <c r="J85" s="229"/>
      <c r="K85" s="240"/>
      <c r="L85" s="240"/>
      <c r="M85" s="219"/>
    </row>
    <row r="86" spans="4:13" ht="15" x14ac:dyDescent="0.25">
      <c r="D86" s="226"/>
      <c r="E86" s="226"/>
      <c r="F86" s="227"/>
      <c r="G86" s="228"/>
      <c r="H86" s="228"/>
      <c r="I86" s="228"/>
      <c r="J86" s="229"/>
      <c r="K86" s="240"/>
      <c r="L86" s="240"/>
      <c r="M86" s="219"/>
    </row>
    <row r="87" spans="4:13" ht="15" x14ac:dyDescent="0.25">
      <c r="D87" s="226"/>
      <c r="E87" s="226"/>
      <c r="F87" s="227"/>
      <c r="G87" s="228"/>
      <c r="H87" s="228"/>
      <c r="I87" s="228"/>
      <c r="J87" s="229"/>
      <c r="K87" s="240"/>
      <c r="L87" s="240"/>
      <c r="M87" s="219"/>
    </row>
    <row r="88" spans="4:13" ht="15" x14ac:dyDescent="0.25">
      <c r="D88" s="226"/>
      <c r="E88" s="226"/>
      <c r="F88" s="227"/>
      <c r="G88" s="228"/>
      <c r="H88" s="228"/>
      <c r="I88" s="228"/>
      <c r="J88" s="229"/>
      <c r="K88" s="240"/>
      <c r="L88" s="240"/>
      <c r="M88" s="219"/>
    </row>
    <row r="89" spans="4:13" ht="15" x14ac:dyDescent="0.25">
      <c r="D89" s="226"/>
      <c r="E89" s="226"/>
      <c r="F89" s="227"/>
      <c r="G89" s="228"/>
      <c r="H89" s="228"/>
      <c r="I89" s="228"/>
      <c r="J89" s="229"/>
      <c r="K89" s="240"/>
      <c r="L89" s="240"/>
      <c r="M89" s="219"/>
    </row>
    <row r="90" spans="4:13" ht="15" x14ac:dyDescent="0.25">
      <c r="D90" s="226"/>
      <c r="E90" s="226"/>
      <c r="F90" s="227"/>
      <c r="G90" s="228"/>
      <c r="H90" s="228"/>
      <c r="I90" s="228"/>
      <c r="J90" s="229"/>
      <c r="K90" s="240"/>
      <c r="L90" s="240"/>
      <c r="M90" s="219"/>
    </row>
    <row r="91" spans="4:13" ht="15" x14ac:dyDescent="0.25">
      <c r="D91" s="226"/>
      <c r="E91" s="226"/>
      <c r="F91" s="227"/>
      <c r="G91" s="228"/>
      <c r="H91" s="228"/>
      <c r="I91" s="228"/>
      <c r="J91" s="229"/>
      <c r="K91" s="240"/>
      <c r="L91" s="240"/>
      <c r="M91" s="219"/>
    </row>
    <row r="92" spans="4:13" ht="15" x14ac:dyDescent="0.25">
      <c r="D92" s="226"/>
      <c r="E92" s="226"/>
      <c r="F92" s="227"/>
      <c r="G92" s="228"/>
      <c r="H92" s="228"/>
      <c r="I92" s="228"/>
      <c r="J92" s="229"/>
      <c r="K92" s="240"/>
      <c r="L92" s="240"/>
      <c r="M92" s="219"/>
    </row>
    <row r="93" spans="4:13" ht="15" x14ac:dyDescent="0.25">
      <c r="D93" s="226"/>
      <c r="E93" s="226"/>
      <c r="F93" s="227"/>
      <c r="G93" s="228"/>
      <c r="H93" s="228"/>
      <c r="I93" s="228"/>
      <c r="J93" s="229"/>
      <c r="K93" s="240"/>
      <c r="L93" s="240"/>
      <c r="M93" s="219"/>
    </row>
    <row r="94" spans="4:13" ht="15" x14ac:dyDescent="0.25">
      <c r="D94" s="226"/>
      <c r="E94" s="226"/>
      <c r="F94" s="227"/>
      <c r="G94" s="228"/>
      <c r="H94" s="228"/>
      <c r="I94" s="228"/>
      <c r="J94" s="229"/>
      <c r="K94" s="240"/>
      <c r="L94" s="240"/>
      <c r="M94" s="219"/>
    </row>
    <row r="95" spans="4:13" ht="15" x14ac:dyDescent="0.25">
      <c r="D95" s="226"/>
      <c r="E95" s="226"/>
      <c r="F95" s="227"/>
      <c r="G95" s="228"/>
      <c r="H95" s="228"/>
      <c r="I95" s="228"/>
      <c r="J95" s="229"/>
      <c r="K95" s="240"/>
      <c r="L95" s="240"/>
      <c r="M95" s="219"/>
    </row>
    <row r="96" spans="4:13" ht="15" x14ac:dyDescent="0.25">
      <c r="D96" s="226"/>
      <c r="E96" s="226"/>
      <c r="F96" s="227"/>
      <c r="G96" s="228"/>
      <c r="H96" s="228"/>
      <c r="I96" s="228"/>
      <c r="J96" s="229"/>
      <c r="K96" s="240"/>
      <c r="L96" s="240"/>
      <c r="M96" s="219"/>
    </row>
    <row r="97" spans="4:13" ht="15" x14ac:dyDescent="0.25">
      <c r="D97" s="226"/>
      <c r="E97" s="226"/>
      <c r="F97" s="227"/>
      <c r="G97" s="228"/>
      <c r="H97" s="228"/>
      <c r="I97" s="228"/>
      <c r="J97" s="229"/>
      <c r="K97" s="240"/>
      <c r="L97" s="240"/>
      <c r="M97" s="219"/>
    </row>
    <row r="98" spans="4:13" ht="15" x14ac:dyDescent="0.25">
      <c r="D98" s="226"/>
      <c r="E98" s="226"/>
      <c r="F98" s="227"/>
      <c r="G98" s="228"/>
      <c r="H98" s="228"/>
      <c r="I98" s="228"/>
      <c r="J98" s="229"/>
      <c r="K98" s="240"/>
      <c r="L98" s="240"/>
      <c r="M98" s="219"/>
    </row>
    <row r="99" spans="4:13" ht="15" x14ac:dyDescent="0.25">
      <c r="D99" s="226"/>
      <c r="E99" s="226"/>
      <c r="F99" s="227"/>
      <c r="G99" s="228"/>
      <c r="H99" s="228"/>
      <c r="I99" s="228"/>
      <c r="J99" s="229"/>
      <c r="K99" s="240"/>
      <c r="L99" s="240"/>
      <c r="M99" s="219"/>
    </row>
    <row r="100" spans="4:13" ht="15" x14ac:dyDescent="0.25">
      <c r="D100" s="226"/>
      <c r="E100" s="226"/>
      <c r="F100" s="227"/>
      <c r="G100" s="228"/>
      <c r="H100" s="228"/>
      <c r="I100" s="228"/>
      <c r="J100" s="229"/>
      <c r="K100" s="240"/>
      <c r="L100" s="240"/>
      <c r="M100" s="219"/>
    </row>
    <row r="101" spans="4:13" ht="15" x14ac:dyDescent="0.25">
      <c r="D101" s="226"/>
      <c r="E101" s="226"/>
      <c r="F101" s="227"/>
      <c r="G101" s="228"/>
      <c r="H101" s="228"/>
      <c r="I101" s="228"/>
      <c r="J101" s="229"/>
      <c r="K101" s="240"/>
      <c r="L101" s="240"/>
      <c r="M101" s="219"/>
    </row>
    <row r="102" spans="4:13" ht="15" x14ac:dyDescent="0.25">
      <c r="D102" s="226"/>
      <c r="E102" s="226"/>
      <c r="F102" s="227"/>
      <c r="G102" s="228"/>
      <c r="H102" s="228"/>
      <c r="I102" s="228"/>
      <c r="J102" s="229"/>
      <c r="K102" s="240"/>
      <c r="L102" s="240"/>
      <c r="M102" s="219"/>
    </row>
    <row r="103" spans="4:13" ht="15" x14ac:dyDescent="0.25">
      <c r="D103" s="226"/>
      <c r="E103" s="226"/>
      <c r="F103" s="227"/>
      <c r="G103" s="228"/>
      <c r="H103" s="228"/>
      <c r="I103" s="228"/>
      <c r="J103" s="229"/>
      <c r="K103" s="240"/>
      <c r="L103" s="240"/>
      <c r="M103" s="219"/>
    </row>
    <row r="104" spans="4:13" ht="15" x14ac:dyDescent="0.25">
      <c r="D104" s="226"/>
      <c r="E104" s="226"/>
      <c r="F104" s="227"/>
      <c r="G104" s="228"/>
      <c r="H104" s="228"/>
      <c r="I104" s="228"/>
      <c r="J104" s="229"/>
      <c r="K104" s="240"/>
      <c r="L104" s="240"/>
      <c r="M104" s="219"/>
    </row>
    <row r="105" spans="4:13" ht="15" x14ac:dyDescent="0.25">
      <c r="D105" s="226"/>
      <c r="E105" s="226"/>
      <c r="F105" s="227"/>
      <c r="G105" s="228"/>
      <c r="H105" s="228"/>
      <c r="I105" s="228"/>
      <c r="J105" s="229"/>
      <c r="K105" s="240"/>
      <c r="L105" s="240"/>
      <c r="M105" s="219"/>
    </row>
    <row r="106" spans="4:13" ht="15" x14ac:dyDescent="0.25">
      <c r="D106" s="226"/>
      <c r="E106" s="226"/>
      <c r="F106" s="227"/>
      <c r="G106" s="228"/>
      <c r="H106" s="228"/>
      <c r="I106" s="228"/>
      <c r="J106" s="229"/>
      <c r="K106" s="240"/>
      <c r="L106" s="240"/>
      <c r="M106" s="219"/>
    </row>
    <row r="107" spans="4:13" ht="15" x14ac:dyDescent="0.25">
      <c r="D107" s="226"/>
      <c r="E107" s="226"/>
      <c r="F107" s="227"/>
      <c r="G107" s="228"/>
      <c r="H107" s="228"/>
      <c r="I107" s="228"/>
      <c r="J107" s="229"/>
      <c r="K107" s="240"/>
      <c r="L107" s="240"/>
      <c r="M107" s="219"/>
    </row>
    <row r="108" spans="4:13" ht="15" x14ac:dyDescent="0.25">
      <c r="D108" s="226"/>
      <c r="E108" s="226"/>
      <c r="F108" s="227"/>
      <c r="G108" s="228"/>
      <c r="H108" s="228"/>
      <c r="I108" s="228"/>
      <c r="J108" s="229"/>
      <c r="K108" s="240"/>
      <c r="L108" s="240"/>
      <c r="M108" s="219"/>
    </row>
    <row r="109" spans="4:13" ht="15" x14ac:dyDescent="0.25">
      <c r="D109" s="226"/>
      <c r="E109" s="226"/>
      <c r="F109" s="227"/>
      <c r="G109" s="228"/>
      <c r="H109" s="228"/>
      <c r="I109" s="228"/>
      <c r="J109" s="229"/>
      <c r="K109" s="240"/>
      <c r="L109" s="240"/>
      <c r="M109" s="219"/>
    </row>
    <row r="110" spans="4:13" ht="15" x14ac:dyDescent="0.25">
      <c r="D110" s="226"/>
      <c r="E110" s="226"/>
      <c r="F110" s="227"/>
      <c r="G110" s="228"/>
      <c r="H110" s="228"/>
      <c r="I110" s="228"/>
      <c r="J110" s="229"/>
      <c r="K110" s="240"/>
      <c r="L110" s="240"/>
      <c r="M110" s="219"/>
    </row>
    <row r="111" spans="4:13" ht="15" x14ac:dyDescent="0.25">
      <c r="D111" s="226"/>
      <c r="E111" s="226"/>
      <c r="F111" s="227"/>
      <c r="G111" s="228"/>
      <c r="H111" s="228"/>
      <c r="I111" s="228"/>
      <c r="J111" s="229"/>
      <c r="K111" s="240"/>
      <c r="L111" s="240"/>
      <c r="M111" s="219"/>
    </row>
    <row r="112" spans="4:13" ht="15" x14ac:dyDescent="0.25">
      <c r="D112" s="226"/>
      <c r="E112" s="226"/>
      <c r="F112" s="227"/>
      <c r="G112" s="228"/>
      <c r="H112" s="228"/>
      <c r="I112" s="228"/>
      <c r="J112" s="229"/>
      <c r="K112" s="240"/>
      <c r="L112" s="240"/>
      <c r="M112" s="219"/>
    </row>
    <row r="113" spans="4:13" ht="15" x14ac:dyDescent="0.25">
      <c r="D113" s="226"/>
      <c r="E113" s="226"/>
      <c r="F113" s="227"/>
      <c r="G113" s="228"/>
      <c r="H113" s="228"/>
      <c r="I113" s="228"/>
      <c r="J113" s="229"/>
      <c r="K113" s="240"/>
      <c r="L113" s="240"/>
      <c r="M113" s="219"/>
    </row>
    <row r="114" spans="4:13" ht="15" x14ac:dyDescent="0.25">
      <c r="D114" s="226"/>
      <c r="E114" s="226"/>
      <c r="F114" s="227"/>
      <c r="G114" s="228"/>
      <c r="H114" s="228"/>
      <c r="I114" s="228"/>
      <c r="J114" s="229"/>
      <c r="K114" s="240"/>
      <c r="L114" s="240"/>
      <c r="M114" s="219"/>
    </row>
    <row r="115" spans="4:13" ht="15" x14ac:dyDescent="0.25">
      <c r="D115" s="226"/>
      <c r="E115" s="226"/>
      <c r="F115" s="227"/>
      <c r="G115" s="228"/>
      <c r="H115" s="228"/>
      <c r="I115" s="228"/>
      <c r="J115" s="229"/>
      <c r="K115" s="240"/>
      <c r="L115" s="240"/>
      <c r="M115" s="219"/>
    </row>
    <row r="116" spans="4:13" ht="15" x14ac:dyDescent="0.25">
      <c r="D116" s="226"/>
      <c r="E116" s="226"/>
      <c r="F116" s="227"/>
      <c r="G116" s="228"/>
      <c r="H116" s="228"/>
      <c r="I116" s="228"/>
      <c r="J116" s="229"/>
      <c r="K116" s="240"/>
      <c r="L116" s="240"/>
      <c r="M116" s="219"/>
    </row>
    <row r="117" spans="4:13" ht="15" x14ac:dyDescent="0.25">
      <c r="D117" s="226"/>
      <c r="E117" s="226"/>
      <c r="F117" s="227"/>
      <c r="G117" s="228"/>
      <c r="H117" s="228"/>
      <c r="I117" s="228"/>
      <c r="J117" s="229"/>
      <c r="K117" s="240"/>
      <c r="L117" s="240"/>
      <c r="M117" s="219"/>
    </row>
    <row r="118" spans="4:13" ht="15" x14ac:dyDescent="0.25">
      <c r="D118" s="226"/>
      <c r="E118" s="226"/>
      <c r="F118" s="227"/>
      <c r="G118" s="228"/>
      <c r="H118" s="228"/>
      <c r="I118" s="228"/>
      <c r="J118" s="229"/>
      <c r="K118" s="240"/>
      <c r="L118" s="240"/>
      <c r="M118" s="219"/>
    </row>
    <row r="119" spans="4:13" ht="15" x14ac:dyDescent="0.25">
      <c r="D119" s="226"/>
      <c r="E119" s="226"/>
      <c r="F119" s="227"/>
      <c r="G119" s="228"/>
      <c r="H119" s="228"/>
      <c r="I119" s="228"/>
      <c r="J119" s="229"/>
      <c r="K119" s="240"/>
      <c r="L119" s="240"/>
      <c r="M119" s="219"/>
    </row>
    <row r="120" spans="4:13" ht="15" x14ac:dyDescent="0.25">
      <c r="D120" s="226"/>
      <c r="E120" s="226"/>
      <c r="F120" s="227"/>
      <c r="G120" s="228"/>
      <c r="H120" s="228"/>
      <c r="I120" s="228"/>
      <c r="J120" s="229"/>
      <c r="K120" s="240"/>
      <c r="L120" s="240"/>
      <c r="M120" s="219"/>
    </row>
    <row r="121" spans="4:13" ht="15" x14ac:dyDescent="0.25">
      <c r="D121" s="226"/>
      <c r="E121" s="226"/>
      <c r="F121" s="227"/>
      <c r="G121" s="228"/>
      <c r="H121" s="228"/>
      <c r="I121" s="228"/>
      <c r="J121" s="229"/>
      <c r="K121" s="240"/>
      <c r="L121" s="240"/>
      <c r="M121" s="219"/>
    </row>
    <row r="122" spans="4:13" ht="15" x14ac:dyDescent="0.25">
      <c r="D122" s="226"/>
      <c r="E122" s="226"/>
      <c r="F122" s="227"/>
      <c r="G122" s="228"/>
      <c r="H122" s="228"/>
      <c r="I122" s="228"/>
      <c r="J122" s="229"/>
      <c r="K122" s="240"/>
      <c r="L122" s="240"/>
      <c r="M122" s="219"/>
    </row>
    <row r="123" spans="4:13" ht="15" x14ac:dyDescent="0.25">
      <c r="D123" s="226"/>
      <c r="E123" s="226"/>
      <c r="F123" s="227"/>
      <c r="G123" s="228"/>
      <c r="H123" s="228"/>
      <c r="I123" s="228"/>
      <c r="J123" s="229"/>
      <c r="K123" s="240"/>
      <c r="L123" s="240"/>
      <c r="M123" s="219"/>
    </row>
    <row r="124" spans="4:13" ht="15" x14ac:dyDescent="0.25">
      <c r="D124" s="226"/>
      <c r="E124" s="226"/>
      <c r="F124" s="227"/>
      <c r="G124" s="228"/>
      <c r="H124" s="228"/>
      <c r="I124" s="228"/>
      <c r="J124" s="229"/>
      <c r="K124" s="240"/>
      <c r="L124" s="240"/>
      <c r="M124" s="219"/>
    </row>
    <row r="125" spans="4:13" ht="15" x14ac:dyDescent="0.25">
      <c r="D125" s="226"/>
      <c r="E125" s="226"/>
      <c r="F125" s="227"/>
      <c r="G125" s="228"/>
      <c r="H125" s="228"/>
      <c r="I125" s="228"/>
      <c r="J125" s="229"/>
      <c r="K125" s="240"/>
      <c r="L125" s="240"/>
      <c r="M125" s="219"/>
    </row>
    <row r="126" spans="4:13" ht="15" x14ac:dyDescent="0.25">
      <c r="D126" s="226"/>
      <c r="E126" s="226"/>
      <c r="F126" s="227"/>
      <c r="G126" s="228"/>
      <c r="H126" s="228"/>
      <c r="I126" s="228"/>
      <c r="J126" s="229"/>
      <c r="K126" s="240"/>
      <c r="L126" s="240"/>
      <c r="M126" s="219"/>
    </row>
    <row r="127" spans="4:13" ht="15" x14ac:dyDescent="0.25">
      <c r="D127" s="226"/>
      <c r="E127" s="226"/>
      <c r="F127" s="227"/>
      <c r="G127" s="228"/>
      <c r="H127" s="228"/>
      <c r="I127" s="228"/>
      <c r="J127" s="229"/>
      <c r="K127" s="240"/>
      <c r="L127" s="240"/>
      <c r="M127" s="219"/>
    </row>
    <row r="128" spans="4:13" ht="15" x14ac:dyDescent="0.25">
      <c r="D128" s="226"/>
      <c r="E128" s="226"/>
      <c r="F128" s="227"/>
      <c r="G128" s="228"/>
      <c r="H128" s="228"/>
      <c r="I128" s="228"/>
      <c r="J128" s="229"/>
      <c r="K128" s="240"/>
      <c r="L128" s="240"/>
      <c r="M128" s="219"/>
    </row>
    <row r="129" spans="4:13" ht="15" x14ac:dyDescent="0.25">
      <c r="D129" s="226"/>
      <c r="E129" s="226"/>
      <c r="F129" s="227"/>
      <c r="G129" s="228"/>
      <c r="H129" s="228"/>
      <c r="I129" s="228"/>
      <c r="J129" s="229"/>
      <c r="K129" s="240"/>
      <c r="L129" s="240"/>
      <c r="M129" s="219"/>
    </row>
    <row r="130" spans="4:13" ht="15" x14ac:dyDescent="0.25">
      <c r="D130" s="226"/>
      <c r="E130" s="226"/>
      <c r="F130" s="227"/>
      <c r="G130" s="228"/>
      <c r="H130" s="228"/>
      <c r="I130" s="228"/>
      <c r="J130" s="229"/>
      <c r="K130" s="240"/>
      <c r="L130" s="240"/>
      <c r="M130" s="219"/>
    </row>
    <row r="131" spans="4:13" ht="15" x14ac:dyDescent="0.25">
      <c r="D131" s="226"/>
      <c r="E131" s="226"/>
      <c r="F131" s="227"/>
      <c r="G131" s="228"/>
      <c r="H131" s="228"/>
      <c r="I131" s="228"/>
      <c r="J131" s="229"/>
      <c r="K131" s="240"/>
      <c r="L131" s="240"/>
      <c r="M131" s="219"/>
    </row>
    <row r="132" spans="4:13" ht="15" x14ac:dyDescent="0.25">
      <c r="D132" s="226"/>
      <c r="E132" s="226"/>
      <c r="F132" s="227"/>
      <c r="G132" s="228"/>
      <c r="H132" s="228"/>
      <c r="I132" s="228"/>
      <c r="J132" s="229"/>
      <c r="K132" s="240"/>
      <c r="L132" s="240"/>
      <c r="M132" s="219"/>
    </row>
    <row r="133" spans="4:13" ht="15" x14ac:dyDescent="0.25">
      <c r="D133" s="226"/>
      <c r="E133" s="226"/>
      <c r="F133" s="227"/>
      <c r="G133" s="228"/>
      <c r="H133" s="228"/>
      <c r="I133" s="228"/>
      <c r="J133" s="229"/>
      <c r="K133" s="240"/>
      <c r="L133" s="240"/>
      <c r="M133" s="219"/>
    </row>
    <row r="134" spans="4:13" ht="15" x14ac:dyDescent="0.25">
      <c r="D134" s="226"/>
      <c r="E134" s="226"/>
      <c r="F134" s="227"/>
      <c r="G134" s="228"/>
      <c r="H134" s="228"/>
      <c r="I134" s="228"/>
      <c r="J134" s="229"/>
      <c r="K134" s="240"/>
      <c r="L134" s="240"/>
      <c r="M134" s="219"/>
    </row>
    <row r="135" spans="4:13" ht="15" x14ac:dyDescent="0.25">
      <c r="D135" s="226"/>
      <c r="E135" s="226"/>
      <c r="F135" s="227"/>
      <c r="G135" s="228"/>
      <c r="H135" s="228"/>
      <c r="I135" s="228"/>
      <c r="J135" s="229"/>
      <c r="K135" s="240"/>
      <c r="L135" s="240"/>
      <c r="M135" s="219"/>
    </row>
    <row r="136" spans="4:13" ht="15" x14ac:dyDescent="0.25">
      <c r="D136" s="226"/>
      <c r="E136" s="226"/>
      <c r="F136" s="227"/>
      <c r="G136" s="228"/>
      <c r="H136" s="228"/>
      <c r="I136" s="228"/>
      <c r="J136" s="229"/>
      <c r="K136" s="240"/>
      <c r="L136" s="240"/>
      <c r="M136" s="219"/>
    </row>
    <row r="137" spans="4:13" ht="15" x14ac:dyDescent="0.25">
      <c r="D137" s="226"/>
      <c r="E137" s="226"/>
      <c r="F137" s="227"/>
      <c r="G137" s="228"/>
      <c r="H137" s="228"/>
      <c r="I137" s="228"/>
      <c r="J137" s="229"/>
      <c r="K137" s="240"/>
      <c r="L137" s="240"/>
      <c r="M137" s="219"/>
    </row>
    <row r="138" spans="4:13" ht="15" x14ac:dyDescent="0.25">
      <c r="D138" s="226"/>
      <c r="E138" s="226"/>
      <c r="F138" s="227"/>
      <c r="G138" s="228"/>
      <c r="H138" s="228"/>
      <c r="I138" s="228"/>
      <c r="J138" s="229"/>
      <c r="K138" s="240"/>
      <c r="L138" s="240"/>
      <c r="M138" s="219"/>
    </row>
    <row r="139" spans="4:13" ht="15" x14ac:dyDescent="0.25">
      <c r="D139" s="226"/>
      <c r="E139" s="226"/>
      <c r="F139" s="227"/>
      <c r="G139" s="228"/>
      <c r="H139" s="228"/>
      <c r="I139" s="228"/>
      <c r="J139" s="229"/>
      <c r="K139" s="240"/>
      <c r="L139" s="240"/>
      <c r="M139" s="219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151" priority="1"/>
    <cfRule type="duplicateValues" dxfId="150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48" customWidth="1"/>
    <col min="2" max="4" width="9.140625" style="48" customWidth="1"/>
    <col min="5" max="5" width="14" style="48" customWidth="1"/>
    <col min="6" max="6" width="14.140625" style="48" customWidth="1"/>
    <col min="7" max="7" width="17.42578125" style="48" customWidth="1"/>
    <col min="8" max="8" width="10.7109375" style="48" bestFit="1" customWidth="1"/>
    <col min="9" max="9" width="16.85546875" style="48" bestFit="1" customWidth="1"/>
    <col min="10" max="12" width="9.140625" style="48" customWidth="1"/>
    <col min="13" max="13" width="11.7109375" style="48" customWidth="1"/>
    <col min="14" max="21" width="9.140625" style="48"/>
    <col min="22" max="22" width="0" style="48" hidden="1" customWidth="1"/>
    <col min="23" max="27" width="9.140625" style="48"/>
    <col min="28" max="31" width="0" style="48" hidden="1" customWidth="1"/>
    <col min="32" max="16384" width="9.140625" style="48"/>
  </cols>
  <sheetData>
    <row r="1" spans="1:46" s="10" customFormat="1" x14ac:dyDescent="0.2">
      <c r="J1" s="33"/>
      <c r="K1" s="33"/>
      <c r="L1" s="33"/>
      <c r="M1" s="33"/>
      <c r="N1" s="33"/>
      <c r="O1" s="33"/>
      <c r="P1" s="33"/>
      <c r="Q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</row>
    <row r="2" spans="1:46" s="10" customFormat="1" ht="25.5" customHeight="1" x14ac:dyDescent="0.25">
      <c r="A2" s="37"/>
      <c r="B2" s="37"/>
      <c r="C2" s="37"/>
      <c r="D2" s="37"/>
      <c r="E2" s="625"/>
      <c r="F2" s="625"/>
      <c r="G2" s="625"/>
      <c r="H2" s="625"/>
      <c r="I2" s="625"/>
      <c r="J2" s="33"/>
      <c r="K2" s="33"/>
      <c r="L2" s="33"/>
      <c r="M2" s="33"/>
      <c r="N2" s="626"/>
      <c r="O2" s="626"/>
      <c r="P2" s="626"/>
      <c r="Q2" s="626"/>
      <c r="R2" s="626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46" s="10" customFormat="1" ht="17.25" customHeight="1" x14ac:dyDescent="0.25">
      <c r="A3" s="37"/>
      <c r="B3" s="37"/>
      <c r="C3" s="37"/>
      <c r="D3" s="37"/>
      <c r="E3" s="627"/>
      <c r="F3" s="627"/>
      <c r="G3" s="627"/>
      <c r="H3" s="627"/>
      <c r="I3" s="627"/>
      <c r="J3" s="33"/>
      <c r="K3" s="33"/>
      <c r="L3" s="33"/>
      <c r="M3" s="33"/>
      <c r="N3" s="626"/>
      <c r="O3" s="626"/>
      <c r="P3" s="49"/>
      <c r="Q3" s="50"/>
      <c r="R3" s="95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</row>
    <row r="4" spans="1:46" s="10" customFormat="1" ht="37.5" customHeight="1" x14ac:dyDescent="0.25">
      <c r="A4" s="37"/>
      <c r="B4" s="37"/>
      <c r="C4" s="37"/>
      <c r="D4" s="37"/>
      <c r="E4" s="628"/>
      <c r="F4" s="628"/>
      <c r="G4" s="628"/>
      <c r="H4" s="628"/>
      <c r="I4" s="628"/>
      <c r="J4" s="33"/>
      <c r="K4" s="33"/>
      <c r="L4" s="33"/>
      <c r="M4" s="33"/>
      <c r="N4" s="51"/>
      <c r="O4" s="49"/>
      <c r="P4" s="49"/>
      <c r="Q4" s="50"/>
      <c r="R4" s="49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</row>
    <row r="5" spans="1:46" s="10" customFormat="1" ht="9" customHeight="1" x14ac:dyDescent="0.25">
      <c r="A5" s="37"/>
      <c r="B5" s="37"/>
      <c r="C5" s="37"/>
      <c r="D5" s="37"/>
      <c r="E5" s="37"/>
      <c r="F5" s="96"/>
      <c r="G5" s="96"/>
      <c r="H5" s="96"/>
      <c r="I5" s="96"/>
      <c r="J5" s="33"/>
      <c r="K5" s="33"/>
      <c r="L5" s="33"/>
      <c r="M5" s="33"/>
      <c r="N5" s="51"/>
      <c r="O5" s="49"/>
      <c r="P5" s="49"/>
      <c r="Q5" s="50"/>
      <c r="R5" s="49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</row>
    <row r="6" spans="1:46" s="10" customFormat="1" ht="9" customHeight="1" x14ac:dyDescent="0.25">
      <c r="A6" s="37"/>
      <c r="B6" s="37"/>
      <c r="C6" s="37"/>
      <c r="D6" s="37"/>
      <c r="E6" s="37"/>
      <c r="F6" s="96"/>
      <c r="G6" s="96"/>
      <c r="H6" s="96"/>
      <c r="I6" s="96"/>
      <c r="J6" s="33"/>
      <c r="K6" s="33"/>
      <c r="L6" s="33"/>
      <c r="M6" s="33"/>
      <c r="N6" s="51"/>
      <c r="O6" s="49"/>
      <c r="P6" s="49"/>
      <c r="Q6" s="50"/>
      <c r="R6" s="49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spans="1:46" s="10" customFormat="1" x14ac:dyDescent="0.2">
      <c r="A7" s="33"/>
      <c r="B7" s="33"/>
      <c r="C7" s="33"/>
      <c r="D7" s="33"/>
      <c r="E7" s="33"/>
      <c r="F7" s="33"/>
      <c r="G7" s="33"/>
      <c r="H7" s="33"/>
      <c r="I7" s="33"/>
    </row>
    <row r="8" spans="1:46" s="10" customFormat="1" x14ac:dyDescent="0.2">
      <c r="A8" s="33"/>
      <c r="B8" s="52"/>
      <c r="C8" s="33"/>
      <c r="D8" s="33"/>
      <c r="E8" s="33"/>
      <c r="F8" s="33"/>
      <c r="G8" s="33"/>
      <c r="H8" s="33"/>
      <c r="I8" s="33"/>
    </row>
    <row r="9" spans="1:46" s="10" customFormat="1" ht="15.75" x14ac:dyDescent="0.25">
      <c r="A9" s="33"/>
      <c r="B9" s="668" t="s">
        <v>62</v>
      </c>
      <c r="C9" s="668"/>
      <c r="D9" s="668"/>
      <c r="E9" s="668"/>
      <c r="F9" s="668"/>
      <c r="G9" s="668"/>
      <c r="H9" s="668"/>
      <c r="I9" s="668"/>
    </row>
    <row r="10" spans="1:46" s="10" customFormat="1" ht="12.75" customHeight="1" x14ac:dyDescent="0.2">
      <c r="A10" s="669" t="s">
        <v>63</v>
      </c>
      <c r="B10" s="669"/>
      <c r="C10" s="365"/>
      <c r="D10" s="669" t="s">
        <v>64</v>
      </c>
      <c r="E10" s="669"/>
      <c r="F10" s="364" t="s">
        <v>65</v>
      </c>
      <c r="G10" s="400" t="s">
        <v>66</v>
      </c>
      <c r="H10" s="364" t="s">
        <v>67</v>
      </c>
      <c r="I10" s="364" t="s">
        <v>68</v>
      </c>
    </row>
    <row r="11" spans="1:46" s="10" customFormat="1" ht="12.75" customHeight="1" x14ac:dyDescent="0.2">
      <c r="A11" s="402" t="str">
        <f>'BASE C'!B3</f>
        <v>2025/0012259</v>
      </c>
      <c r="B11" s="401"/>
      <c r="C11" s="129"/>
      <c r="D11" s="670"/>
      <c r="E11" s="670"/>
      <c r="F11" s="130">
        <f>'EMPRESA C'!G16</f>
        <v>0</v>
      </c>
      <c r="G11" s="130" t="e">
        <f>'EMPRESA C'!H16+'EMPRESA C'!I16+'EMPRESA C'!J16+'EMPRESA C'!K16+'EMPRESA C'!L16+'EMPRESA C'!M16</f>
        <v>#REF!</v>
      </c>
      <c r="H11" s="131" t="str">
        <f>'BASE C'!E4</f>
        <v>ABRIL</v>
      </c>
      <c r="I11" s="132" t="str">
        <f>'BASE C'!D2</f>
        <v>GUAIANASES</v>
      </c>
    </row>
    <row r="12" spans="1:46" s="10" customFormat="1" ht="12.75" customHeight="1" x14ac:dyDescent="0.2">
      <c r="A12" s="671" t="s">
        <v>69</v>
      </c>
      <c r="B12" s="671"/>
      <c r="C12" s="671"/>
      <c r="D12" s="671"/>
      <c r="E12" s="671"/>
      <c r="F12" s="672" t="s">
        <v>70</v>
      </c>
      <c r="G12" s="672"/>
      <c r="H12" s="672" t="s">
        <v>6</v>
      </c>
      <c r="I12" s="672"/>
    </row>
    <row r="13" spans="1:46" s="10" customFormat="1" ht="12.75" customHeight="1" x14ac:dyDescent="0.2">
      <c r="A13" s="673" t="str">
        <f>'BASE C'!D4</f>
        <v>RENATO CROZARA DA SILVA</v>
      </c>
      <c r="B13" s="674"/>
      <c r="C13" s="674"/>
      <c r="D13" s="674"/>
      <c r="E13" s="675"/>
      <c r="F13" s="682" t="str">
        <f>VLOOKUP(A11,ProcRel1!E2:G5000,3,FALSE)</f>
        <v>444.008.978-00</v>
      </c>
      <c r="G13" s="682"/>
      <c r="H13" s="318" t="str">
        <f>'BASE C'!B4</f>
        <v>01/04/2026</v>
      </c>
      <c r="I13" s="318" t="str">
        <f>'BASE C'!C4</f>
        <v>30/04/2026</v>
      </c>
    </row>
    <row r="14" spans="1:46" s="10" customFormat="1" ht="12.75" customHeight="1" x14ac:dyDescent="0.2">
      <c r="A14" s="676"/>
      <c r="B14" s="677"/>
      <c r="C14" s="677"/>
      <c r="D14" s="677"/>
      <c r="E14" s="678"/>
      <c r="F14" s="672" t="s">
        <v>71</v>
      </c>
      <c r="G14" s="672"/>
      <c r="H14" s="672" t="s">
        <v>72</v>
      </c>
      <c r="I14" s="672"/>
    </row>
    <row r="15" spans="1:46" s="10" customFormat="1" ht="12.75" customHeight="1" x14ac:dyDescent="0.2">
      <c r="A15" s="679"/>
      <c r="B15" s="680"/>
      <c r="C15" s="680"/>
      <c r="D15" s="680"/>
      <c r="E15" s="681"/>
      <c r="F15" s="683" t="str">
        <f>VLOOKUP(A11,'APONTAMENTO CREDENCIAMENTO'!D1:T4082,12,FALSE)</f>
        <v>6020.2025/0012259-2</v>
      </c>
      <c r="G15" s="683"/>
      <c r="H15" s="684">
        <f>'VALORES TABELA'!B37</f>
        <v>46171</v>
      </c>
      <c r="I15" s="684"/>
    </row>
    <row r="16" spans="1:46" s="10" customFormat="1" ht="9.9499999999999993" customHeight="1" x14ac:dyDescent="0.2">
      <c r="A16" s="133"/>
      <c r="B16" s="133"/>
      <c r="C16" s="133"/>
      <c r="D16" s="133"/>
      <c r="E16" s="133"/>
      <c r="F16" s="133"/>
      <c r="G16" s="133"/>
      <c r="H16" s="133"/>
      <c r="I16" s="133"/>
    </row>
    <row r="17" spans="1:13" s="10" customFormat="1" ht="9.9499999999999993" customHeight="1" x14ac:dyDescent="0.2">
      <c r="A17" s="64"/>
      <c r="B17" s="65" t="s">
        <v>73</v>
      </c>
      <c r="C17" s="65"/>
      <c r="D17" s="65"/>
      <c r="E17" s="65"/>
      <c r="F17" s="65"/>
      <c r="G17" s="65"/>
      <c r="H17" s="65"/>
      <c r="I17" s="65"/>
    </row>
    <row r="18" spans="1:13" s="10" customFormat="1" ht="9.9499999999999993" customHeight="1" x14ac:dyDescent="0.2">
      <c r="A18" s="64"/>
      <c r="B18" s="64"/>
      <c r="C18" s="64"/>
      <c r="D18" s="64"/>
      <c r="E18" s="64"/>
      <c r="F18" s="64"/>
      <c r="G18" s="64"/>
      <c r="H18" s="64"/>
      <c r="I18" s="64"/>
    </row>
    <row r="19" spans="1:13" s="10" customFormat="1" ht="15" customHeight="1" x14ac:dyDescent="0.2">
      <c r="A19" s="672" t="s">
        <v>74</v>
      </c>
      <c r="B19" s="672"/>
      <c r="C19" s="672"/>
      <c r="D19" s="672"/>
      <c r="E19" s="672"/>
      <c r="F19" s="672"/>
      <c r="G19" s="672"/>
      <c r="H19" s="672" t="s">
        <v>75</v>
      </c>
      <c r="I19" s="672"/>
    </row>
    <row r="20" spans="1:13" s="10" customFormat="1" ht="15" customHeight="1" x14ac:dyDescent="0.2">
      <c r="A20" s="403" t="s">
        <v>76</v>
      </c>
      <c r="B20" s="685" t="str">
        <f>'EMPRESA C'!N13</f>
        <v>Contratos Especiais (Valor fixo)</v>
      </c>
      <c r="C20" s="686"/>
      <c r="D20" s="686"/>
      <c r="E20" s="686"/>
      <c r="F20" s="686"/>
      <c r="G20" s="686"/>
      <c r="H20" s="687" t="e">
        <f>'EMPRESA C'!N16</f>
        <v>#REF!</v>
      </c>
      <c r="I20" s="687"/>
    </row>
    <row r="21" spans="1:13" s="10" customFormat="1" ht="15" customHeight="1" x14ac:dyDescent="0.2">
      <c r="A21" s="403" t="s">
        <v>77</v>
      </c>
      <c r="B21" s="685" t="e">
        <f>'EMPRESA C'!O13</f>
        <v>#REF!</v>
      </c>
      <c r="C21" s="686"/>
      <c r="D21" s="686"/>
      <c r="E21" s="686"/>
      <c r="F21" s="686"/>
      <c r="G21" s="686"/>
      <c r="H21" s="687" t="e">
        <f>'EMPRESA C'!O16</f>
        <v>#REF!</v>
      </c>
      <c r="I21" s="687"/>
    </row>
    <row r="22" spans="1:13" s="10" customFormat="1" ht="15" customHeight="1" x14ac:dyDescent="0.2">
      <c r="A22" s="403" t="s">
        <v>78</v>
      </c>
      <c r="B22" s="134" t="e">
        <f>'EMPRESA C'!P13</f>
        <v>#REF!</v>
      </c>
      <c r="C22" s="135"/>
      <c r="D22" s="135"/>
      <c r="E22" s="135"/>
      <c r="F22" s="136"/>
      <c r="G22" s="137"/>
      <c r="H22" s="688" t="e">
        <f>'EMPRESA C'!P16</f>
        <v>#REF!</v>
      </c>
      <c r="I22" s="689"/>
      <c r="K22" s="53"/>
    </row>
    <row r="23" spans="1:13" s="10" customFormat="1" ht="15" customHeight="1" x14ac:dyDescent="0.2">
      <c r="A23" s="404" t="s">
        <v>79</v>
      </c>
      <c r="B23" s="134" t="e">
        <f>'APONTAMENTO CREDENCIAMENTO'!#REF!</f>
        <v>#REF!</v>
      </c>
      <c r="C23" s="135"/>
      <c r="D23" s="135"/>
      <c r="E23" s="135"/>
      <c r="F23" s="136"/>
      <c r="G23" s="137"/>
      <c r="H23" s="688" t="e">
        <f>'EMPRESA C'!Q16</f>
        <v>#REF!</v>
      </c>
      <c r="I23" s="689"/>
      <c r="K23" s="53"/>
    </row>
    <row r="24" spans="1:13" s="10" customFormat="1" ht="15" customHeight="1" x14ac:dyDescent="0.2">
      <c r="A24" s="403" t="s">
        <v>80</v>
      </c>
      <c r="B24" s="134" t="e">
        <f>'EMPRESA C'!R13</f>
        <v>#REF!</v>
      </c>
      <c r="C24" s="135"/>
      <c r="D24" s="135"/>
      <c r="E24" s="135"/>
      <c r="F24" s="136"/>
      <c r="G24" s="137"/>
      <c r="H24" s="688" t="e">
        <f>'EMPRESA C'!R16</f>
        <v>#REF!</v>
      </c>
      <c r="I24" s="689"/>
      <c r="K24" s="53"/>
    </row>
    <row r="25" spans="1:13" s="10" customFormat="1" ht="15" customHeight="1" x14ac:dyDescent="0.2">
      <c r="A25" s="403" t="s">
        <v>81</v>
      </c>
      <c r="B25" s="138" t="s">
        <v>53</v>
      </c>
      <c r="C25" s="135"/>
      <c r="D25" s="135"/>
      <c r="E25" s="135"/>
      <c r="F25" s="136"/>
      <c r="G25" s="137"/>
      <c r="H25" s="688" t="e">
        <f>'EMPRESA C'!S16</f>
        <v>#REF!</v>
      </c>
      <c r="I25" s="689"/>
      <c r="K25" s="53"/>
    </row>
    <row r="26" spans="1:13" s="10" customFormat="1" ht="15" customHeight="1" x14ac:dyDescent="0.2">
      <c r="A26" s="403" t="s">
        <v>82</v>
      </c>
      <c r="B26" s="138" t="e">
        <f>'APONTAMENTO CREDENCIAMENTO'!#REF!</f>
        <v>#REF!</v>
      </c>
      <c r="C26" s="135"/>
      <c r="D26" s="135"/>
      <c r="E26" s="135"/>
      <c r="F26" s="136"/>
      <c r="G26" s="139"/>
      <c r="H26" s="687" t="e">
        <f>'EMPRESA C'!T16</f>
        <v>#REF!</v>
      </c>
      <c r="I26" s="687"/>
      <c r="K26" s="53"/>
    </row>
    <row r="27" spans="1:13" s="10" customFormat="1" ht="15" customHeight="1" x14ac:dyDescent="0.2">
      <c r="A27" s="404" t="s">
        <v>83</v>
      </c>
      <c r="B27" s="134" t="e">
        <f>'APONTAMENTO CREDENCIAMENTO'!#REF!</f>
        <v>#REF!</v>
      </c>
      <c r="C27" s="135"/>
      <c r="D27" s="135"/>
      <c r="E27" s="135"/>
      <c r="F27" s="136"/>
      <c r="G27" s="139"/>
      <c r="H27" s="687" t="e">
        <f>'EMPRESA C'!U16</f>
        <v>#REF!</v>
      </c>
      <c r="I27" s="687"/>
      <c r="K27" s="53"/>
    </row>
    <row r="28" spans="1:13" s="10" customFormat="1" ht="15" customHeight="1" x14ac:dyDescent="0.2">
      <c r="A28" s="403" t="s">
        <v>84</v>
      </c>
      <c r="B28" s="685" t="str">
        <f>'EMPRESA C'!V13</f>
        <v>Ajuste negativo</v>
      </c>
      <c r="C28" s="686"/>
      <c r="D28" s="686"/>
      <c r="E28" s="686"/>
      <c r="F28" s="686"/>
      <c r="G28" s="686"/>
      <c r="H28" s="687" t="e">
        <f>'EMPRESA C'!V16</f>
        <v>#REF!</v>
      </c>
      <c r="I28" s="687"/>
    </row>
    <row r="29" spans="1:13" s="10" customFormat="1" ht="15" customHeight="1" x14ac:dyDescent="0.2">
      <c r="A29" s="403" t="s">
        <v>85</v>
      </c>
      <c r="B29" s="134" t="str">
        <f>'EMPRESA C'!W13</f>
        <v>Desconto faltas</v>
      </c>
      <c r="C29" s="135"/>
      <c r="D29" s="135"/>
      <c r="E29" s="135"/>
      <c r="F29" s="136"/>
      <c r="G29" s="139"/>
      <c r="H29" s="688" t="e">
        <f>'EMPRESA C'!W16</f>
        <v>#REF!</v>
      </c>
      <c r="I29" s="689"/>
      <c r="K29" s="53"/>
    </row>
    <row r="30" spans="1:13" s="10" customFormat="1" ht="15" customHeight="1" x14ac:dyDescent="0.2">
      <c r="A30" s="403" t="s">
        <v>86</v>
      </c>
      <c r="B30" s="685" t="e">
        <f>'APONTAMENTO CREDENCIAMENTO'!#REF!</f>
        <v>#REF!</v>
      </c>
      <c r="C30" s="686"/>
      <c r="D30" s="686"/>
      <c r="E30" s="686"/>
      <c r="F30" s="686"/>
      <c r="G30" s="686"/>
      <c r="H30" s="687" t="e">
        <f>'EMPRESA C'!X16</f>
        <v>#REF!</v>
      </c>
      <c r="I30" s="687"/>
      <c r="M30" s="53"/>
    </row>
    <row r="31" spans="1:13" s="10" customFormat="1" ht="15" customHeight="1" x14ac:dyDescent="0.2">
      <c r="A31" s="403" t="s">
        <v>87</v>
      </c>
      <c r="B31" s="686" t="s">
        <v>88</v>
      </c>
      <c r="C31" s="686"/>
      <c r="D31" s="686"/>
      <c r="E31" s="686"/>
      <c r="F31" s="686"/>
      <c r="G31" s="686"/>
      <c r="H31" s="687" t="e">
        <f>'EMPRESA C'!Y16</f>
        <v>#REF!</v>
      </c>
      <c r="I31" s="687"/>
      <c r="M31" s="53"/>
    </row>
    <row r="32" spans="1:13" s="10" customFormat="1" ht="15" customHeight="1" x14ac:dyDescent="0.2">
      <c r="A32" s="403" t="s">
        <v>89</v>
      </c>
      <c r="B32" s="690" t="s">
        <v>90</v>
      </c>
      <c r="C32" s="690"/>
      <c r="D32" s="690"/>
      <c r="E32" s="690"/>
      <c r="F32" s="690"/>
      <c r="G32" s="690"/>
      <c r="H32" s="691" t="e">
        <f>'EMPRESA C'!Z16</f>
        <v>#REF!</v>
      </c>
      <c r="I32" s="691"/>
      <c r="L32" s="53"/>
    </row>
    <row r="33" spans="1:12" s="10" customFormat="1" ht="15" customHeight="1" x14ac:dyDescent="0.2">
      <c r="A33" s="403" t="s">
        <v>91</v>
      </c>
      <c r="B33" s="686" t="s">
        <v>92</v>
      </c>
      <c r="C33" s="686"/>
      <c r="D33" s="686"/>
      <c r="E33" s="686"/>
      <c r="F33" s="686"/>
      <c r="G33" s="686"/>
      <c r="H33" s="687" t="e">
        <f>'EMPRESA C'!AB16</f>
        <v>#REF!</v>
      </c>
      <c r="I33" s="687"/>
    </row>
    <row r="34" spans="1:12" s="10" customFormat="1" x14ac:dyDescent="0.2">
      <c r="A34" s="403" t="s">
        <v>93</v>
      </c>
      <c r="B34" s="705" t="s">
        <v>94</v>
      </c>
      <c r="C34" s="705"/>
      <c r="D34" s="705"/>
      <c r="E34" s="705"/>
      <c r="F34" s="705"/>
      <c r="G34" s="705"/>
      <c r="H34" s="706" t="e">
        <f>H32-H33</f>
        <v>#REF!</v>
      </c>
      <c r="I34" s="706"/>
    </row>
    <row r="35" spans="1:12" s="10" customFormat="1" x14ac:dyDescent="0.2">
      <c r="A35" s="696" t="s">
        <v>95</v>
      </c>
      <c r="B35" s="697" t="e">
        <f>VLOOKUP(A11,'APONTAMENTO CREDENCIAMENTO'!D1:T4082,138,FALSE)</f>
        <v>#REF!</v>
      </c>
      <c r="C35" s="697"/>
      <c r="D35" s="697"/>
      <c r="E35" s="697"/>
      <c r="F35" s="697"/>
      <c r="G35" s="697"/>
      <c r="H35" s="697"/>
      <c r="I35" s="697"/>
    </row>
    <row r="36" spans="1:12" s="10" customFormat="1" x14ac:dyDescent="0.2">
      <c r="A36" s="696"/>
      <c r="B36" s="697"/>
      <c r="C36" s="697"/>
      <c r="D36" s="697"/>
      <c r="E36" s="697"/>
      <c r="F36" s="697"/>
      <c r="G36" s="697"/>
      <c r="H36" s="697"/>
      <c r="I36" s="697"/>
    </row>
    <row r="37" spans="1:12" s="10" customFormat="1" ht="20.100000000000001" customHeight="1" x14ac:dyDescent="0.2">
      <c r="A37" s="696" t="s">
        <v>96</v>
      </c>
      <c r="B37" s="698" t="e">
        <f>VLOOKUP(A11,'APONTAMENTO CREDENCIAMENTO'!D1:T4082,139,FALSE)</f>
        <v>#REF!</v>
      </c>
      <c r="C37" s="699"/>
      <c r="D37" s="699"/>
      <c r="E37" s="699"/>
      <c r="F37" s="699"/>
      <c r="G37" s="699"/>
      <c r="H37" s="699"/>
      <c r="I37" s="700"/>
    </row>
    <row r="38" spans="1:12" s="10" customFormat="1" ht="20.100000000000001" customHeight="1" x14ac:dyDescent="0.2">
      <c r="A38" s="696"/>
      <c r="B38" s="701"/>
      <c r="C38" s="702"/>
      <c r="D38" s="702"/>
      <c r="E38" s="702"/>
      <c r="F38" s="702"/>
      <c r="G38" s="702"/>
      <c r="H38" s="702"/>
      <c r="I38" s="703"/>
    </row>
    <row r="39" spans="1:12" s="10" customFormat="1" ht="20.100000000000001" customHeight="1" x14ac:dyDescent="0.2">
      <c r="A39" s="33"/>
      <c r="B39" s="704" t="s">
        <v>97</v>
      </c>
      <c r="C39" s="704"/>
      <c r="D39" s="704"/>
      <c r="E39" s="704"/>
      <c r="F39" s="704"/>
      <c r="G39" s="704"/>
      <c r="H39" s="704"/>
      <c r="I39" s="704"/>
    </row>
    <row r="40" spans="1:12" s="10" customFormat="1" x14ac:dyDescent="0.2">
      <c r="A40" s="33"/>
      <c r="B40" s="704"/>
      <c r="C40" s="704"/>
      <c r="D40" s="704"/>
      <c r="E40" s="704"/>
      <c r="F40" s="704"/>
      <c r="G40" s="704"/>
      <c r="H40" s="704"/>
      <c r="I40" s="704"/>
    </row>
    <row r="41" spans="1:12" s="10" customFormat="1" ht="12.75" customHeight="1" x14ac:dyDescent="0.2">
      <c r="A41" s="33"/>
      <c r="B41" s="704"/>
      <c r="C41" s="704"/>
      <c r="D41" s="704"/>
      <c r="E41" s="704"/>
      <c r="F41" s="704"/>
      <c r="G41" s="704"/>
      <c r="H41" s="704"/>
      <c r="I41" s="704"/>
    </row>
    <row r="42" spans="1:12" s="10" customFormat="1" ht="20.100000000000001" customHeight="1" x14ac:dyDescent="0.2">
      <c r="A42" s="33"/>
      <c r="B42" s="66"/>
      <c r="C42" s="66"/>
      <c r="D42" s="66"/>
      <c r="E42" s="66"/>
      <c r="F42" s="66"/>
      <c r="G42" s="66"/>
      <c r="H42" s="66"/>
      <c r="I42" s="66"/>
      <c r="L42"/>
    </row>
    <row r="43" spans="1:12" s="10" customFormat="1" x14ac:dyDescent="0.2">
      <c r="A43" s="33"/>
      <c r="B43" s="588" t="s">
        <v>98</v>
      </c>
      <c r="C43" s="588"/>
      <c r="D43" s="588"/>
      <c r="E43" s="588"/>
      <c r="F43" s="588"/>
      <c r="G43" s="588"/>
      <c r="H43" s="588"/>
      <c r="I43" s="588"/>
    </row>
    <row r="44" spans="1:12" s="10" customFormat="1" ht="20.100000000000001" customHeight="1" x14ac:dyDescent="0.2">
      <c r="A44" s="33"/>
      <c r="B44" s="94"/>
      <c r="C44" s="94"/>
      <c r="D44" s="94"/>
      <c r="E44" s="94"/>
      <c r="F44" s="94"/>
      <c r="G44" s="94"/>
      <c r="H44" s="94"/>
      <c r="I44" s="94"/>
    </row>
    <row r="45" spans="1:12" ht="15" customHeight="1" x14ac:dyDescent="0.2">
      <c r="A45" s="692" t="s">
        <v>99</v>
      </c>
      <c r="B45" s="693"/>
      <c r="C45" s="693"/>
      <c r="D45" s="693"/>
      <c r="E45" s="694"/>
      <c r="F45" s="694"/>
      <c r="G45" s="694"/>
      <c r="H45" s="694"/>
      <c r="I45" s="695"/>
    </row>
    <row r="46" spans="1:12" ht="12.75" customHeight="1" x14ac:dyDescent="0.2">
      <c r="A46" s="593" t="s">
        <v>142</v>
      </c>
      <c r="B46" s="594"/>
      <c r="C46" s="594"/>
      <c r="D46" s="594"/>
      <c r="E46" s="594"/>
      <c r="F46" s="594"/>
      <c r="G46" s="594"/>
      <c r="H46" s="594"/>
      <c r="I46" s="595"/>
    </row>
    <row r="47" spans="1:12" ht="12.75" customHeight="1" x14ac:dyDescent="0.2">
      <c r="A47" s="200" t="s">
        <v>143</v>
      </c>
      <c r="B47" s="67"/>
      <c r="C47" s="67"/>
      <c r="D47" s="67"/>
      <c r="E47" s="67"/>
      <c r="F47" s="67"/>
      <c r="G47" s="67"/>
      <c r="H47" s="67"/>
      <c r="I47" s="68"/>
    </row>
    <row r="48" spans="1:12" ht="12.75" customHeight="1" x14ac:dyDescent="0.2">
      <c r="A48" s="197" t="s">
        <v>144</v>
      </c>
      <c r="B48" s="70"/>
      <c r="C48" s="70"/>
      <c r="D48" s="70"/>
      <c r="E48" s="70"/>
      <c r="F48" s="70"/>
      <c r="G48" s="70"/>
      <c r="H48" s="70"/>
      <c r="I48" s="198"/>
    </row>
    <row r="49" spans="1:9" ht="12.75" customHeight="1" x14ac:dyDescent="0.2">
      <c r="A49" s="363" t="s">
        <v>301</v>
      </c>
      <c r="B49" s="70"/>
      <c r="C49" s="70"/>
      <c r="D49" s="70"/>
      <c r="E49" s="70"/>
      <c r="F49" s="70"/>
      <c r="G49" s="199">
        <f>$H$13+1-1</f>
        <v>46113</v>
      </c>
      <c r="H49" s="254"/>
      <c r="I49" s="75"/>
    </row>
    <row r="50" spans="1:9" ht="12.75" customHeight="1" x14ac:dyDescent="0.2">
      <c r="A50" s="405" t="s">
        <v>302</v>
      </c>
      <c r="B50" s="70"/>
      <c r="C50" s="70"/>
      <c r="D50" s="70"/>
      <c r="E50" s="70"/>
      <c r="F50" s="70"/>
      <c r="G50" s="70"/>
      <c r="H50" s="70"/>
      <c r="I50" s="74">
        <f>G49</f>
        <v>46113</v>
      </c>
    </row>
    <row r="51" spans="1:9" ht="12.75" customHeight="1" x14ac:dyDescent="0.2">
      <c r="A51" s="363" t="s">
        <v>303</v>
      </c>
      <c r="B51" s="70"/>
      <c r="C51" s="70"/>
      <c r="D51" s="70"/>
      <c r="E51" s="70"/>
      <c r="F51" s="70"/>
      <c r="G51" s="199">
        <f>G49</f>
        <v>46113</v>
      </c>
      <c r="H51" s="70"/>
      <c r="I51" s="75"/>
    </row>
    <row r="52" spans="1:9" ht="12.75" customHeight="1" x14ac:dyDescent="0.2">
      <c r="A52" s="363" t="s">
        <v>295</v>
      </c>
      <c r="B52" s="70"/>
      <c r="C52" s="70"/>
      <c r="D52" s="70"/>
      <c r="E52" s="70"/>
      <c r="F52" s="70"/>
      <c r="G52" s="70"/>
      <c r="H52" s="70"/>
      <c r="I52" s="75"/>
    </row>
    <row r="53" spans="1:9" ht="15.75" x14ac:dyDescent="0.2">
      <c r="A53" s="596" t="s">
        <v>100</v>
      </c>
      <c r="B53" s="597"/>
      <c r="C53" s="597"/>
      <c r="D53" s="597"/>
      <c r="E53" s="597"/>
      <c r="F53" s="597"/>
      <c r="G53" s="597"/>
      <c r="H53" s="597"/>
      <c r="I53" s="598"/>
    </row>
    <row r="54" spans="1:9" x14ac:dyDescent="0.2">
      <c r="A54" s="69"/>
      <c r="B54" s="70" t="s">
        <v>101</v>
      </c>
      <c r="C54" s="70"/>
      <c r="D54" s="70"/>
      <c r="E54" s="70" t="s">
        <v>102</v>
      </c>
      <c r="F54" s="70"/>
      <c r="G54" s="70"/>
      <c r="H54" s="70"/>
      <c r="I54" s="75"/>
    </row>
    <row r="55" spans="1:9" x14ac:dyDescent="0.2">
      <c r="A55" s="69"/>
      <c r="B55" s="70" t="s">
        <v>103</v>
      </c>
      <c r="C55" s="70"/>
      <c r="D55" s="70"/>
      <c r="E55" s="71" t="s">
        <v>104</v>
      </c>
      <c r="F55" s="70"/>
      <c r="G55" s="70"/>
      <c r="H55" s="70"/>
      <c r="I55" s="75"/>
    </row>
    <row r="56" spans="1:9" x14ac:dyDescent="0.2">
      <c r="A56" s="599" t="s">
        <v>105</v>
      </c>
      <c r="B56" s="600"/>
      <c r="C56" s="600"/>
      <c r="D56" s="600"/>
      <c r="E56" s="600"/>
      <c r="F56" s="600"/>
      <c r="G56" s="600"/>
      <c r="H56" s="600"/>
      <c r="I56" s="601"/>
    </row>
    <row r="57" spans="1:9" x14ac:dyDescent="0.2">
      <c r="A57" s="91"/>
      <c r="B57" s="70" t="s">
        <v>106</v>
      </c>
      <c r="C57" s="92"/>
      <c r="D57" s="92"/>
      <c r="E57" s="201" t="s">
        <v>107</v>
      </c>
      <c r="F57" s="92"/>
      <c r="G57" s="92"/>
      <c r="H57" s="92"/>
      <c r="I57" s="93"/>
    </row>
    <row r="58" spans="1:9" x14ac:dyDescent="0.2">
      <c r="A58" s="575" t="s">
        <v>108</v>
      </c>
      <c r="B58" s="576"/>
      <c r="C58" s="576"/>
      <c r="D58" s="576"/>
      <c r="E58" s="576"/>
      <c r="F58" s="576"/>
      <c r="G58" s="576"/>
      <c r="H58" s="576"/>
      <c r="I58" s="577"/>
    </row>
    <row r="59" spans="1:9" x14ac:dyDescent="0.2">
      <c r="A59" s="142"/>
      <c r="B59" s="140" t="s">
        <v>109</v>
      </c>
      <c r="C59" s="140"/>
      <c r="D59" s="140"/>
      <c r="E59" s="140"/>
      <c r="F59" s="140"/>
      <c r="G59" s="140"/>
      <c r="H59" s="140"/>
      <c r="I59" s="141"/>
    </row>
  </sheetData>
  <sheetProtection formatCells="0" formatColumns="0" formatRows="0" selectLockedCells="1"/>
  <mergeCells count="54"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  <mergeCell ref="H30:I30"/>
    <mergeCell ref="B31:G31"/>
    <mergeCell ref="H31:I31"/>
    <mergeCell ref="B32:G32"/>
    <mergeCell ref="H32:I32"/>
    <mergeCell ref="B30:G30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</mergeCells>
  <conditionalFormatting sqref="C35:I36 B35:B37 B39:I40">
    <cfRule type="cellIs" dxfId="149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42"/>
    </sheetView>
  </sheetViews>
  <sheetFormatPr defaultColWidth="9.140625" defaultRowHeight="20.25" customHeight="1" outlineLevelCol="1" x14ac:dyDescent="0.2"/>
  <cols>
    <col min="1" max="1" width="26" style="332" customWidth="1" outlineLevel="1"/>
    <col min="2" max="2" width="23.42578125" style="332" customWidth="1" outlineLevel="1"/>
    <col min="3" max="3" width="40" style="332" customWidth="1" outlineLevel="1"/>
    <col min="4" max="4" width="15.28515625" style="349" bestFit="1" customWidth="1" outlineLevel="1"/>
    <col min="5" max="5" width="16.5703125" style="350" customWidth="1" outlineLevel="1"/>
    <col min="6" max="6" width="18.140625" style="350" customWidth="1" outlineLevel="1"/>
    <col min="7" max="7" width="15.42578125" style="350" customWidth="1" outlineLevel="1"/>
    <col min="8" max="8" width="14.28515625" style="350" bestFit="1" customWidth="1" outlineLevel="1"/>
    <col min="9" max="9" width="15.28515625" style="350" bestFit="1" customWidth="1"/>
    <col min="10" max="10" width="21.28515625" style="350" customWidth="1"/>
    <col min="11" max="11" width="14.28515625" style="350" bestFit="1" customWidth="1"/>
    <col min="12" max="12" width="2.28515625" style="332" customWidth="1"/>
    <col min="13" max="16384" width="9.140625" style="332"/>
  </cols>
  <sheetData>
    <row r="1" spans="1:16" ht="20.25" customHeight="1" x14ac:dyDescent="0.2">
      <c r="A1" s="713" t="s">
        <v>4</v>
      </c>
      <c r="B1" s="331"/>
      <c r="C1" s="713" t="s">
        <v>251</v>
      </c>
      <c r="D1" s="709" t="s">
        <v>118</v>
      </c>
      <c r="E1" s="709" t="s">
        <v>250</v>
      </c>
      <c r="F1" s="709" t="s">
        <v>249</v>
      </c>
      <c r="G1" s="709" t="s">
        <v>3081</v>
      </c>
      <c r="H1" s="711" t="s">
        <v>248</v>
      </c>
      <c r="I1" s="707" t="s">
        <v>247</v>
      </c>
      <c r="J1" s="707" t="s">
        <v>246</v>
      </c>
      <c r="K1" s="707" t="s">
        <v>245</v>
      </c>
    </row>
    <row r="2" spans="1:16" ht="29.25" customHeight="1" x14ac:dyDescent="0.2">
      <c r="A2" s="714"/>
      <c r="B2" s="333" t="s">
        <v>156</v>
      </c>
      <c r="C2" s="714"/>
      <c r="D2" s="710"/>
      <c r="E2" s="710"/>
      <c r="F2" s="710"/>
      <c r="G2" s="710"/>
      <c r="H2" s="712"/>
      <c r="I2" s="708"/>
      <c r="J2" s="708"/>
      <c r="K2" s="708"/>
    </row>
    <row r="3" spans="1:16" s="336" customFormat="1" ht="15.75" customHeight="1" x14ac:dyDescent="0.2">
      <c r="A3" s="334"/>
      <c r="B3" s="334"/>
      <c r="C3" s="335"/>
      <c r="D3" s="346"/>
      <c r="E3" s="346"/>
      <c r="F3" s="346"/>
      <c r="G3" s="346"/>
      <c r="H3" s="346"/>
      <c r="I3" s="347">
        <f>IF(C3=C2,(D3+D2)*'VALORES TABELA'!$B$50-E2,D3*'VALORES TABELA'!$B$50)</f>
        <v>0</v>
      </c>
      <c r="J3" s="348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348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332"/>
      <c r="P3" s="332"/>
    </row>
    <row r="4" spans="1:16" ht="20.25" customHeight="1" x14ac:dyDescent="0.2">
      <c r="A4" s="337" t="s">
        <v>3179</v>
      </c>
      <c r="B4" s="332" t="s">
        <v>3332</v>
      </c>
      <c r="C4" s="351" t="s">
        <v>3371</v>
      </c>
      <c r="D4" s="349" t="e">
        <f>SUMIF('APONTAMENTO CREDENCIAMENTO'!$D$5:$D$4084,$A4,'APONTAMENTO CREDENCIAMENTO'!#REF!)</f>
        <v>#REF!</v>
      </c>
      <c r="E4" s="350" t="e">
        <f>IF(D4=0,0,IF(D4*0.2*0.11&gt;607.2,607.2,IF(D4&lt;42377.92,D4*0.2*0.11,IF(D4*0.2*0.11&gt;932.31,932.31))))</f>
        <v>#REF!</v>
      </c>
      <c r="F4" s="350" t="e">
        <f>$D4*'VALORES TABELA'!$B$45*'VALORES TABELA'!$B$46</f>
        <v>#REF!</v>
      </c>
      <c r="G4" s="350" t="e">
        <f t="shared" ref="G4" si="0">D4*60%</f>
        <v>#REF!</v>
      </c>
      <c r="H4" s="350" t="e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4" s="350" t="e">
        <f>IF($C4=$C3,($D4+$D3)*'VALORES TABELA'!$B$50-$E3,$D4*'VALORES TABELA'!$B$50)</f>
        <v>#REF!</v>
      </c>
      <c r="J4" s="350" t="e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#REF!</v>
      </c>
      <c r="K4" s="350" t="e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#REF!</v>
      </c>
    </row>
    <row r="5" spans="1:16" ht="20.25" customHeight="1" x14ac:dyDescent="0.2">
      <c r="A5" t="s">
        <v>3183</v>
      </c>
      <c r="B5" t="s">
        <v>3333</v>
      </c>
      <c r="C5" t="s">
        <v>3372</v>
      </c>
      <c r="D5" s="349" t="e">
        <f>SUMIF('APONTAMENTO CREDENCIAMENTO'!$D$5:$D$4084,$A5,'APONTAMENTO CREDENCIAMENTO'!#REF!)</f>
        <v>#REF!</v>
      </c>
      <c r="E5" s="350" t="e">
        <f t="shared" ref="E5:E42" si="1">IF(D5=0,0,IF(D5*0.2*0.11&gt;607.2,607.2,IF(D5&lt;42377.92,D5*0.2*0.11,IF(D5*0.2*0.11&gt;932.31,932.31))))</f>
        <v>#REF!</v>
      </c>
      <c r="F5" s="350" t="e">
        <f>$D5*'VALORES TABELA'!$B$45*'VALORES TABELA'!$B$46</f>
        <v>#REF!</v>
      </c>
      <c r="G5" s="350" t="e">
        <f t="shared" ref="G5:G42" si="2">D5*60%</f>
        <v>#REF!</v>
      </c>
      <c r="H5" s="350" t="e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5" s="350" t="e">
        <f>IF($C5=$C4,($D5+$D4)*'VALORES TABELA'!$B$50-$E4,$D5*'VALORES TABELA'!$B$50)</f>
        <v>#REF!</v>
      </c>
      <c r="J5" s="350" t="e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#REF!</v>
      </c>
      <c r="K5" s="350" t="e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#REF!</v>
      </c>
    </row>
    <row r="6" spans="1:16" ht="20.25" customHeight="1" x14ac:dyDescent="0.2">
      <c r="A6" t="s">
        <v>3187</v>
      </c>
      <c r="B6" t="s">
        <v>3334</v>
      </c>
      <c r="C6" t="s">
        <v>3373</v>
      </c>
      <c r="D6" s="349" t="e">
        <f>SUMIF('APONTAMENTO CREDENCIAMENTO'!$D$5:$D$4084,$A6,'APONTAMENTO CREDENCIAMENTO'!#REF!)</f>
        <v>#REF!</v>
      </c>
      <c r="E6" s="350" t="e">
        <f t="shared" si="1"/>
        <v>#REF!</v>
      </c>
      <c r="F6" s="350" t="e">
        <f>$D6*'VALORES TABELA'!$B$45*'VALORES TABELA'!$B$46</f>
        <v>#REF!</v>
      </c>
      <c r="G6" s="350" t="e">
        <f t="shared" si="2"/>
        <v>#REF!</v>
      </c>
      <c r="H6" s="350" t="e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6" s="350" t="e">
        <f>IF($C6=$C5,($D6+$D5)*'VALORES TABELA'!$B$50-$E5,$D6*'VALORES TABELA'!$B$50)</f>
        <v>#REF!</v>
      </c>
      <c r="J6" s="350" t="e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#REF!</v>
      </c>
      <c r="K6" s="350" t="e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#REF!</v>
      </c>
    </row>
    <row r="7" spans="1:16" ht="20.25" customHeight="1" x14ac:dyDescent="0.2">
      <c r="A7" t="s">
        <v>3191</v>
      </c>
      <c r="B7" t="s">
        <v>3335</v>
      </c>
      <c r="C7" t="s">
        <v>3374</v>
      </c>
      <c r="D7" s="349" t="e">
        <f>SUMIF('APONTAMENTO CREDENCIAMENTO'!$D$5:$D$4084,$A7,'APONTAMENTO CREDENCIAMENTO'!#REF!)</f>
        <v>#REF!</v>
      </c>
      <c r="E7" s="350" t="e">
        <f t="shared" si="1"/>
        <v>#REF!</v>
      </c>
      <c r="F7" s="350" t="e">
        <f>$D7*'VALORES TABELA'!$B$45*'VALORES TABELA'!$B$46</f>
        <v>#REF!</v>
      </c>
      <c r="G7" s="350" t="e">
        <f t="shared" si="2"/>
        <v>#REF!</v>
      </c>
      <c r="H7" s="350" t="e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7" s="350" t="e">
        <f>IF($C7=$C6,($D7+$D6)*'VALORES TABELA'!$B$50-$E6,$D7*'VALORES TABELA'!$B$50)</f>
        <v>#REF!</v>
      </c>
      <c r="J7" s="350" t="e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#REF!</v>
      </c>
      <c r="K7" s="350" t="e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#REF!</v>
      </c>
    </row>
    <row r="8" spans="1:16" ht="20.25" customHeight="1" x14ac:dyDescent="0.2">
      <c r="A8" t="s">
        <v>3195</v>
      </c>
      <c r="B8" t="s">
        <v>3336</v>
      </c>
      <c r="C8" t="s">
        <v>3375</v>
      </c>
      <c r="D8" s="349" t="e">
        <f>SUMIF('APONTAMENTO CREDENCIAMENTO'!$D$5:$D$4084,$A8,'APONTAMENTO CREDENCIAMENTO'!#REF!)</f>
        <v>#REF!</v>
      </c>
      <c r="E8" s="350" t="e">
        <f t="shared" si="1"/>
        <v>#REF!</v>
      </c>
      <c r="F8" s="350" t="e">
        <f>$D8*'VALORES TABELA'!$B$45*'VALORES TABELA'!$B$46</f>
        <v>#REF!</v>
      </c>
      <c r="G8" s="350" t="e">
        <f t="shared" si="2"/>
        <v>#REF!</v>
      </c>
      <c r="H8" s="350" t="e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8" s="350" t="e">
        <f>IF($C8=$C7,($D8+$D7)*'VALORES TABELA'!$B$50-$E7,$D8*'VALORES TABELA'!$B$50)</f>
        <v>#REF!</v>
      </c>
      <c r="J8" s="350" t="e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#REF!</v>
      </c>
      <c r="K8" s="350" t="e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#REF!</v>
      </c>
    </row>
    <row r="9" spans="1:16" ht="20.25" customHeight="1" x14ac:dyDescent="0.2">
      <c r="A9" t="s">
        <v>3199</v>
      </c>
      <c r="B9" t="s">
        <v>3337</v>
      </c>
      <c r="C9" t="s">
        <v>3376</v>
      </c>
      <c r="D9" s="349" t="e">
        <f>SUMIF('APONTAMENTO CREDENCIAMENTO'!$D$5:$D$4084,$A9,'APONTAMENTO CREDENCIAMENTO'!#REF!)</f>
        <v>#REF!</v>
      </c>
      <c r="E9" s="350" t="e">
        <f t="shared" si="1"/>
        <v>#REF!</v>
      </c>
      <c r="F9" s="350" t="e">
        <f>$D9*'VALORES TABELA'!$B$45*'VALORES TABELA'!$B$46</f>
        <v>#REF!</v>
      </c>
      <c r="G9" s="350" t="e">
        <f t="shared" si="2"/>
        <v>#REF!</v>
      </c>
      <c r="H9" s="350" t="e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9" s="350" t="e">
        <f>IF($C9=$C8,($D9+$D8)*'VALORES TABELA'!$B$50-$E8,$D9*'VALORES TABELA'!$B$50)</f>
        <v>#REF!</v>
      </c>
      <c r="J9" s="350" t="e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#REF!</v>
      </c>
      <c r="K9" s="350" t="e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#REF!</v>
      </c>
    </row>
    <row r="10" spans="1:16" ht="20.25" customHeight="1" x14ac:dyDescent="0.2">
      <c r="A10" t="s">
        <v>3203</v>
      </c>
      <c r="B10" t="s">
        <v>3338</v>
      </c>
      <c r="C10" t="s">
        <v>3377</v>
      </c>
      <c r="D10" s="349" t="e">
        <f>SUMIF('APONTAMENTO CREDENCIAMENTO'!$D$5:$D$4084,$A10,'APONTAMENTO CREDENCIAMENTO'!#REF!)</f>
        <v>#REF!</v>
      </c>
      <c r="E10" s="350" t="e">
        <f t="shared" si="1"/>
        <v>#REF!</v>
      </c>
      <c r="F10" s="350" t="e">
        <f>$D10*'VALORES TABELA'!$B$45*'VALORES TABELA'!$B$46</f>
        <v>#REF!</v>
      </c>
      <c r="G10" s="350" t="e">
        <f t="shared" si="2"/>
        <v>#REF!</v>
      </c>
      <c r="H10" s="350" t="e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0" s="350" t="e">
        <f>IF($C10=$C9,($D10+$D9)*'VALORES TABELA'!$B$50-$E9,$D10*'VALORES TABELA'!$B$50)</f>
        <v>#REF!</v>
      </c>
      <c r="J10" s="350" t="e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#REF!</v>
      </c>
      <c r="K10" s="350" t="e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#REF!</v>
      </c>
    </row>
    <row r="11" spans="1:16" ht="20.25" customHeight="1" x14ac:dyDescent="0.2">
      <c r="A11" t="s">
        <v>3207</v>
      </c>
      <c r="B11" t="s">
        <v>3339</v>
      </c>
      <c r="C11" t="s">
        <v>3378</v>
      </c>
      <c r="D11" s="349" t="e">
        <f>SUMIF('APONTAMENTO CREDENCIAMENTO'!$D$5:$D$4084,$A11,'APONTAMENTO CREDENCIAMENTO'!#REF!)</f>
        <v>#REF!</v>
      </c>
      <c r="E11" s="350" t="e">
        <f t="shared" si="1"/>
        <v>#REF!</v>
      </c>
      <c r="F11" s="350" t="e">
        <f>$D11*'VALORES TABELA'!$B$45*'VALORES TABELA'!$B$46</f>
        <v>#REF!</v>
      </c>
      <c r="G11" s="350" t="e">
        <f t="shared" si="2"/>
        <v>#REF!</v>
      </c>
      <c r="H11" s="350" t="e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1" s="350" t="e">
        <f>IF($C11=$C10,($D11+$D10)*'VALORES TABELA'!$B$50-$E10,$D11*'VALORES TABELA'!$B$50)</f>
        <v>#REF!</v>
      </c>
      <c r="J11" s="350" t="e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#REF!</v>
      </c>
      <c r="K11" s="350" t="e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#REF!</v>
      </c>
    </row>
    <row r="12" spans="1:16" ht="20.25" customHeight="1" x14ac:dyDescent="0.2">
      <c r="A12" t="s">
        <v>3211</v>
      </c>
      <c r="B12" t="s">
        <v>3340</v>
      </c>
      <c r="C12" t="s">
        <v>3379</v>
      </c>
      <c r="D12" s="349" t="e">
        <f>SUMIF('APONTAMENTO CREDENCIAMENTO'!$D$5:$D$4084,$A12,'APONTAMENTO CREDENCIAMENTO'!#REF!)</f>
        <v>#REF!</v>
      </c>
      <c r="E12" s="350" t="e">
        <f t="shared" si="1"/>
        <v>#REF!</v>
      </c>
      <c r="F12" s="350" t="e">
        <f>$D12*'VALORES TABELA'!$B$45*'VALORES TABELA'!$B$46</f>
        <v>#REF!</v>
      </c>
      <c r="G12" s="350" t="e">
        <f t="shared" si="2"/>
        <v>#REF!</v>
      </c>
      <c r="H12" s="350" t="e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2" s="350" t="e">
        <f>IF($C12=$C11,($D12+$D11)*'VALORES TABELA'!$B$50-$E11,$D12*'VALORES TABELA'!$B$50)</f>
        <v>#REF!</v>
      </c>
      <c r="J12" s="350" t="e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#REF!</v>
      </c>
      <c r="K12" s="350" t="e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#REF!</v>
      </c>
    </row>
    <row r="13" spans="1:16" ht="20.25" customHeight="1" x14ac:dyDescent="0.2">
      <c r="A13" t="s">
        <v>3215</v>
      </c>
      <c r="B13" t="s">
        <v>3341</v>
      </c>
      <c r="C13" t="s">
        <v>3380</v>
      </c>
      <c r="D13" s="349" t="e">
        <f>SUMIF('APONTAMENTO CREDENCIAMENTO'!$D$5:$D$4084,$A13,'APONTAMENTO CREDENCIAMENTO'!#REF!)</f>
        <v>#REF!</v>
      </c>
      <c r="E13" s="350" t="e">
        <f t="shared" si="1"/>
        <v>#REF!</v>
      </c>
      <c r="F13" s="350" t="e">
        <f>$D13*'VALORES TABELA'!$B$45*'VALORES TABELA'!$B$46</f>
        <v>#REF!</v>
      </c>
      <c r="G13" s="350" t="e">
        <f t="shared" si="2"/>
        <v>#REF!</v>
      </c>
      <c r="H13" s="350" t="e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3" s="350" t="e">
        <f>IF($C13=$C12,($D13+$D12)*'VALORES TABELA'!$B$50-$E12,$D13*'VALORES TABELA'!$B$50)</f>
        <v>#REF!</v>
      </c>
      <c r="J13" s="350" t="e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#REF!</v>
      </c>
      <c r="K13" s="350" t="e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#REF!</v>
      </c>
    </row>
    <row r="14" spans="1:16" ht="20.25" customHeight="1" x14ac:dyDescent="0.2">
      <c r="A14" t="s">
        <v>3219</v>
      </c>
      <c r="B14" t="s">
        <v>3342</v>
      </c>
      <c r="C14" t="s">
        <v>3381</v>
      </c>
      <c r="D14" s="349" t="e">
        <f>SUMIF('APONTAMENTO CREDENCIAMENTO'!$D$5:$D$4084,$A14,'APONTAMENTO CREDENCIAMENTO'!#REF!)</f>
        <v>#REF!</v>
      </c>
      <c r="E14" s="350" t="e">
        <f t="shared" si="1"/>
        <v>#REF!</v>
      </c>
      <c r="F14" s="350" t="e">
        <f>$D14*'VALORES TABELA'!$B$45*'VALORES TABELA'!$B$46</f>
        <v>#REF!</v>
      </c>
      <c r="G14" s="350" t="e">
        <f t="shared" si="2"/>
        <v>#REF!</v>
      </c>
      <c r="H14" s="350" t="e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4" s="350" t="e">
        <f>IF($C14=$C13,($D14+$D13)*'VALORES TABELA'!$B$50-$E13,$D14*'VALORES TABELA'!$B$50)</f>
        <v>#REF!</v>
      </c>
      <c r="J14" s="350" t="e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#REF!</v>
      </c>
      <c r="K14" s="350" t="e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#REF!</v>
      </c>
    </row>
    <row r="15" spans="1:16" ht="20.25" customHeight="1" x14ac:dyDescent="0.2">
      <c r="A15" t="s">
        <v>3223</v>
      </c>
      <c r="B15" t="s">
        <v>3343</v>
      </c>
      <c r="C15" t="s">
        <v>3382</v>
      </c>
      <c r="D15" s="349" t="e">
        <f>SUMIF('APONTAMENTO CREDENCIAMENTO'!$D$5:$D$4084,$A15,'APONTAMENTO CREDENCIAMENTO'!#REF!)</f>
        <v>#REF!</v>
      </c>
      <c r="E15" s="350" t="e">
        <f t="shared" si="1"/>
        <v>#REF!</v>
      </c>
      <c r="F15" s="350" t="e">
        <f>$D15*'VALORES TABELA'!$B$45*'VALORES TABELA'!$B$46</f>
        <v>#REF!</v>
      </c>
      <c r="G15" s="350" t="e">
        <f t="shared" si="2"/>
        <v>#REF!</v>
      </c>
      <c r="H15" s="350" t="e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5" s="350" t="e">
        <f>IF($C15=$C14,($D15+$D14)*'VALORES TABELA'!$B$50-$E14,$D15*'VALORES TABELA'!$B$50)</f>
        <v>#REF!</v>
      </c>
      <c r="J15" s="350" t="e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#REF!</v>
      </c>
      <c r="K15" s="350" t="e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#REF!</v>
      </c>
    </row>
    <row r="16" spans="1:16" ht="20.25" customHeight="1" x14ac:dyDescent="0.2">
      <c r="A16" t="s">
        <v>3227</v>
      </c>
      <c r="B16" t="s">
        <v>3344</v>
      </c>
      <c r="C16" t="s">
        <v>3383</v>
      </c>
      <c r="D16" s="349" t="e">
        <f>SUMIF('APONTAMENTO CREDENCIAMENTO'!$D$5:$D$4084,$A16,'APONTAMENTO CREDENCIAMENTO'!#REF!)</f>
        <v>#REF!</v>
      </c>
      <c r="E16" s="350" t="e">
        <f t="shared" si="1"/>
        <v>#REF!</v>
      </c>
      <c r="F16" s="350" t="e">
        <f>$D16*'VALORES TABELA'!$B$45*'VALORES TABELA'!$B$46</f>
        <v>#REF!</v>
      </c>
      <c r="G16" s="350" t="e">
        <f t="shared" si="2"/>
        <v>#REF!</v>
      </c>
      <c r="H16" s="350" t="e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6" s="350" t="e">
        <f>IF($C16=$C15,($D16+$D15)*'VALORES TABELA'!$B$50-$E15,$D16*'VALORES TABELA'!$B$50)</f>
        <v>#REF!</v>
      </c>
      <c r="J16" s="350" t="e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#REF!</v>
      </c>
      <c r="K16" s="350" t="e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#REF!</v>
      </c>
    </row>
    <row r="17" spans="1:11" ht="20.25" customHeight="1" x14ac:dyDescent="0.2">
      <c r="A17" t="s">
        <v>3231</v>
      </c>
      <c r="B17" t="s">
        <v>3345</v>
      </c>
      <c r="C17" t="s">
        <v>3384</v>
      </c>
      <c r="D17" s="349" t="e">
        <f>SUMIF('APONTAMENTO CREDENCIAMENTO'!$D$5:$D$4084,$A17,'APONTAMENTO CREDENCIAMENTO'!#REF!)</f>
        <v>#REF!</v>
      </c>
      <c r="E17" s="350" t="e">
        <f t="shared" si="1"/>
        <v>#REF!</v>
      </c>
      <c r="F17" s="350" t="e">
        <f>$D17*'VALORES TABELA'!$B$45*'VALORES TABELA'!$B$46</f>
        <v>#REF!</v>
      </c>
      <c r="G17" s="350" t="e">
        <f t="shared" si="2"/>
        <v>#REF!</v>
      </c>
      <c r="H17" s="350" t="e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7" s="350" t="e">
        <f>IF($C17=$C16,($D17+$D16)*'VALORES TABELA'!$B$50-$E16,$D17*'VALORES TABELA'!$B$50)</f>
        <v>#REF!</v>
      </c>
      <c r="J17" s="350" t="e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#REF!</v>
      </c>
      <c r="K17" s="350" t="e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#REF!</v>
      </c>
    </row>
    <row r="18" spans="1:11" ht="20.25" customHeight="1" x14ac:dyDescent="0.2">
      <c r="A18" t="s">
        <v>3235</v>
      </c>
      <c r="B18" t="s">
        <v>3346</v>
      </c>
      <c r="C18" t="s">
        <v>3385</v>
      </c>
      <c r="D18" s="349" t="e">
        <f>SUMIF('APONTAMENTO CREDENCIAMENTO'!$D$5:$D$4084,$A18,'APONTAMENTO CREDENCIAMENTO'!#REF!)</f>
        <v>#REF!</v>
      </c>
      <c r="E18" s="350" t="e">
        <f t="shared" si="1"/>
        <v>#REF!</v>
      </c>
      <c r="F18" s="350" t="e">
        <f>$D18*'VALORES TABELA'!$B$45*'VALORES TABELA'!$B$46</f>
        <v>#REF!</v>
      </c>
      <c r="G18" s="350" t="e">
        <f t="shared" si="2"/>
        <v>#REF!</v>
      </c>
      <c r="H18" s="350" t="e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8" s="350" t="e">
        <f>IF($C18=$C17,($D18+$D17)*'VALORES TABELA'!$B$50-$E17,$D18*'VALORES TABELA'!$B$50)</f>
        <v>#REF!</v>
      </c>
      <c r="J18" s="350" t="e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#REF!</v>
      </c>
      <c r="K18" s="350" t="e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#REF!</v>
      </c>
    </row>
    <row r="19" spans="1:11" ht="20.25" customHeight="1" x14ac:dyDescent="0.2">
      <c r="A19" t="s">
        <v>3239</v>
      </c>
      <c r="B19" t="s">
        <v>3347</v>
      </c>
      <c r="C19" t="s">
        <v>3386</v>
      </c>
      <c r="D19" s="349" t="e">
        <f>SUMIF('APONTAMENTO CREDENCIAMENTO'!$D$5:$D$4084,$A19,'APONTAMENTO CREDENCIAMENTO'!#REF!)</f>
        <v>#REF!</v>
      </c>
      <c r="E19" s="350" t="e">
        <f t="shared" si="1"/>
        <v>#REF!</v>
      </c>
      <c r="F19" s="350" t="e">
        <f>$D19*'VALORES TABELA'!$B$45*'VALORES TABELA'!$B$46</f>
        <v>#REF!</v>
      </c>
      <c r="G19" s="350" t="e">
        <f t="shared" si="2"/>
        <v>#REF!</v>
      </c>
      <c r="H19" s="350" t="e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19" s="350" t="e">
        <f>IF($C19=$C18,($D19+$D18)*'VALORES TABELA'!$B$50-$E18,$D19*'VALORES TABELA'!$B$50)</f>
        <v>#REF!</v>
      </c>
      <c r="J19" s="350" t="e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#REF!</v>
      </c>
      <c r="K19" s="350" t="e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#REF!</v>
      </c>
    </row>
    <row r="20" spans="1:11" ht="20.25" customHeight="1" x14ac:dyDescent="0.2">
      <c r="A20" t="s">
        <v>3243</v>
      </c>
      <c r="B20" t="s">
        <v>3348</v>
      </c>
      <c r="C20" t="s">
        <v>3387</v>
      </c>
      <c r="D20" s="349" t="e">
        <f>SUMIF('APONTAMENTO CREDENCIAMENTO'!$D$5:$D$4084,$A20,'APONTAMENTO CREDENCIAMENTO'!#REF!)</f>
        <v>#REF!</v>
      </c>
      <c r="E20" s="350" t="e">
        <f t="shared" si="1"/>
        <v>#REF!</v>
      </c>
      <c r="F20" s="350" t="e">
        <f>$D20*'VALORES TABELA'!$B$45*'VALORES TABELA'!$B$46</f>
        <v>#REF!</v>
      </c>
      <c r="G20" s="350" t="e">
        <f t="shared" si="2"/>
        <v>#REF!</v>
      </c>
      <c r="H20" s="350" t="e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0" s="350" t="e">
        <f>IF($C20=$C19,($D20+$D19)*'VALORES TABELA'!$B$50-$E19,$D20*'VALORES TABELA'!$B$50)</f>
        <v>#REF!</v>
      </c>
      <c r="J20" s="350" t="e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#REF!</v>
      </c>
      <c r="K20" s="350" t="e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#REF!</v>
      </c>
    </row>
    <row r="21" spans="1:11" ht="20.25" customHeight="1" x14ac:dyDescent="0.2">
      <c r="A21" t="s">
        <v>3247</v>
      </c>
      <c r="B21" t="s">
        <v>3349</v>
      </c>
      <c r="C21" t="s">
        <v>3388</v>
      </c>
      <c r="D21" s="349" t="e">
        <f>SUMIF('APONTAMENTO CREDENCIAMENTO'!$D$5:$D$4084,$A21,'APONTAMENTO CREDENCIAMENTO'!#REF!)</f>
        <v>#REF!</v>
      </c>
      <c r="E21" s="350" t="e">
        <f t="shared" si="1"/>
        <v>#REF!</v>
      </c>
      <c r="F21" s="350" t="e">
        <f>$D21*'VALORES TABELA'!$B$45*'VALORES TABELA'!$B$46</f>
        <v>#REF!</v>
      </c>
      <c r="G21" s="350" t="e">
        <f t="shared" si="2"/>
        <v>#REF!</v>
      </c>
      <c r="H21" s="350" t="e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1" s="350" t="e">
        <f>IF($C21=$C20,($D21+$D20)*'VALORES TABELA'!$B$50-$E20,$D21*'VALORES TABELA'!$B$50)</f>
        <v>#REF!</v>
      </c>
      <c r="J21" s="350" t="e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#REF!</v>
      </c>
      <c r="K21" s="350" t="e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#REF!</v>
      </c>
    </row>
    <row r="22" spans="1:11" ht="20.25" customHeight="1" x14ac:dyDescent="0.2">
      <c r="A22" t="s">
        <v>3251</v>
      </c>
      <c r="B22" t="s">
        <v>3350</v>
      </c>
      <c r="C22" t="s">
        <v>3389</v>
      </c>
      <c r="D22" s="349" t="e">
        <f>SUMIF('APONTAMENTO CREDENCIAMENTO'!$D$5:$D$4084,$A22,'APONTAMENTO CREDENCIAMENTO'!#REF!)</f>
        <v>#REF!</v>
      </c>
      <c r="E22" s="350" t="e">
        <f t="shared" si="1"/>
        <v>#REF!</v>
      </c>
      <c r="F22" s="350" t="e">
        <f>$D22*'VALORES TABELA'!$B$45*'VALORES TABELA'!$B$46</f>
        <v>#REF!</v>
      </c>
      <c r="G22" s="350" t="e">
        <f t="shared" si="2"/>
        <v>#REF!</v>
      </c>
      <c r="H22" s="350" t="e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2" s="350" t="e">
        <f>IF($C22=$C21,($D22+$D21)*'VALORES TABELA'!$B$50-$E21,$D22*'VALORES TABELA'!$B$50)</f>
        <v>#REF!</v>
      </c>
      <c r="J22" s="350" t="e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#REF!</v>
      </c>
      <c r="K22" s="350" t="e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#REF!</v>
      </c>
    </row>
    <row r="23" spans="1:11" ht="20.25" customHeight="1" x14ac:dyDescent="0.2">
      <c r="A23" t="s">
        <v>3255</v>
      </c>
      <c r="B23" t="s">
        <v>3351</v>
      </c>
      <c r="C23" t="s">
        <v>3390</v>
      </c>
      <c r="D23" s="349" t="e">
        <f>SUMIF('APONTAMENTO CREDENCIAMENTO'!$D$5:$D$4084,$A23,'APONTAMENTO CREDENCIAMENTO'!#REF!)</f>
        <v>#REF!</v>
      </c>
      <c r="E23" s="350" t="e">
        <f t="shared" si="1"/>
        <v>#REF!</v>
      </c>
      <c r="F23" s="350" t="e">
        <f>$D23*'VALORES TABELA'!$B$45*'VALORES TABELA'!$B$46</f>
        <v>#REF!</v>
      </c>
      <c r="G23" s="350" t="e">
        <f t="shared" si="2"/>
        <v>#REF!</v>
      </c>
      <c r="H23" s="350" t="e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3" s="350" t="e">
        <f>IF($C23=$C22,($D23+$D22)*'VALORES TABELA'!$B$50-$E22,$D23*'VALORES TABELA'!$B$50)</f>
        <v>#REF!</v>
      </c>
      <c r="J23" s="350" t="e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#REF!</v>
      </c>
      <c r="K23" s="350" t="e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#REF!</v>
      </c>
    </row>
    <row r="24" spans="1:11" ht="20.25" customHeight="1" x14ac:dyDescent="0.2">
      <c r="A24" t="s">
        <v>3259</v>
      </c>
      <c r="B24" t="s">
        <v>3352</v>
      </c>
      <c r="C24" t="s">
        <v>3391</v>
      </c>
      <c r="D24" s="349" t="e">
        <f>SUMIF('APONTAMENTO CREDENCIAMENTO'!$D$5:$D$4084,$A24,'APONTAMENTO CREDENCIAMENTO'!#REF!)</f>
        <v>#REF!</v>
      </c>
      <c r="E24" s="350" t="e">
        <f t="shared" si="1"/>
        <v>#REF!</v>
      </c>
      <c r="F24" s="350" t="e">
        <f>$D24*'VALORES TABELA'!$B$45*'VALORES TABELA'!$B$46</f>
        <v>#REF!</v>
      </c>
      <c r="G24" s="350" t="e">
        <f t="shared" si="2"/>
        <v>#REF!</v>
      </c>
      <c r="H24" s="350" t="e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4" s="350" t="e">
        <f>IF($C24=$C23,($D24+$D23)*'VALORES TABELA'!$B$50-$E23,$D24*'VALORES TABELA'!$B$50)</f>
        <v>#REF!</v>
      </c>
      <c r="J24" s="350" t="e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#REF!</v>
      </c>
      <c r="K24" s="350" t="e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#REF!</v>
      </c>
    </row>
    <row r="25" spans="1:11" ht="20.25" customHeight="1" x14ac:dyDescent="0.2">
      <c r="A25" t="s">
        <v>3262</v>
      </c>
      <c r="B25" t="s">
        <v>3353</v>
      </c>
      <c r="C25" t="s">
        <v>3392</v>
      </c>
      <c r="D25" s="349" t="e">
        <f>SUMIF('APONTAMENTO CREDENCIAMENTO'!$D$5:$D$4084,$A25,'APONTAMENTO CREDENCIAMENTO'!#REF!)</f>
        <v>#REF!</v>
      </c>
      <c r="E25" s="350" t="e">
        <f t="shared" si="1"/>
        <v>#REF!</v>
      </c>
      <c r="F25" s="350" t="e">
        <f>$D25*'VALORES TABELA'!$B$45*'VALORES TABELA'!$B$46</f>
        <v>#REF!</v>
      </c>
      <c r="G25" s="350" t="e">
        <f t="shared" si="2"/>
        <v>#REF!</v>
      </c>
      <c r="H25" s="350" t="e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5" s="350" t="e">
        <f>IF($C25=$C24,($D25+$D24)*'VALORES TABELA'!$B$50-$E24,$D25*'VALORES TABELA'!$B$50)</f>
        <v>#REF!</v>
      </c>
      <c r="J25" s="350" t="e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#REF!</v>
      </c>
      <c r="K25" s="350" t="e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#REF!</v>
      </c>
    </row>
    <row r="26" spans="1:11" ht="20.25" customHeight="1" x14ac:dyDescent="0.2">
      <c r="A26" t="s">
        <v>3266</v>
      </c>
      <c r="B26" t="s">
        <v>3354</v>
      </c>
      <c r="C26" t="s">
        <v>3393</v>
      </c>
      <c r="D26" s="349" t="e">
        <f>SUMIF('APONTAMENTO CREDENCIAMENTO'!$D$5:$D$4084,$A26,'APONTAMENTO CREDENCIAMENTO'!#REF!)</f>
        <v>#REF!</v>
      </c>
      <c r="E26" s="350" t="e">
        <f t="shared" si="1"/>
        <v>#REF!</v>
      </c>
      <c r="F26" s="350" t="e">
        <f>$D26*'VALORES TABELA'!$B$45*'VALORES TABELA'!$B$46</f>
        <v>#REF!</v>
      </c>
      <c r="G26" s="350" t="e">
        <f t="shared" si="2"/>
        <v>#REF!</v>
      </c>
      <c r="H26" s="350" t="e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6" s="350" t="e">
        <f>IF($C26=$C25,($D26+$D25)*'VALORES TABELA'!$B$50-$E25,$D26*'VALORES TABELA'!$B$50)</f>
        <v>#REF!</v>
      </c>
      <c r="J26" s="350" t="e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#REF!</v>
      </c>
      <c r="K26" s="350" t="e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#REF!</v>
      </c>
    </row>
    <row r="27" spans="1:11" ht="20.25" customHeight="1" x14ac:dyDescent="0.2">
      <c r="A27" t="s">
        <v>3270</v>
      </c>
      <c r="B27" t="s">
        <v>3355</v>
      </c>
      <c r="C27" t="s">
        <v>3394</v>
      </c>
      <c r="D27" s="349" t="e">
        <f>SUMIF('APONTAMENTO CREDENCIAMENTO'!$D$5:$D$4084,$A27,'APONTAMENTO CREDENCIAMENTO'!#REF!)</f>
        <v>#REF!</v>
      </c>
      <c r="E27" s="350" t="e">
        <f t="shared" si="1"/>
        <v>#REF!</v>
      </c>
      <c r="F27" s="350" t="e">
        <f>$D27*'VALORES TABELA'!$B$45*'VALORES TABELA'!$B$46</f>
        <v>#REF!</v>
      </c>
      <c r="G27" s="350" t="e">
        <f t="shared" si="2"/>
        <v>#REF!</v>
      </c>
      <c r="H27" s="350" t="e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7" s="350" t="e">
        <f>IF($C27=$C26,($D27+$D26)*'VALORES TABELA'!$B$50-$E26,$D27*'VALORES TABELA'!$B$50)</f>
        <v>#REF!</v>
      </c>
      <c r="J27" s="350" t="e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#REF!</v>
      </c>
      <c r="K27" s="350" t="e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#REF!</v>
      </c>
    </row>
    <row r="28" spans="1:11" ht="20.25" customHeight="1" x14ac:dyDescent="0.2">
      <c r="A28" t="s">
        <v>3274</v>
      </c>
      <c r="B28" t="s">
        <v>3356</v>
      </c>
      <c r="C28" t="s">
        <v>3395</v>
      </c>
      <c r="D28" s="349" t="e">
        <f>SUMIF('APONTAMENTO CREDENCIAMENTO'!$D$5:$D$4084,$A28,'APONTAMENTO CREDENCIAMENTO'!#REF!)</f>
        <v>#REF!</v>
      </c>
      <c r="E28" s="350" t="e">
        <f t="shared" si="1"/>
        <v>#REF!</v>
      </c>
      <c r="F28" s="350" t="e">
        <f>$D28*'VALORES TABELA'!$B$45*'VALORES TABELA'!$B$46</f>
        <v>#REF!</v>
      </c>
      <c r="G28" s="350" t="e">
        <f t="shared" si="2"/>
        <v>#REF!</v>
      </c>
      <c r="H28" s="350" t="e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8" s="350" t="e">
        <f>IF($C28=$C27,($D28+$D27)*'VALORES TABELA'!$B$50-$E27,$D28*'VALORES TABELA'!$B$50)</f>
        <v>#REF!</v>
      </c>
      <c r="J28" s="350" t="e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#REF!</v>
      </c>
      <c r="K28" s="350" t="e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#REF!</v>
      </c>
    </row>
    <row r="29" spans="1:11" ht="20.25" customHeight="1" x14ac:dyDescent="0.2">
      <c r="A29" t="s">
        <v>3278</v>
      </c>
      <c r="B29" t="s">
        <v>3357</v>
      </c>
      <c r="C29" t="s">
        <v>3396</v>
      </c>
      <c r="D29" s="349" t="e">
        <f>SUMIF('APONTAMENTO CREDENCIAMENTO'!$D$5:$D$4084,$A29,'APONTAMENTO CREDENCIAMENTO'!#REF!)</f>
        <v>#REF!</v>
      </c>
      <c r="E29" s="350" t="e">
        <f t="shared" si="1"/>
        <v>#REF!</v>
      </c>
      <c r="F29" s="350" t="e">
        <f>$D29*'VALORES TABELA'!$B$45*'VALORES TABELA'!$B$46</f>
        <v>#REF!</v>
      </c>
      <c r="G29" s="350" t="e">
        <f t="shared" si="2"/>
        <v>#REF!</v>
      </c>
      <c r="H29" s="350" t="e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29" s="350" t="e">
        <f>IF($C29=$C28,($D29+$D28)*'VALORES TABELA'!$B$50-$E28,$D29*'VALORES TABELA'!$B$50)</f>
        <v>#REF!</v>
      </c>
      <c r="J29" s="350" t="e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#REF!</v>
      </c>
      <c r="K29" s="350" t="e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#REF!</v>
      </c>
    </row>
    <row r="30" spans="1:11" ht="20.25" customHeight="1" x14ac:dyDescent="0.2">
      <c r="A30" t="s">
        <v>3282</v>
      </c>
      <c r="B30" t="s">
        <v>3358</v>
      </c>
      <c r="C30" t="s">
        <v>3397</v>
      </c>
      <c r="D30" s="349" t="e">
        <f>SUMIF('APONTAMENTO CREDENCIAMENTO'!$D$5:$D$4084,$A30,'APONTAMENTO CREDENCIAMENTO'!#REF!)</f>
        <v>#REF!</v>
      </c>
      <c r="E30" s="350" t="e">
        <f t="shared" si="1"/>
        <v>#REF!</v>
      </c>
      <c r="F30" s="350" t="e">
        <f>$D30*'VALORES TABELA'!$B$45*'VALORES TABELA'!$B$46</f>
        <v>#REF!</v>
      </c>
      <c r="G30" s="350" t="e">
        <f t="shared" si="2"/>
        <v>#REF!</v>
      </c>
      <c r="H30" s="350" t="e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0" s="350" t="e">
        <f>IF($C30=$C29,($D30+$D29)*'VALORES TABELA'!$B$50-$E29,$D30*'VALORES TABELA'!$B$50)</f>
        <v>#REF!</v>
      </c>
      <c r="J30" s="350" t="e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#REF!</v>
      </c>
      <c r="K30" s="350" t="e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#REF!</v>
      </c>
    </row>
    <row r="31" spans="1:11" ht="20.25" customHeight="1" x14ac:dyDescent="0.2">
      <c r="A31" t="s">
        <v>3286</v>
      </c>
      <c r="B31" t="s">
        <v>3359</v>
      </c>
      <c r="C31" t="s">
        <v>3398</v>
      </c>
      <c r="D31" s="349" t="e">
        <f>SUMIF('APONTAMENTO CREDENCIAMENTO'!$D$5:$D$4084,$A31,'APONTAMENTO CREDENCIAMENTO'!#REF!)</f>
        <v>#REF!</v>
      </c>
      <c r="E31" s="350" t="e">
        <f t="shared" si="1"/>
        <v>#REF!</v>
      </c>
      <c r="F31" s="350" t="e">
        <f>$D31*'VALORES TABELA'!$B$45*'VALORES TABELA'!$B$46</f>
        <v>#REF!</v>
      </c>
      <c r="G31" s="350" t="e">
        <f t="shared" si="2"/>
        <v>#REF!</v>
      </c>
      <c r="H31" s="350" t="e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1" s="350" t="e">
        <f>IF($C31=$C30,($D31+$D30)*'VALORES TABELA'!$B$50-$E30,$D31*'VALORES TABELA'!$B$50)</f>
        <v>#REF!</v>
      </c>
      <c r="J31" s="350" t="e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#REF!</v>
      </c>
      <c r="K31" s="350" t="e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#REF!</v>
      </c>
    </row>
    <row r="32" spans="1:11" ht="20.25" customHeight="1" x14ac:dyDescent="0.2">
      <c r="A32" t="s">
        <v>3290</v>
      </c>
      <c r="B32" t="s">
        <v>3360</v>
      </c>
      <c r="C32" t="s">
        <v>3399</v>
      </c>
      <c r="D32" s="349" t="e">
        <f>SUMIF('APONTAMENTO CREDENCIAMENTO'!$D$5:$D$4084,$A32,'APONTAMENTO CREDENCIAMENTO'!#REF!)</f>
        <v>#REF!</v>
      </c>
      <c r="E32" s="350" t="e">
        <f t="shared" si="1"/>
        <v>#REF!</v>
      </c>
      <c r="F32" s="350" t="e">
        <f>$D32*'VALORES TABELA'!$B$45*'VALORES TABELA'!$B$46</f>
        <v>#REF!</v>
      </c>
      <c r="G32" s="350" t="e">
        <f t="shared" si="2"/>
        <v>#REF!</v>
      </c>
      <c r="H32" s="350" t="e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2" s="350" t="e">
        <f>IF($C32=$C31,($D32+$D31)*'VALORES TABELA'!$B$50-$E31,$D32*'VALORES TABELA'!$B$50)</f>
        <v>#REF!</v>
      </c>
      <c r="J32" s="350" t="e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#REF!</v>
      </c>
      <c r="K32" s="350" t="e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#REF!</v>
      </c>
    </row>
    <row r="33" spans="1:11" ht="20.25" customHeight="1" x14ac:dyDescent="0.2">
      <c r="A33" t="s">
        <v>3294</v>
      </c>
      <c r="B33" t="s">
        <v>3361</v>
      </c>
      <c r="C33" t="s">
        <v>3400</v>
      </c>
      <c r="D33" s="349" t="e">
        <f>SUMIF('APONTAMENTO CREDENCIAMENTO'!$D$5:$D$4084,$A33,'APONTAMENTO CREDENCIAMENTO'!#REF!)</f>
        <v>#REF!</v>
      </c>
      <c r="E33" s="350" t="e">
        <f t="shared" si="1"/>
        <v>#REF!</v>
      </c>
      <c r="F33" s="350" t="e">
        <f>$D33*'VALORES TABELA'!$B$45*'VALORES TABELA'!$B$46</f>
        <v>#REF!</v>
      </c>
      <c r="G33" s="350" t="e">
        <f t="shared" si="2"/>
        <v>#REF!</v>
      </c>
      <c r="H33" s="350" t="e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3" s="350" t="e">
        <f>IF($C33=$C32,($D33+$D32)*'VALORES TABELA'!$B$50-$E32,$D33*'VALORES TABELA'!$B$50)</f>
        <v>#REF!</v>
      </c>
      <c r="J33" s="350" t="e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#REF!</v>
      </c>
      <c r="K33" s="350" t="e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#REF!</v>
      </c>
    </row>
    <row r="34" spans="1:11" ht="20.25" customHeight="1" x14ac:dyDescent="0.2">
      <c r="A34" t="s">
        <v>3298</v>
      </c>
      <c r="B34" t="s">
        <v>3362</v>
      </c>
      <c r="C34" t="s">
        <v>3401</v>
      </c>
      <c r="D34" s="349" t="e">
        <f>SUMIF('APONTAMENTO CREDENCIAMENTO'!$D$5:$D$4084,$A34,'APONTAMENTO CREDENCIAMENTO'!#REF!)</f>
        <v>#REF!</v>
      </c>
      <c r="E34" s="350" t="e">
        <f t="shared" si="1"/>
        <v>#REF!</v>
      </c>
      <c r="F34" s="350" t="e">
        <f>$D34*'VALORES TABELA'!$B$45*'VALORES TABELA'!$B$46</f>
        <v>#REF!</v>
      </c>
      <c r="G34" s="350" t="e">
        <f t="shared" si="2"/>
        <v>#REF!</v>
      </c>
      <c r="H34" s="350" t="e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4" s="350" t="e">
        <f>IF($C34=$C33,($D34+$D33)*'VALORES TABELA'!$B$50-$E33,$D34*'VALORES TABELA'!$B$50)</f>
        <v>#REF!</v>
      </c>
      <c r="J34" s="350" t="e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#REF!</v>
      </c>
      <c r="K34" s="350" t="e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#REF!</v>
      </c>
    </row>
    <row r="35" spans="1:11" ht="20.25" customHeight="1" x14ac:dyDescent="0.2">
      <c r="A35" t="s">
        <v>3302</v>
      </c>
      <c r="B35" t="s">
        <v>3363</v>
      </c>
      <c r="C35" t="s">
        <v>3402</v>
      </c>
      <c r="D35" s="349" t="e">
        <f>SUMIF('APONTAMENTO CREDENCIAMENTO'!$D$5:$D$4084,$A35,'APONTAMENTO CREDENCIAMENTO'!#REF!)</f>
        <v>#REF!</v>
      </c>
      <c r="E35" s="350" t="e">
        <f t="shared" si="1"/>
        <v>#REF!</v>
      </c>
      <c r="F35" s="350" t="e">
        <f>$D35*'VALORES TABELA'!$B$45*'VALORES TABELA'!$B$46</f>
        <v>#REF!</v>
      </c>
      <c r="G35" s="350" t="e">
        <f t="shared" si="2"/>
        <v>#REF!</v>
      </c>
      <c r="H35" s="350" t="e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5" s="350" t="e">
        <f>IF($C35=$C34,($D35+$D34)*'VALORES TABELA'!$B$50-$E34,$D35*'VALORES TABELA'!$B$50)</f>
        <v>#REF!</v>
      </c>
      <c r="J35" s="350" t="e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#REF!</v>
      </c>
      <c r="K35" s="350" t="e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#REF!</v>
      </c>
    </row>
    <row r="36" spans="1:11" ht="20.25" customHeight="1" x14ac:dyDescent="0.2">
      <c r="A36" t="s">
        <v>3306</v>
      </c>
      <c r="B36" t="s">
        <v>3364</v>
      </c>
      <c r="C36" t="s">
        <v>3403</v>
      </c>
      <c r="D36" s="349" t="e">
        <f>SUMIF('APONTAMENTO CREDENCIAMENTO'!$D$5:$D$4084,$A36,'APONTAMENTO CREDENCIAMENTO'!#REF!)</f>
        <v>#REF!</v>
      </c>
      <c r="E36" s="350" t="e">
        <f t="shared" si="1"/>
        <v>#REF!</v>
      </c>
      <c r="F36" s="350" t="e">
        <f>$D36*'VALORES TABELA'!$B$45*'VALORES TABELA'!$B$46</f>
        <v>#REF!</v>
      </c>
      <c r="G36" s="350" t="e">
        <f t="shared" si="2"/>
        <v>#REF!</v>
      </c>
      <c r="H36" s="350" t="e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6" s="350" t="e">
        <f>IF($C36=$C35,($D36+$D35)*'VALORES TABELA'!$B$50-$E35,$D36*'VALORES TABELA'!$B$50)</f>
        <v>#REF!</v>
      </c>
      <c r="J36" s="350" t="e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#REF!</v>
      </c>
      <c r="K36" s="350" t="e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#REF!</v>
      </c>
    </row>
    <row r="37" spans="1:11" ht="20.25" customHeight="1" x14ac:dyDescent="0.2">
      <c r="A37" t="s">
        <v>3310</v>
      </c>
      <c r="B37" t="s">
        <v>3365</v>
      </c>
      <c r="C37" t="s">
        <v>3404</v>
      </c>
      <c r="D37" s="349" t="e">
        <f>SUMIF('APONTAMENTO CREDENCIAMENTO'!$D$5:$D$4084,$A37,'APONTAMENTO CREDENCIAMENTO'!#REF!)</f>
        <v>#REF!</v>
      </c>
      <c r="E37" s="350" t="e">
        <f t="shared" si="1"/>
        <v>#REF!</v>
      </c>
      <c r="F37" s="350" t="e">
        <f>$D37*'VALORES TABELA'!$B$45*'VALORES TABELA'!$B$46</f>
        <v>#REF!</v>
      </c>
      <c r="G37" s="350" t="e">
        <f t="shared" si="2"/>
        <v>#REF!</v>
      </c>
      <c r="H37" s="350" t="e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7" s="350" t="e">
        <f>IF($C37=$C36,($D37+$D36)*'VALORES TABELA'!$B$50-$E36,$D37*'VALORES TABELA'!$B$50)</f>
        <v>#REF!</v>
      </c>
      <c r="J37" s="350" t="e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#REF!</v>
      </c>
      <c r="K37" s="350" t="e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#REF!</v>
      </c>
    </row>
    <row r="38" spans="1:11" ht="20.25" customHeight="1" x14ac:dyDescent="0.2">
      <c r="A38" t="s">
        <v>3314</v>
      </c>
      <c r="B38" t="s">
        <v>3366</v>
      </c>
      <c r="C38" t="s">
        <v>3405</v>
      </c>
      <c r="D38" s="349" t="e">
        <f>SUMIF('APONTAMENTO CREDENCIAMENTO'!$D$5:$D$4084,$A38,'APONTAMENTO CREDENCIAMENTO'!#REF!)</f>
        <v>#REF!</v>
      </c>
      <c r="E38" s="350" t="e">
        <f t="shared" si="1"/>
        <v>#REF!</v>
      </c>
      <c r="F38" s="350" t="e">
        <f>$D38*'VALORES TABELA'!$B$45*'VALORES TABELA'!$B$46</f>
        <v>#REF!</v>
      </c>
      <c r="G38" s="350" t="e">
        <f t="shared" si="2"/>
        <v>#REF!</v>
      </c>
      <c r="H38" s="350" t="e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8" s="350" t="e">
        <f>IF($C38=$C37,($D38+$D37)*'VALORES TABELA'!$B$50-$E37,$D38*'VALORES TABELA'!$B$50)</f>
        <v>#REF!</v>
      </c>
      <c r="J38" s="350" t="e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#REF!</v>
      </c>
      <c r="K38" s="350" t="e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#REF!</v>
      </c>
    </row>
    <row r="39" spans="1:11" ht="20.25" customHeight="1" x14ac:dyDescent="0.2">
      <c r="A39" t="s">
        <v>3318</v>
      </c>
      <c r="B39" t="s">
        <v>3367</v>
      </c>
      <c r="C39" t="s">
        <v>3406</v>
      </c>
      <c r="D39" s="349" t="e">
        <f>SUMIF('APONTAMENTO CREDENCIAMENTO'!$D$5:$D$4084,$A39,'APONTAMENTO CREDENCIAMENTO'!#REF!)</f>
        <v>#REF!</v>
      </c>
      <c r="E39" s="350" t="e">
        <f t="shared" si="1"/>
        <v>#REF!</v>
      </c>
      <c r="F39" s="350" t="e">
        <f>$D39*'VALORES TABELA'!$B$45*'VALORES TABELA'!$B$46</f>
        <v>#REF!</v>
      </c>
      <c r="G39" s="350" t="e">
        <f t="shared" si="2"/>
        <v>#REF!</v>
      </c>
      <c r="H39" s="350" t="e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39" s="350" t="e">
        <f>IF($C39=$C38,($D39+$D38)*'VALORES TABELA'!$B$50-$E38,$D39*'VALORES TABELA'!$B$50)</f>
        <v>#REF!</v>
      </c>
      <c r="J39" s="350" t="e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#REF!</v>
      </c>
      <c r="K39" s="350" t="e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#REF!</v>
      </c>
    </row>
    <row r="40" spans="1:11" ht="20.25" customHeight="1" x14ac:dyDescent="0.2">
      <c r="A40" t="s">
        <v>3322</v>
      </c>
      <c r="B40" t="s">
        <v>3368</v>
      </c>
      <c r="C40" t="s">
        <v>3407</v>
      </c>
      <c r="D40" s="349" t="e">
        <f>SUMIF('APONTAMENTO CREDENCIAMENTO'!$D$5:$D$4084,$A40,'APONTAMENTO CREDENCIAMENTO'!#REF!)</f>
        <v>#REF!</v>
      </c>
      <c r="E40" s="350" t="e">
        <f t="shared" si="1"/>
        <v>#REF!</v>
      </c>
      <c r="F40" s="350" t="e">
        <f>$D40*'VALORES TABELA'!$B$45*'VALORES TABELA'!$B$46</f>
        <v>#REF!</v>
      </c>
      <c r="G40" s="350" t="e">
        <f t="shared" si="2"/>
        <v>#REF!</v>
      </c>
      <c r="H40" s="350" t="e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40" s="350" t="e">
        <f>IF($C40=$C39,($D40+$D39)*'VALORES TABELA'!$B$50-$E39,$D40*'VALORES TABELA'!$B$50)</f>
        <v>#REF!</v>
      </c>
      <c r="J40" s="350" t="e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#REF!</v>
      </c>
      <c r="K40" s="350" t="e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#REF!</v>
      </c>
    </row>
    <row r="41" spans="1:11" ht="20.25" customHeight="1" x14ac:dyDescent="0.2">
      <c r="A41" t="s">
        <v>3326</v>
      </c>
      <c r="B41" t="s">
        <v>3369</v>
      </c>
      <c r="C41" t="s">
        <v>3408</v>
      </c>
      <c r="D41" s="349" t="e">
        <f>SUMIF('APONTAMENTO CREDENCIAMENTO'!$D$5:$D$4084,$A41,'APONTAMENTO CREDENCIAMENTO'!#REF!)</f>
        <v>#REF!</v>
      </c>
      <c r="E41" s="350" t="e">
        <f t="shared" si="1"/>
        <v>#REF!</v>
      </c>
      <c r="F41" s="350" t="e">
        <f>$D41*'VALORES TABELA'!$B$45*'VALORES TABELA'!$B$46</f>
        <v>#REF!</v>
      </c>
      <c r="G41" s="350" t="e">
        <f t="shared" si="2"/>
        <v>#REF!</v>
      </c>
      <c r="H41" s="350" t="e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41" s="350" t="e">
        <f>IF($C41=$C40,($D41+$D40)*'VALORES TABELA'!$B$50-$E40,$D41*'VALORES TABELA'!$B$50)</f>
        <v>#REF!</v>
      </c>
      <c r="J41" s="350" t="e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#REF!</v>
      </c>
      <c r="K41" s="350" t="e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#REF!</v>
      </c>
    </row>
    <row r="42" spans="1:11" ht="20.25" customHeight="1" x14ac:dyDescent="0.2">
      <c r="A42" t="s">
        <v>3330</v>
      </c>
      <c r="B42" t="s">
        <v>3370</v>
      </c>
      <c r="C42" t="s">
        <v>3409</v>
      </c>
      <c r="D42" s="349" t="e">
        <f>SUMIF('APONTAMENTO CREDENCIAMENTO'!$D$5:$D$4084,$A42,'APONTAMENTO CREDENCIAMENTO'!#REF!)</f>
        <v>#REF!</v>
      </c>
      <c r="E42" s="350" t="e">
        <f t="shared" si="1"/>
        <v>#REF!</v>
      </c>
      <c r="F42" s="350" t="e">
        <f>$D42*'VALORES TABELA'!$B$45*'VALORES TABELA'!$B$46</f>
        <v>#REF!</v>
      </c>
      <c r="G42" s="350" t="e">
        <f t="shared" si="2"/>
        <v>#REF!</v>
      </c>
      <c r="H42" s="350" t="e">
        <f>_xlfn.LET(_xlpm.base,G42,_xlpm.bruto,E42+G42,_xlpm.ir_normal,IF(_xlpm.base&lt;='VALORES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#REF!</v>
      </c>
      <c r="I42" s="350" t="e">
        <f>IF($C42=$C41,($D42+$D41)*'VALORES TABELA'!$B$50-$E41,$D42*'VALORES TABELA'!$B$50)</f>
        <v>#REF!</v>
      </c>
      <c r="J42" s="350" t="e">
        <f>IF(($G42-E42)&lt;='VALORES TABELA'!$A$56,0,IF(($G42-$E42)&lt;='VALORES TABELA'!$A$57,($G42-$E42)*'VALORES TABELA'!$B$57-'VALORES TABELA'!$C$57,IF(($G42-$E42)&lt;='VALORES TABELA'!$A$58,($G42-$E42)*'VALORES TABELA'!$B$58-'VALORES TABELA'!$C$58,IF(($G42-$E42)&lt;='VALORES TABELA'!$A$59,($G42-$E42)*'VALORES TABELA'!$B$59-'VALORES TABELA'!$C$59,($G42-$E42)*'VALORES TABELA'!$B$60-'VALORES TABELA'!$C$60))))</f>
        <v>#REF!</v>
      </c>
      <c r="K42" s="350" t="e">
        <f>IF(($I42-$E42)&lt;='VALORES TABELA'!$A$56,0,IF(($I42-$E42)&lt;='VALORES TABELA'!$A$57,($I42-$E42)*'VALORES TABELA'!$B$57-'VALORES TABELA'!$C$57,IF(($I42-$E42)&lt;='VALORES TABELA'!$A$58,($I42-$E42)*'VALORES TABELA'!$B$58-'VALORES TABELA'!$C$58,IF(($I42-$E42)&lt;='VALORES TABELA'!$A$59,($I42-$E42)*'VALORES TABELA'!$B$59-'VALORES TABELA'!$C$59,($I42-$E42)*'VALORES TABELA'!$B$60-'VALORES TABELA'!$C$60))))-J41</f>
        <v>#REF!</v>
      </c>
    </row>
    <row r="43" spans="1:11" ht="20.25" customHeight="1" x14ac:dyDescent="0.2">
      <c r="A43"/>
      <c r="B43"/>
      <c r="C43"/>
    </row>
    <row r="44" spans="1:11" ht="20.25" customHeight="1" x14ac:dyDescent="0.2">
      <c r="A44"/>
      <c r="B44"/>
      <c r="C44"/>
    </row>
    <row r="45" spans="1:11" ht="20.25" customHeight="1" x14ac:dyDescent="0.2">
      <c r="A45"/>
      <c r="B45"/>
      <c r="C45"/>
    </row>
    <row r="46" spans="1:11" ht="20.25" customHeight="1" x14ac:dyDescent="0.2">
      <c r="A46"/>
      <c r="B46"/>
      <c r="C46"/>
    </row>
    <row r="47" spans="1:11" ht="20.25" customHeight="1" x14ac:dyDescent="0.2">
      <c r="A47"/>
      <c r="B47"/>
      <c r="C47"/>
    </row>
    <row r="48" spans="1:11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C1:C2"/>
    <mergeCell ref="D1:D2"/>
    <mergeCell ref="E1:E2"/>
    <mergeCell ref="F1:F2"/>
    <mergeCell ref="A1:A2"/>
    <mergeCell ref="K1:K2"/>
    <mergeCell ref="G1:G2"/>
    <mergeCell ref="H1:H2"/>
    <mergeCell ref="I1:I2"/>
    <mergeCell ref="J1:J2"/>
  </mergeCells>
  <conditionalFormatting sqref="A1:B3">
    <cfRule type="duplicateValues" dxfId="148" priority="129860"/>
  </conditionalFormatting>
  <conditionalFormatting sqref="A141:B1048576 A1:A3 B1:B4">
    <cfRule type="duplicateValues" dxfId="147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48"/>
    <col min="3" max="3" width="14.42578125" style="48" customWidth="1"/>
    <col min="4" max="4" width="9.140625" style="48"/>
    <col min="5" max="5" width="14.42578125" style="48" customWidth="1"/>
    <col min="6" max="6" width="14.140625" style="48" customWidth="1"/>
    <col min="7" max="7" width="17.42578125" style="48" customWidth="1"/>
    <col min="8" max="8" width="10.7109375" style="48" bestFit="1" customWidth="1"/>
    <col min="9" max="9" width="25.28515625" style="48" customWidth="1"/>
    <col min="10" max="12" width="9.140625" style="48"/>
    <col min="13" max="13" width="11.7109375" style="48" customWidth="1"/>
    <col min="14" max="21" width="9.140625" style="48"/>
    <col min="22" max="22" width="0" style="48" hidden="1" customWidth="1"/>
    <col min="23" max="27" width="9.140625" style="48"/>
    <col min="28" max="31" width="0" style="48" hidden="1" customWidth="1"/>
    <col min="32" max="16384" width="9.140625" style="48"/>
  </cols>
  <sheetData>
    <row r="1" spans="1:46" s="10" customFormat="1" x14ac:dyDescent="0.2">
      <c r="J1" s="33"/>
      <c r="K1" s="33"/>
      <c r="L1" s="33"/>
      <c r="M1" s="33"/>
      <c r="N1" s="33"/>
      <c r="O1" s="33"/>
      <c r="P1" s="33"/>
      <c r="Q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</row>
    <row r="2" spans="1:46" s="10" customFormat="1" ht="6.75" customHeight="1" x14ac:dyDescent="0.25">
      <c r="A2" s="37"/>
      <c r="B2" s="37"/>
      <c r="C2" s="37"/>
      <c r="D2" s="37"/>
      <c r="E2" s="625"/>
      <c r="F2" s="625"/>
      <c r="G2" s="625"/>
      <c r="H2" s="625"/>
      <c r="I2" s="625"/>
      <c r="J2" s="33"/>
      <c r="K2" s="33"/>
      <c r="L2" s="33"/>
      <c r="M2" s="33"/>
      <c r="N2" s="626"/>
      <c r="O2" s="626"/>
      <c r="P2" s="626"/>
      <c r="Q2" s="626"/>
      <c r="R2" s="626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46" s="10" customFormat="1" ht="17.25" customHeight="1" x14ac:dyDescent="0.25">
      <c r="A3" s="37"/>
      <c r="B3" s="37"/>
      <c r="C3" s="37"/>
      <c r="D3" s="37"/>
      <c r="E3" s="627"/>
      <c r="F3" s="627"/>
      <c r="G3" s="627"/>
      <c r="H3" s="627"/>
      <c r="I3" s="627"/>
      <c r="J3" s="33"/>
      <c r="K3" s="33"/>
      <c r="L3" s="33"/>
      <c r="M3" s="33"/>
      <c r="N3" s="626"/>
      <c r="O3" s="626"/>
      <c r="P3" s="49"/>
      <c r="Q3" s="50"/>
      <c r="R3" s="95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</row>
    <row r="4" spans="1:46" s="10" customFormat="1" ht="37.5" customHeight="1" x14ac:dyDescent="0.25">
      <c r="A4" s="37"/>
      <c r="B4" s="37"/>
      <c r="C4" s="37"/>
      <c r="D4" s="37"/>
      <c r="E4" s="628"/>
      <c r="F4" s="628"/>
      <c r="G4" s="628"/>
      <c r="H4" s="628"/>
      <c r="I4" s="628"/>
      <c r="J4" s="33"/>
      <c r="K4" s="33"/>
      <c r="L4" s="33"/>
      <c r="M4" s="33"/>
      <c r="N4" s="51"/>
      <c r="O4" s="49"/>
      <c r="P4" s="49"/>
      <c r="Q4" s="50"/>
      <c r="R4" s="49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</row>
    <row r="5" spans="1:46" s="10" customFormat="1" ht="9" customHeight="1" x14ac:dyDescent="0.25">
      <c r="A5" s="37"/>
      <c r="B5" s="37"/>
      <c r="C5" s="37"/>
      <c r="D5" s="37"/>
      <c r="E5" s="37"/>
      <c r="F5" s="96"/>
      <c r="G5" s="96"/>
      <c r="H5" s="96"/>
      <c r="I5" s="96"/>
      <c r="J5" s="33"/>
      <c r="K5" s="33"/>
      <c r="L5" s="33"/>
      <c r="M5" s="33"/>
      <c r="N5" s="51"/>
      <c r="O5" s="49"/>
      <c r="P5" s="49"/>
      <c r="Q5" s="50"/>
      <c r="R5" s="49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</row>
    <row r="6" spans="1:46" s="10" customFormat="1" ht="9" customHeight="1" x14ac:dyDescent="0.25">
      <c r="A6" s="37"/>
      <c r="B6" s="37"/>
      <c r="C6" s="37"/>
      <c r="D6" s="37"/>
      <c r="E6" s="37"/>
      <c r="F6" s="96"/>
      <c r="G6" s="96"/>
      <c r="H6" s="96"/>
      <c r="I6" s="96"/>
      <c r="J6" s="33"/>
      <c r="K6" s="33"/>
      <c r="L6" s="33"/>
      <c r="M6" s="33"/>
      <c r="N6" s="51"/>
      <c r="O6" s="49"/>
      <c r="P6" s="49"/>
      <c r="Q6" s="50"/>
      <c r="R6" s="49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spans="1:46" s="10" customFormat="1" x14ac:dyDescent="0.2">
      <c r="A7" s="33"/>
      <c r="B7" s="33"/>
      <c r="C7" s="33"/>
      <c r="D7" s="33"/>
      <c r="E7" s="33"/>
      <c r="F7" s="33"/>
      <c r="G7" s="33"/>
      <c r="H7" s="33"/>
      <c r="I7" s="33"/>
    </row>
    <row r="8" spans="1:46" s="10" customFormat="1" x14ac:dyDescent="0.2">
      <c r="A8" s="33"/>
      <c r="B8" s="52"/>
      <c r="C8" s="33"/>
      <c r="D8" s="33"/>
      <c r="E8" s="33"/>
      <c r="F8" s="33"/>
      <c r="G8" s="33"/>
      <c r="H8" s="33"/>
      <c r="I8" s="33"/>
    </row>
    <row r="9" spans="1:46" s="10" customFormat="1" ht="16.5" thickBot="1" x14ac:dyDescent="0.3">
      <c r="A9" s="33"/>
      <c r="B9" s="624" t="s">
        <v>62</v>
      </c>
      <c r="C9" s="624"/>
      <c r="D9" s="624"/>
      <c r="E9" s="624"/>
      <c r="F9" s="624"/>
      <c r="G9" s="624"/>
      <c r="H9" s="624"/>
      <c r="I9" s="624"/>
    </row>
    <row r="10" spans="1:46" s="10" customFormat="1" ht="12.75" customHeight="1" thickBot="1" x14ac:dyDescent="0.25">
      <c r="A10" s="619" t="s">
        <v>63</v>
      </c>
      <c r="B10" s="620"/>
      <c r="C10" s="380" t="s">
        <v>11</v>
      </c>
      <c r="D10" s="620" t="s">
        <v>279</v>
      </c>
      <c r="E10" s="620"/>
      <c r="F10" s="379" t="s">
        <v>280</v>
      </c>
      <c r="G10" s="381" t="s">
        <v>278</v>
      </c>
      <c r="H10" s="379" t="s">
        <v>67</v>
      </c>
      <c r="I10" s="382" t="s">
        <v>68</v>
      </c>
    </row>
    <row r="11" spans="1:46" s="10" customFormat="1" ht="12.75" customHeight="1" x14ac:dyDescent="0.2">
      <c r="A11" s="372" t="str">
        <f>'BASE C'!B3</f>
        <v>2025/0012259</v>
      </c>
      <c r="B11" s="373"/>
      <c r="C11" s="374" t="str">
        <f>VLOOKUP(A11,ProcRel!A1:C5000,3,0)</f>
        <v>045.312-00</v>
      </c>
      <c r="D11" s="621" t="str">
        <f>VLOOKUP(A11,'APONTAMENTO CREDENCIAMENTO'!$D$6:$D$4084,1,FALSE)</f>
        <v>2025/0012259</v>
      </c>
      <c r="E11" s="621"/>
      <c r="F11" s="375">
        <f>SUMIF('APONTAMENTO CREDENCIAMENTO'!D$5:D$5187,A11,'APONTAMENTO CREDENCIAMENTO'!N$5:N$5187)</f>
        <v>0</v>
      </c>
      <c r="G11" s="376" t="e">
        <f>'EMPRESA C'!H16+'EMPRESA C'!I16+'EMPRESA C'!J16+'EMPRESA C'!K16+'EMPRESA C'!L16+'EMPRESA C'!M16</f>
        <v>#REF!</v>
      </c>
      <c r="H11" s="377" t="str">
        <f>'BASE C'!E4</f>
        <v>ABRIL</v>
      </c>
      <c r="I11" s="378" t="str">
        <f>'BASE C'!D2</f>
        <v>GUAIANASES</v>
      </c>
    </row>
    <row r="12" spans="1:46" s="10" customFormat="1" ht="12.75" customHeight="1" x14ac:dyDescent="0.2">
      <c r="A12" s="622" t="s">
        <v>69</v>
      </c>
      <c r="B12" s="623"/>
      <c r="C12" s="623"/>
      <c r="D12" s="623"/>
      <c r="E12" s="623"/>
      <c r="F12" s="602" t="s">
        <v>251</v>
      </c>
      <c r="G12" s="602"/>
      <c r="H12" s="602" t="s">
        <v>6</v>
      </c>
      <c r="I12" s="603"/>
    </row>
    <row r="13" spans="1:46" s="10" customFormat="1" ht="12.75" customHeight="1" thickBot="1" x14ac:dyDescent="0.25">
      <c r="A13" s="604" t="str">
        <f>VLOOKUP(A11,'APONTAMENTO CREDENCIAMENTO'!D1:J5187,6,FALSE)</f>
        <v>RENATO CROZARA DA SILVA</v>
      </c>
      <c r="B13" s="605"/>
      <c r="C13" s="605"/>
      <c r="D13" s="605"/>
      <c r="E13" s="606"/>
      <c r="F13" s="612" t="str">
        <f>VLOOKUP(A11,ProcRel1!E2:G5000,3,FALSE)</f>
        <v>444.008.978-00</v>
      </c>
      <c r="G13" s="612"/>
      <c r="H13" s="370" t="str">
        <f>'BASE C'!B4</f>
        <v>01/04/2026</v>
      </c>
      <c r="I13" s="371" t="str">
        <f>'BASE C'!C4</f>
        <v>30/04/2026</v>
      </c>
    </row>
    <row r="14" spans="1:46" s="10" customFormat="1" ht="12.75" customHeight="1" thickBot="1" x14ac:dyDescent="0.25">
      <c r="A14" s="607"/>
      <c r="B14" s="608"/>
      <c r="C14" s="608"/>
      <c r="D14" s="608"/>
      <c r="E14" s="608"/>
      <c r="F14" s="613" t="s">
        <v>71</v>
      </c>
      <c r="G14" s="614"/>
      <c r="H14" s="614" t="s">
        <v>72</v>
      </c>
      <c r="I14" s="615"/>
    </row>
    <row r="15" spans="1:46" s="10" customFormat="1" ht="12.75" customHeight="1" thickBot="1" x14ac:dyDescent="0.25">
      <c r="A15" s="609"/>
      <c r="B15" s="610"/>
      <c r="C15" s="610"/>
      <c r="D15" s="610"/>
      <c r="E15" s="611"/>
      <c r="F15" s="616" t="str">
        <f>VLOOKUP(A11,'APONTAMENTO CREDENCIAMENTO'!D1:O4082,12,FALSE)</f>
        <v>6020.2025/0012259-2</v>
      </c>
      <c r="G15" s="616"/>
      <c r="H15" s="617">
        <f>'VALORES TABELA'!B37</f>
        <v>46171</v>
      </c>
      <c r="I15" s="618"/>
    </row>
    <row r="16" spans="1:46" s="10" customFormat="1" ht="9.9499999999999993" customHeight="1" x14ac:dyDescent="0.2">
      <c r="A16" s="369"/>
      <c r="B16" s="369"/>
      <c r="C16" s="369"/>
      <c r="D16" s="369"/>
      <c r="E16" s="369"/>
      <c r="F16" s="369"/>
      <c r="G16" s="369"/>
      <c r="H16" s="369"/>
      <c r="I16" s="369"/>
    </row>
    <row r="17" spans="1:13" s="10" customFormat="1" ht="9.9499999999999993" customHeight="1" x14ac:dyDescent="0.2">
      <c r="A17" s="64"/>
      <c r="B17" s="65" t="s">
        <v>73</v>
      </c>
      <c r="C17" s="65"/>
      <c r="D17" s="65"/>
      <c r="E17" s="65"/>
      <c r="F17" s="65"/>
      <c r="G17" s="65"/>
      <c r="H17" s="65"/>
      <c r="I17" s="65"/>
    </row>
    <row r="18" spans="1:13" s="10" customFormat="1" ht="9.9499999999999993" customHeight="1" thickBot="1" x14ac:dyDescent="0.25">
      <c r="A18" s="64"/>
      <c r="B18" s="64"/>
      <c r="C18" s="64"/>
      <c r="D18" s="64"/>
      <c r="E18" s="64"/>
      <c r="F18" s="64"/>
      <c r="G18" s="64"/>
      <c r="H18" s="64"/>
      <c r="I18" s="64"/>
    </row>
    <row r="19" spans="1:13" s="10" customFormat="1" ht="15" customHeight="1" x14ac:dyDescent="0.2">
      <c r="A19" s="570" t="s">
        <v>74</v>
      </c>
      <c r="B19" s="571"/>
      <c r="C19" s="571"/>
      <c r="D19" s="571"/>
      <c r="E19" s="571"/>
      <c r="F19" s="571"/>
      <c r="G19" s="572"/>
      <c r="H19" s="573" t="s">
        <v>75</v>
      </c>
      <c r="I19" s="574"/>
    </row>
    <row r="20" spans="1:13" s="10" customFormat="1" ht="15" customHeight="1" x14ac:dyDescent="0.2">
      <c r="A20" s="383" t="s">
        <v>76</v>
      </c>
      <c r="B20" s="384" t="s">
        <v>277</v>
      </c>
      <c r="C20" s="385"/>
      <c r="D20" s="386"/>
      <c r="E20" s="385"/>
      <c r="F20" s="386"/>
      <c r="G20" s="385"/>
      <c r="H20" s="385"/>
      <c r="I20" s="408" t="e">
        <f>VLOOKUP(A11,'APONTAMENTO CREDENCIAMENTO'!$D$6:$T$4084,150,FALSE)</f>
        <v>#REF!</v>
      </c>
    </row>
    <row r="21" spans="1:13" s="10" customFormat="1" ht="15" customHeight="1" x14ac:dyDescent="0.2">
      <c r="A21" s="383" t="s">
        <v>77</v>
      </c>
      <c r="B21" s="384" t="s">
        <v>276</v>
      </c>
      <c r="C21" s="386"/>
      <c r="D21" s="386"/>
      <c r="E21" s="386"/>
      <c r="F21" s="411" t="s">
        <v>305</v>
      </c>
      <c r="G21" s="386"/>
      <c r="H21" s="386"/>
      <c r="I21" s="409" t="e">
        <f>SUMIF('APONTAMENTO CREDENCIAMENTO'!D$5:D$5187,A11,'APONTAMENTO CREDENCIAMENTO'!#REF!)</f>
        <v>#REF!</v>
      </c>
    </row>
    <row r="22" spans="1:13" s="10" customFormat="1" ht="15" customHeight="1" x14ac:dyDescent="0.2">
      <c r="A22" s="383" t="s">
        <v>78</v>
      </c>
      <c r="B22" s="387" t="s">
        <v>275</v>
      </c>
      <c r="C22" s="386"/>
      <c r="D22" s="388"/>
      <c r="E22" s="386"/>
      <c r="F22" s="388"/>
      <c r="G22" s="386"/>
      <c r="H22" s="386"/>
      <c r="I22" s="409" t="e">
        <f>SUMIF('APONTAMENTO CREDENCIAMENTO'!D5:D5187,A11,'APONTAMENTO CREDENCIAMENTO'!#REF!)</f>
        <v>#REF!</v>
      </c>
      <c r="K22" s="53"/>
    </row>
    <row r="23" spans="1:13" s="10" customFormat="1" ht="15" customHeight="1" x14ac:dyDescent="0.2">
      <c r="A23" s="383" t="s">
        <v>79</v>
      </c>
      <c r="B23" s="384" t="s">
        <v>274</v>
      </c>
      <c r="C23" s="386"/>
      <c r="D23" s="386"/>
      <c r="E23" s="386"/>
      <c r="F23" s="386"/>
      <c r="G23" s="386"/>
      <c r="H23" s="386"/>
      <c r="I23" s="409" t="e">
        <f>SUMIF('APONTAMENTO CREDENCIAMENTO'!D5:D5187,A11,'APONTAMENTO CREDENCIAMENTO'!#REF!)</f>
        <v>#REF!</v>
      </c>
      <c r="K23" s="53"/>
    </row>
    <row r="24" spans="1:13" s="10" customFormat="1" ht="15" customHeight="1" x14ac:dyDescent="0.2">
      <c r="A24" s="383" t="s">
        <v>80</v>
      </c>
      <c r="B24" s="384" t="s">
        <v>273</v>
      </c>
      <c r="C24" s="386"/>
      <c r="D24" s="386"/>
      <c r="E24" s="386"/>
      <c r="F24" s="386"/>
      <c r="G24" s="386"/>
      <c r="H24" s="386"/>
      <c r="I24" s="409" t="e">
        <f>SUMIF('APONTAMENTO CREDENCIAMENTO'!D5:D5187,A11,'APONTAMENTO CREDENCIAMENTO'!#REF!)</f>
        <v>#REF!</v>
      </c>
      <c r="K24" s="53"/>
    </row>
    <row r="25" spans="1:13" s="10" customFormat="1" ht="15" customHeight="1" x14ac:dyDescent="0.2">
      <c r="A25" s="383" t="s">
        <v>81</v>
      </c>
      <c r="B25" s="384" t="s">
        <v>272</v>
      </c>
      <c r="C25" s="386"/>
      <c r="D25" s="386"/>
      <c r="E25" s="386"/>
      <c r="F25" s="386"/>
      <c r="G25" s="386"/>
      <c r="H25" s="386"/>
      <c r="I25" s="409" t="e">
        <f>SUMIF('APONTAMENTO CREDENCIAMENTO'!D5:D5187,A11,'APONTAMENTO CREDENCIAMENTO'!#REF!)</f>
        <v>#REF!</v>
      </c>
      <c r="K25" s="53"/>
    </row>
    <row r="26" spans="1:13" s="10" customFormat="1" ht="15" customHeight="1" x14ac:dyDescent="0.2">
      <c r="A26" s="383" t="s">
        <v>82</v>
      </c>
      <c r="B26" s="389" t="s">
        <v>54</v>
      </c>
      <c r="C26" s="386"/>
      <c r="D26" s="390"/>
      <c r="E26" s="386"/>
      <c r="F26" s="390"/>
      <c r="G26" s="386"/>
      <c r="H26" s="386"/>
      <c r="I26" s="409" t="e">
        <f>VLOOKUP(A11,'APONTAMENTO CREDENCIAMENTO'!D5:T5187,230,0)</f>
        <v>#REF!</v>
      </c>
      <c r="K26" s="53"/>
      <c r="L26" s="40"/>
    </row>
    <row r="27" spans="1:13" s="10" customFormat="1" ht="15" customHeight="1" x14ac:dyDescent="0.2">
      <c r="A27" s="383" t="s">
        <v>83</v>
      </c>
      <c r="B27" s="389" t="s">
        <v>271</v>
      </c>
      <c r="C27" s="386"/>
      <c r="D27" s="390"/>
      <c r="E27" s="386"/>
      <c r="F27" s="390"/>
      <c r="G27" s="386"/>
      <c r="H27" s="386"/>
      <c r="I27" s="409" t="e">
        <f>VLOOKUP(A11,'APONTAMENTO CREDENCIAMENTO'!D5:T5187,231,0)*-1</f>
        <v>#REF!</v>
      </c>
      <c r="K27" s="53"/>
      <c r="M27" s="40"/>
    </row>
    <row r="28" spans="1:13" s="10" customFormat="1" ht="15" customHeight="1" x14ac:dyDescent="0.2">
      <c r="A28" s="383" t="s">
        <v>84</v>
      </c>
      <c r="B28" s="391" t="s">
        <v>270</v>
      </c>
      <c r="C28" s="386"/>
      <c r="D28" s="392"/>
      <c r="E28" s="386"/>
      <c r="F28" s="392"/>
      <c r="G28" s="386"/>
      <c r="H28" s="386"/>
      <c r="I28" s="409" t="e">
        <f>VLOOKUP(A11,'APONTAMENTO CREDENCIAMENTO'!D5:T5187,232,0)*-1</f>
        <v>#REF!</v>
      </c>
    </row>
    <row r="29" spans="1:13" s="10" customFormat="1" ht="15" customHeight="1" x14ac:dyDescent="0.2">
      <c r="A29" s="383" t="s">
        <v>85</v>
      </c>
      <c r="B29" s="416" t="s">
        <v>269</v>
      </c>
      <c r="C29" s="417"/>
      <c r="D29" s="412"/>
      <c r="E29" s="419">
        <f>SUMIF('APONTAMENTO CREDENCIAMENTO'!D5:D5187,A11,'APONTAMENTO CREDENCIAMENTO'!L5:L5187)</f>
        <v>0</v>
      </c>
      <c r="F29" s="420" t="s">
        <v>306</v>
      </c>
      <c r="G29" s="421">
        <f>SUMIF('APONTAMENTO CREDENCIAMENTO'!D5:D5187,A11,'APONTAMENTO CREDENCIAMENTO'!M5:M5187)</f>
        <v>0</v>
      </c>
      <c r="H29" s="418" t="s">
        <v>139</v>
      </c>
      <c r="I29" s="409" t="e">
        <f>SUMIF('APONTAMENTO CREDENCIAMENTO'!D5:D5187,A11,'APONTAMENTO CREDENCIAMENTO'!#REF!)</f>
        <v>#REF!</v>
      </c>
      <c r="K29" s="53"/>
    </row>
    <row r="30" spans="1:13" s="10" customFormat="1" ht="15" customHeight="1" x14ac:dyDescent="0.2">
      <c r="A30" s="383" t="s">
        <v>268</v>
      </c>
      <c r="B30" s="413" t="s">
        <v>267</v>
      </c>
      <c r="C30" s="414"/>
      <c r="D30" s="415"/>
      <c r="E30" s="414"/>
      <c r="F30" s="415"/>
      <c r="G30" s="414"/>
      <c r="H30" s="414"/>
      <c r="I30" s="409" t="e">
        <f>SUMIF('APONTAMENTO CREDENCIAMENTO'!D5:D5187,A11,'APONTAMENTO CREDENCIAMENTO'!#REF!)</f>
        <v>#REF!</v>
      </c>
      <c r="M30" s="53"/>
    </row>
    <row r="31" spans="1:13" s="10" customFormat="1" ht="15" customHeight="1" x14ac:dyDescent="0.2">
      <c r="A31" s="383" t="s">
        <v>86</v>
      </c>
      <c r="B31" s="394" t="s">
        <v>266</v>
      </c>
      <c r="C31" s="393"/>
      <c r="D31" s="393"/>
      <c r="E31" s="393"/>
      <c r="F31" s="393"/>
      <c r="G31" s="393"/>
      <c r="H31" s="393"/>
      <c r="I31" s="410" t="e">
        <f>(I20+I21+I22+I23+I24+I25+I26+I27+I28+I29+I30)</f>
        <v>#REF!</v>
      </c>
      <c r="L31" s="53"/>
    </row>
    <row r="32" spans="1:13" s="10" customFormat="1" ht="15" customHeight="1" x14ac:dyDescent="0.2">
      <c r="A32" s="383" t="s">
        <v>87</v>
      </c>
      <c r="B32" s="389" t="s">
        <v>265</v>
      </c>
      <c r="C32" s="395"/>
      <c r="D32" s="390"/>
      <c r="E32" s="395"/>
      <c r="F32" s="390"/>
      <c r="G32" s="395"/>
      <c r="H32" s="395"/>
      <c r="I32" s="409" t="e">
        <f>VLOOKUP(A11,'ATESTE-LIQ-FIS'!A4:K3898,5,0)*-1</f>
        <v>#REF!</v>
      </c>
    </row>
    <row r="33" spans="1:12" s="10" customFormat="1" x14ac:dyDescent="0.2">
      <c r="A33" s="383" t="s">
        <v>89</v>
      </c>
      <c r="B33" s="389" t="s">
        <v>264</v>
      </c>
      <c r="C33" s="390"/>
      <c r="D33" s="390"/>
      <c r="E33" s="390"/>
      <c r="F33" s="390"/>
      <c r="G33" s="390"/>
      <c r="H33" s="390"/>
      <c r="I33" s="409" t="e">
        <f>VLOOKUP(A11,'ATESTE-LIQ-FIS'!A4:K3898,6,0)*-1</f>
        <v>#REF!</v>
      </c>
    </row>
    <row r="34" spans="1:12" s="10" customFormat="1" x14ac:dyDescent="0.2">
      <c r="A34" s="383" t="s">
        <v>91</v>
      </c>
      <c r="B34" s="389" t="s">
        <v>92</v>
      </c>
      <c r="C34" s="390"/>
      <c r="D34" s="389"/>
      <c r="E34" s="390"/>
      <c r="F34" s="390"/>
      <c r="G34" s="390"/>
      <c r="H34" s="390"/>
      <c r="I34" s="406" t="e">
        <f>-MIN('Cálculo IRRF -Jan.2026'!D33:F33)</f>
        <v>#REF!</v>
      </c>
    </row>
    <row r="35" spans="1:12" s="10" customFormat="1" x14ac:dyDescent="0.2">
      <c r="A35" s="383" t="s">
        <v>93</v>
      </c>
      <c r="B35" s="389" t="s">
        <v>262</v>
      </c>
      <c r="C35" s="390"/>
      <c r="D35" s="389"/>
      <c r="E35" s="390"/>
      <c r="F35" s="390"/>
      <c r="G35" s="390"/>
      <c r="H35" s="390"/>
      <c r="I35" s="406">
        <v>0</v>
      </c>
    </row>
    <row r="36" spans="1:12" s="10" customFormat="1" x14ac:dyDescent="0.2">
      <c r="A36" s="383" t="s">
        <v>263</v>
      </c>
      <c r="B36" s="394" t="s">
        <v>261</v>
      </c>
      <c r="C36" s="393"/>
      <c r="D36" s="394"/>
      <c r="E36" s="396"/>
      <c r="F36" s="393"/>
      <c r="G36" s="393"/>
      <c r="H36" s="393"/>
      <c r="I36" s="407" t="e">
        <f>SUM(H31:I35)</f>
        <v>#REF!</v>
      </c>
    </row>
    <row r="37" spans="1:12" s="10" customFormat="1" x14ac:dyDescent="0.2">
      <c r="A37" s="578" t="s">
        <v>95</v>
      </c>
      <c r="B37" s="579" t="e">
        <f>VLOOKUP(A11,'APONTAMENTO CREDENCIAMENTO'!D1:T4082,138,FALSE)</f>
        <v>#REF!</v>
      </c>
      <c r="C37" s="579"/>
      <c r="D37" s="579"/>
      <c r="E37" s="579"/>
      <c r="F37" s="579"/>
      <c r="G37" s="579"/>
      <c r="H37" s="579"/>
      <c r="I37" s="580"/>
    </row>
    <row r="38" spans="1:12" s="10" customFormat="1" ht="30.75" customHeight="1" x14ac:dyDescent="0.2">
      <c r="A38" s="578"/>
      <c r="B38" s="579"/>
      <c r="C38" s="579"/>
      <c r="D38" s="579"/>
      <c r="E38" s="579"/>
      <c r="F38" s="579"/>
      <c r="G38" s="579"/>
      <c r="H38" s="579"/>
      <c r="I38" s="580"/>
    </row>
    <row r="39" spans="1:12" s="10" customFormat="1" ht="20.100000000000001" customHeight="1" x14ac:dyDescent="0.2">
      <c r="A39" s="578" t="s">
        <v>96</v>
      </c>
      <c r="B39" s="582" t="e">
        <f>VLOOKUP(A11,'APONTAMENTO CREDENCIAMENTO'!D1:T4082,139,FALSE)</f>
        <v>#REF!</v>
      </c>
      <c r="C39" s="583"/>
      <c r="D39" s="583"/>
      <c r="E39" s="583"/>
      <c r="F39" s="583"/>
      <c r="G39" s="583"/>
      <c r="H39" s="583"/>
      <c r="I39" s="584"/>
    </row>
    <row r="40" spans="1:12" s="10" customFormat="1" ht="20.100000000000001" customHeight="1" thickBot="1" x14ac:dyDescent="0.25">
      <c r="A40" s="581"/>
      <c r="B40" s="585"/>
      <c r="C40" s="586"/>
      <c r="D40" s="586"/>
      <c r="E40" s="586"/>
      <c r="F40" s="586"/>
      <c r="G40" s="586"/>
      <c r="H40" s="586"/>
      <c r="I40" s="587"/>
    </row>
    <row r="41" spans="1:12" s="10" customFormat="1" ht="20.100000000000001" customHeight="1" x14ac:dyDescent="0.2">
      <c r="A41" s="33"/>
      <c r="B41" s="66"/>
      <c r="C41" s="66"/>
      <c r="D41" s="66"/>
      <c r="E41" s="66"/>
      <c r="F41" s="66"/>
      <c r="G41" s="66"/>
      <c r="H41" s="66"/>
      <c r="I41" s="66"/>
      <c r="L41"/>
    </row>
    <row r="42" spans="1:12" s="10" customFormat="1" x14ac:dyDescent="0.2">
      <c r="A42" s="33"/>
      <c r="B42" s="588" t="s">
        <v>98</v>
      </c>
      <c r="C42" s="588"/>
      <c r="D42" s="588"/>
      <c r="E42" s="588"/>
      <c r="F42" s="588"/>
      <c r="G42" s="588"/>
      <c r="H42" s="588"/>
      <c r="I42" s="588"/>
    </row>
    <row r="43" spans="1:12" s="10" customFormat="1" ht="12.75" customHeight="1" thickBot="1" x14ac:dyDescent="0.25">
      <c r="A43" s="33"/>
      <c r="B43" s="94"/>
      <c r="C43" s="94"/>
      <c r="D43" s="94"/>
      <c r="E43" s="94"/>
      <c r="F43" s="94"/>
      <c r="G43" s="94"/>
      <c r="H43" s="94"/>
      <c r="I43" s="94"/>
    </row>
    <row r="44" spans="1:12" s="10" customFormat="1" ht="30" customHeight="1" x14ac:dyDescent="0.2">
      <c r="A44" s="366" t="s">
        <v>296</v>
      </c>
      <c r="B44" s="563"/>
      <c r="C44" s="367" t="s">
        <v>297</v>
      </c>
      <c r="D44" s="367"/>
      <c r="E44" s="367" t="s">
        <v>298</v>
      </c>
      <c r="F44" s="367"/>
      <c r="G44" s="367" t="s">
        <v>299</v>
      </c>
      <c r="H44" s="367"/>
      <c r="I44" s="368" t="s">
        <v>31</v>
      </c>
    </row>
    <row r="45" spans="1:12" s="10" customFormat="1" ht="20.100000000000001" customHeight="1" thickBot="1" x14ac:dyDescent="0.25">
      <c r="A45" s="397" t="e">
        <f>SUMIF('APONTAMENTO CREDENCIAMENTO'!D5:D5187,A11,'APONTAMENTO CREDENCIAMENTO'!#REF!)</f>
        <v>#REF!</v>
      </c>
      <c r="B45" s="397"/>
      <c r="C45" s="398" t="e">
        <f>SUMIF('APONTAMENTO CREDENCIAMENTO'!D5:D5187,A11,'APONTAMENTO CREDENCIAMENTO'!#REF!)</f>
        <v>#REF!</v>
      </c>
      <c r="D45" s="398"/>
      <c r="E45" s="398" t="e">
        <f>SUMIF('APONTAMENTO CREDENCIAMENTO'!D5:D5187,A11,'APONTAMENTO CREDENCIAMENTO'!#REF!)</f>
        <v>#REF!</v>
      </c>
      <c r="F45" s="398"/>
      <c r="G45" s="398" t="e">
        <f>SUMIF('APONTAMENTO CREDENCIAMENTO'!D5:D5187,A11,'APONTAMENTO CREDENCIAMENTO'!#REF!)</f>
        <v>#REF!</v>
      </c>
      <c r="H45" s="398"/>
      <c r="I45" s="399" t="e">
        <f>SUM(A45:H45)</f>
        <v>#REF!</v>
      </c>
    </row>
    <row r="46" spans="1:12" s="10" customFormat="1" ht="20.100000000000001" customHeight="1" x14ac:dyDescent="0.2">
      <c r="A46" s="33"/>
      <c r="B46" s="66"/>
      <c r="C46" s="66"/>
      <c r="D46" s="66"/>
      <c r="E46" s="66"/>
      <c r="F46" s="66"/>
      <c r="G46" s="66"/>
      <c r="H46" s="66"/>
      <c r="I46" s="66"/>
    </row>
    <row r="47" spans="1:12" s="10" customFormat="1" ht="20.100000000000001" customHeight="1" x14ac:dyDescent="0.2">
      <c r="A47" s="33"/>
      <c r="B47" s="588" t="s">
        <v>300</v>
      </c>
      <c r="C47" s="588"/>
      <c r="D47" s="588"/>
      <c r="E47" s="588"/>
      <c r="F47" s="588"/>
      <c r="G47" s="588"/>
      <c r="H47" s="588"/>
      <c r="I47" s="588"/>
    </row>
    <row r="48" spans="1:12" s="10" customFormat="1" ht="12" customHeight="1" x14ac:dyDescent="0.2">
      <c r="A48" s="33"/>
      <c r="B48" s="94"/>
      <c r="C48" s="94"/>
      <c r="D48" s="94"/>
      <c r="E48" s="94"/>
      <c r="F48" s="94"/>
      <c r="G48" s="94"/>
      <c r="H48" s="94"/>
      <c r="I48" s="94"/>
    </row>
    <row r="49" spans="1:9" ht="15" customHeight="1" x14ac:dyDescent="0.2">
      <c r="A49" s="589" t="s">
        <v>99</v>
      </c>
      <c r="B49" s="590"/>
      <c r="C49" s="590"/>
      <c r="D49" s="590"/>
      <c r="E49" s="591"/>
      <c r="F49" s="591"/>
      <c r="G49" s="591"/>
      <c r="H49" s="591"/>
      <c r="I49" s="592"/>
    </row>
    <row r="50" spans="1:9" ht="12.75" customHeight="1" x14ac:dyDescent="0.2">
      <c r="A50" s="593" t="s">
        <v>142</v>
      </c>
      <c r="B50" s="594"/>
      <c r="C50" s="594"/>
      <c r="D50" s="594"/>
      <c r="E50" s="594"/>
      <c r="F50" s="594"/>
      <c r="G50" s="594"/>
      <c r="H50" s="594"/>
      <c r="I50" s="595"/>
    </row>
    <row r="51" spans="1:9" ht="12.75" customHeight="1" x14ac:dyDescent="0.2">
      <c r="A51" s="200" t="s">
        <v>143</v>
      </c>
      <c r="B51" s="67"/>
      <c r="C51" s="67"/>
      <c r="D51" s="67"/>
      <c r="E51" s="67"/>
      <c r="F51" s="67"/>
      <c r="G51" s="67"/>
      <c r="H51" s="67"/>
      <c r="I51" s="68"/>
    </row>
    <row r="52" spans="1:9" ht="12.75" customHeight="1" x14ac:dyDescent="0.2">
      <c r="A52" s="197" t="s">
        <v>144</v>
      </c>
      <c r="B52" s="70"/>
      <c r="C52" s="70"/>
      <c r="D52" s="70"/>
      <c r="E52" s="70"/>
      <c r="F52" s="70"/>
      <c r="G52" s="70"/>
      <c r="H52" s="70"/>
      <c r="I52" s="198"/>
    </row>
    <row r="53" spans="1:9" ht="12.75" customHeight="1" x14ac:dyDescent="0.2">
      <c r="A53" s="363" t="s">
        <v>301</v>
      </c>
      <c r="B53" s="70"/>
      <c r="C53" s="70"/>
      <c r="D53" s="70"/>
      <c r="E53" s="70"/>
      <c r="F53" s="70"/>
      <c r="G53" s="199">
        <f>$H$13+1-1</f>
        <v>46113</v>
      </c>
      <c r="H53" s="254"/>
      <c r="I53" s="75"/>
    </row>
    <row r="54" spans="1:9" ht="12.75" customHeight="1" x14ac:dyDescent="0.2">
      <c r="A54" s="363" t="s">
        <v>304</v>
      </c>
      <c r="B54" s="70"/>
      <c r="C54" s="70"/>
      <c r="D54" s="70"/>
      <c r="E54" s="70"/>
      <c r="F54" s="70"/>
      <c r="G54" s="199">
        <f>G53</f>
        <v>46113</v>
      </c>
      <c r="H54" s="70"/>
      <c r="I54" s="74"/>
    </row>
    <row r="55" spans="1:9" ht="12.75" customHeight="1" x14ac:dyDescent="0.2">
      <c r="A55" s="363" t="s">
        <v>145</v>
      </c>
      <c r="B55" s="70"/>
      <c r="C55" s="70"/>
      <c r="D55" s="70"/>
      <c r="E55" s="70"/>
      <c r="F55" s="70"/>
      <c r="H55" s="70"/>
      <c r="I55" s="75"/>
    </row>
    <row r="56" spans="1:9" ht="15.75" x14ac:dyDescent="0.2">
      <c r="A56" s="596" t="s">
        <v>100</v>
      </c>
      <c r="B56" s="597"/>
      <c r="C56" s="597"/>
      <c r="D56" s="597"/>
      <c r="E56" s="597"/>
      <c r="F56" s="597"/>
      <c r="G56" s="597"/>
      <c r="H56" s="597"/>
      <c r="I56" s="598"/>
    </row>
    <row r="57" spans="1:9" x14ac:dyDescent="0.2">
      <c r="A57" s="69"/>
      <c r="B57" s="70" t="s">
        <v>101</v>
      </c>
      <c r="C57" s="70"/>
      <c r="D57" s="70"/>
      <c r="E57" s="70" t="s">
        <v>102</v>
      </c>
      <c r="F57" s="70"/>
      <c r="G57" s="70"/>
      <c r="H57" s="70"/>
      <c r="I57" s="75"/>
    </row>
    <row r="58" spans="1:9" x14ac:dyDescent="0.2">
      <c r="A58" s="69"/>
      <c r="B58" s="70" t="s">
        <v>103</v>
      </c>
      <c r="C58" s="70"/>
      <c r="D58" s="70"/>
      <c r="E58" s="71" t="s">
        <v>104</v>
      </c>
      <c r="F58" s="70"/>
      <c r="G58" s="70"/>
      <c r="H58" s="70"/>
      <c r="I58" s="75"/>
    </row>
    <row r="59" spans="1:9" x14ac:dyDescent="0.2">
      <c r="A59" s="599" t="s">
        <v>105</v>
      </c>
      <c r="B59" s="600"/>
      <c r="C59" s="600"/>
      <c r="D59" s="600"/>
      <c r="E59" s="600"/>
      <c r="F59" s="600"/>
      <c r="G59" s="600"/>
      <c r="H59" s="600"/>
      <c r="I59" s="601"/>
    </row>
    <row r="60" spans="1:9" x14ac:dyDescent="0.2">
      <c r="A60" s="91"/>
      <c r="B60" s="70" t="s">
        <v>106</v>
      </c>
      <c r="C60" s="92"/>
      <c r="D60" s="92"/>
      <c r="E60" s="201" t="s">
        <v>107</v>
      </c>
      <c r="F60" s="92"/>
      <c r="G60" s="92"/>
      <c r="H60" s="92"/>
      <c r="I60" s="93"/>
    </row>
    <row r="61" spans="1:9" x14ac:dyDescent="0.2">
      <c r="A61" s="575" t="s">
        <v>108</v>
      </c>
      <c r="B61" s="576"/>
      <c r="C61" s="576"/>
      <c r="D61" s="576"/>
      <c r="E61" s="576"/>
      <c r="F61" s="576"/>
      <c r="G61" s="576"/>
      <c r="H61" s="576"/>
      <c r="I61" s="577"/>
    </row>
    <row r="62" spans="1:9" x14ac:dyDescent="0.2">
      <c r="A62" s="142"/>
      <c r="B62" s="140" t="s">
        <v>109</v>
      </c>
      <c r="C62" s="140"/>
      <c r="D62" s="140"/>
      <c r="E62" s="140"/>
      <c r="F62" s="140"/>
      <c r="G62" s="140"/>
      <c r="H62" s="140"/>
      <c r="I62" s="141"/>
    </row>
  </sheetData>
  <mergeCells count="31"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F12:G12"/>
    <mergeCell ref="H12:I12"/>
    <mergeCell ref="A13:E15"/>
    <mergeCell ref="F13:G13"/>
    <mergeCell ref="F14:G14"/>
    <mergeCell ref="H14:I14"/>
    <mergeCell ref="F15:G15"/>
    <mergeCell ref="H15:I15"/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</mergeCells>
  <conditionalFormatting sqref="C37:I38 B37:B39">
    <cfRule type="cellIs" dxfId="146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0" customWidth="1"/>
    <col min="2" max="3" width="12.7109375" style="10" bestFit="1" customWidth="1"/>
    <col min="4" max="4" width="14.28515625" style="10" customWidth="1"/>
    <col min="5" max="5" width="10.42578125" style="10" customWidth="1"/>
    <col min="6" max="6" width="1.42578125" style="10" customWidth="1"/>
    <col min="7" max="7" width="11.140625" style="10" customWidth="1"/>
    <col min="8" max="9" width="11.42578125" style="10" customWidth="1"/>
    <col min="10" max="10" width="10.28515625" style="10" customWidth="1"/>
    <col min="11" max="12" width="12" style="10" customWidth="1"/>
    <col min="13" max="13" width="11.42578125" style="10" customWidth="1"/>
    <col min="14" max="14" width="22" style="10" customWidth="1"/>
    <col min="15" max="15" width="19.7109375" style="10" customWidth="1"/>
    <col min="16" max="16" width="19.85546875" style="10" customWidth="1"/>
    <col min="17" max="17" width="21.42578125" style="10" customWidth="1"/>
    <col min="18" max="18" width="23" style="10" customWidth="1"/>
    <col min="19" max="19" width="22.140625" style="10" customWidth="1"/>
    <col min="20" max="20" width="23.7109375" style="10" customWidth="1"/>
    <col min="21" max="21" width="23.42578125" style="10" customWidth="1"/>
    <col min="22" max="22" width="22.28515625" style="10" customWidth="1"/>
    <col min="23" max="23" width="24" style="10" customWidth="1"/>
    <col min="24" max="24" width="19.140625" style="10" customWidth="1"/>
    <col min="25" max="25" width="21.42578125" style="10" customWidth="1"/>
    <col min="26" max="26" width="20.7109375" style="10" customWidth="1"/>
    <col min="27" max="27" width="20.140625" style="100" customWidth="1"/>
    <col min="28" max="28" width="20.42578125" style="10" customWidth="1"/>
    <col min="29" max="29" width="25.7109375" style="10" customWidth="1"/>
    <col min="30" max="16384" width="9.140625" style="10"/>
  </cols>
  <sheetData>
    <row r="7" spans="1:29" ht="27" customHeight="1" x14ac:dyDescent="0.2">
      <c r="B7" s="352" t="s">
        <v>171</v>
      </c>
      <c r="G7" s="353" t="str">
        <f>'BASE C'!D10</f>
        <v>RENATO CROZARA DA SILVA</v>
      </c>
    </row>
    <row r="8" spans="1:29" x14ac:dyDescent="0.2">
      <c r="D8" s="28"/>
      <c r="E8" s="28"/>
    </row>
    <row r="9" spans="1:29" x14ac:dyDescent="0.2">
      <c r="B9" s="28" t="s">
        <v>110</v>
      </c>
      <c r="D9" s="28" t="str">
        <f>'BASE C'!B3</f>
        <v>2025/0012259</v>
      </c>
      <c r="G9" s="28" t="s">
        <v>111</v>
      </c>
      <c r="H9" s="28" t="str">
        <f>'APONTAMENTO CREDENCIAMENTO'!A1</f>
        <v>Guaianases</v>
      </c>
      <c r="I9" s="28"/>
      <c r="J9" s="28"/>
      <c r="K9" s="28"/>
      <c r="L9" s="28"/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AB9" s="28"/>
    </row>
    <row r="10" spans="1:29" ht="15" x14ac:dyDescent="0.25">
      <c r="D10" s="28" t="s">
        <v>112</v>
      </c>
      <c r="E10" s="30" t="str">
        <f>'BASE C'!E4</f>
        <v>ABRIL</v>
      </c>
      <c r="G10" s="28" t="s">
        <v>6</v>
      </c>
      <c r="H10" s="31" t="str">
        <f>'BASE C'!N3</f>
        <v>01/04/2026</v>
      </c>
      <c r="I10" s="72" t="s">
        <v>113</v>
      </c>
      <c r="J10" s="31" t="str">
        <f>'BASE C'!O3</f>
        <v>30/04/2026</v>
      </c>
      <c r="K10" s="31"/>
      <c r="L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1:29" x14ac:dyDescent="0.2">
      <c r="G11" s="18"/>
    </row>
    <row r="12" spans="1:29" ht="15" customHeight="1" x14ac:dyDescent="0.2">
      <c r="A12" s="718" t="s">
        <v>41</v>
      </c>
      <c r="B12" s="720" t="s">
        <v>114</v>
      </c>
      <c r="C12" s="721"/>
      <c r="D12" s="718" t="s">
        <v>11</v>
      </c>
      <c r="E12" s="724" t="s">
        <v>115</v>
      </c>
      <c r="F12" s="725"/>
      <c r="G12" s="728" t="s">
        <v>116</v>
      </c>
      <c r="H12" s="729"/>
      <c r="I12" s="729"/>
      <c r="J12" s="729"/>
      <c r="K12" s="729"/>
      <c r="L12" s="729"/>
      <c r="M12" s="730"/>
      <c r="N12" s="715" t="s">
        <v>117</v>
      </c>
      <c r="O12" s="716"/>
      <c r="P12" s="716"/>
      <c r="Q12" s="716"/>
      <c r="R12" s="716"/>
      <c r="S12" s="716"/>
      <c r="T12" s="716"/>
      <c r="U12" s="716"/>
      <c r="V12" s="716"/>
      <c r="W12" s="716"/>
      <c r="X12" s="717"/>
      <c r="Y12" s="143" t="s">
        <v>140</v>
      </c>
      <c r="Z12" s="144" t="s">
        <v>118</v>
      </c>
      <c r="AA12" s="144" t="s">
        <v>119</v>
      </c>
      <c r="AB12" s="145" t="s">
        <v>9</v>
      </c>
      <c r="AC12" s="144" t="s">
        <v>120</v>
      </c>
    </row>
    <row r="13" spans="1:29" ht="87.75" customHeight="1" x14ac:dyDescent="0.2">
      <c r="A13" s="719"/>
      <c r="B13" s="722"/>
      <c r="C13" s="723"/>
      <c r="D13" s="719"/>
      <c r="E13" s="726"/>
      <c r="F13" s="727"/>
      <c r="G13" s="146" t="s">
        <v>46</v>
      </c>
      <c r="H13" s="422" t="s">
        <v>47</v>
      </c>
      <c r="I13" s="422" t="s">
        <v>121</v>
      </c>
      <c r="J13" s="422" t="s">
        <v>48</v>
      </c>
      <c r="K13" s="423" t="s">
        <v>49</v>
      </c>
      <c r="L13" s="423" t="s">
        <v>122</v>
      </c>
      <c r="M13" s="423" t="s">
        <v>50</v>
      </c>
      <c r="N13" s="90" t="s">
        <v>52</v>
      </c>
      <c r="O13" s="90" t="e">
        <f>'APONTAMENTO CREDENCIAMENTO'!#REF!</f>
        <v>#REF!</v>
      </c>
      <c r="P13" s="90" t="e">
        <f>'APONTAMENTO CREDENCIAMENTO'!#REF!</f>
        <v>#REF!</v>
      </c>
      <c r="Q13" s="90" t="e">
        <f>'APONTAMENTO CREDENCIAMENTO'!#REF!</f>
        <v>#REF!</v>
      </c>
      <c r="R13" s="90" t="e">
        <f>'APONTAMENTO CREDENCIAMENTO'!#REF!</f>
        <v>#REF!</v>
      </c>
      <c r="S13" s="90" t="s">
        <v>53</v>
      </c>
      <c r="T13" s="90" t="e">
        <f>'APONTAMENTO CREDENCIAMENTO'!#REF!</f>
        <v>#REF!</v>
      </c>
      <c r="U13" s="123" t="s">
        <v>54</v>
      </c>
      <c r="V13" s="123" t="s">
        <v>55</v>
      </c>
      <c r="W13" s="124" t="s">
        <v>56</v>
      </c>
      <c r="X13" s="124" t="s">
        <v>141</v>
      </c>
      <c r="Y13" s="149"/>
      <c r="Z13" s="150"/>
      <c r="AA13" s="150"/>
      <c r="AB13" s="151"/>
      <c r="AC13" s="150"/>
    </row>
    <row r="14" spans="1:29" s="79" customFormat="1" ht="30" customHeight="1" x14ac:dyDescent="0.2">
      <c r="A14" s="152" t="str">
        <f>VLOOKUP(D14,'BASE C'!$C$10:$E$5000,3,0)</f>
        <v>RENATO CROZARA DA SILVA</v>
      </c>
      <c r="B14" s="153" t="str">
        <f>VLOOKUP(D14,'APONTAMENTO CREDENCIAMENTO'!$A$6:$F$4085,6,0)</f>
        <v>01/04/2026</v>
      </c>
      <c r="C14" s="153" t="str">
        <f>VLOOKUP(D14,'APONTAMENTO CREDENCIAMENTO'!$A$6:$G$4085,7,0)</f>
        <v>30/04/2026</v>
      </c>
      <c r="D14" s="154" t="str">
        <f>'BASE C'!C10</f>
        <v>045.312-00</v>
      </c>
      <c r="E14" s="733" t="str">
        <f>'BASE C'!H10</f>
        <v>FYB7439</v>
      </c>
      <c r="F14" s="734"/>
      <c r="G14" s="154">
        <f>SUMIF('APONTAMENTO CREDENCIAMENTO'!$A$6:$A$4085,'EMPRESA C'!D14,'APONTAMENTO CREDENCIAMENTO'!$N$6:$N$4085)</f>
        <v>0</v>
      </c>
      <c r="H14" s="154" t="e">
        <f>SUMIF('APONTAMENTO CREDENCIAMENTO'!$A$6:$A$4085,'EMPRESA C'!D14,'APONTAMENTO CREDENCIAMENTO'!#REF!)</f>
        <v>#REF!</v>
      </c>
      <c r="I14" s="154" t="e">
        <f>SUMIF('APONTAMENTO CREDENCIAMENTO'!$A$6:$A$4085,'EMPRESA C'!D14,'APONTAMENTO CREDENCIAMENTO'!#REF!)</f>
        <v>#REF!</v>
      </c>
      <c r="J14" s="154" t="e">
        <f>SUMIF('APONTAMENTO CREDENCIAMENTO'!$A$6:$A$4085,'EMPRESA C'!D14,'APONTAMENTO CREDENCIAMENTO'!#REF!)</f>
        <v>#REF!</v>
      </c>
      <c r="K14" s="154" t="e">
        <f>SUMIF('APONTAMENTO CREDENCIAMENTO'!$A$6:$A$4085,'EMPRESA C'!D14,'APONTAMENTO CREDENCIAMENTO'!#REF!)</f>
        <v>#REF!</v>
      </c>
      <c r="L14" s="154" t="e">
        <f>SUMIF('APONTAMENTO CREDENCIAMENTO'!$A$6:$A$4085,'EMPRESA C'!D14,'APONTAMENTO CREDENCIAMENTO'!#REF!)</f>
        <v>#REF!</v>
      </c>
      <c r="M14" s="154" t="e">
        <f>SUMIF('APONTAMENTO CREDENCIAMENTO'!$A$6:$A$4085,'EMPRESA C'!D14,'APONTAMENTO CREDENCIAMENTO'!#REF!)</f>
        <v>#REF!</v>
      </c>
      <c r="N14" s="155" t="e">
        <f>SUMIF('APONTAMENTO CREDENCIAMENTO'!$A$6:$A$4085,'EMPRESA C'!D14,'APONTAMENTO CREDENCIAMENTO'!#REF!)</f>
        <v>#REF!</v>
      </c>
      <c r="O14" s="155" t="e">
        <f>SUMIF('APONTAMENTO CREDENCIAMENTO'!$A$6:$A$4085,'EMPRESA C'!D14,'APONTAMENTO CREDENCIAMENTO'!#REF!)</f>
        <v>#REF!</v>
      </c>
      <c r="P14" s="155" t="e">
        <f>SUMIF('APONTAMENTO CREDENCIAMENTO'!$A$5:$A$4085,'EMPRESA C'!D14,'APONTAMENTO CREDENCIAMENTO'!#REF!)</f>
        <v>#REF!</v>
      </c>
      <c r="Q14" s="155" t="e">
        <f>SUMIF('APONTAMENTO CREDENCIAMENTO'!$A$5:$A$4085,'EMPRESA C'!D14,'APONTAMENTO CREDENCIAMENTO'!#REF!)</f>
        <v>#REF!</v>
      </c>
      <c r="R14" s="155" t="e">
        <f>SUMIF('APONTAMENTO CREDENCIAMENTO'!$A$5:$A$4085,'EMPRESA C'!D14,'APONTAMENTO CREDENCIAMENTO'!#REF!)</f>
        <v>#REF!</v>
      </c>
      <c r="S14" s="155" t="e">
        <f>SUMIF('APONTAMENTO CREDENCIAMENTO'!$A$5:$A$4085,'EMPRESA C'!D14,'APONTAMENTO CREDENCIAMENTO'!#REF!)</f>
        <v>#REF!</v>
      </c>
      <c r="T14" s="155" t="e">
        <f>SUMIF('APONTAMENTO CREDENCIAMENTO'!$A$5:$A$4085,'EMPRESA C'!D14,'APONTAMENTO CREDENCIAMENTO'!#REF!)</f>
        <v>#REF!</v>
      </c>
      <c r="U14" s="155" t="e">
        <f>SUMIF('APONTAMENTO CREDENCIAMENTO'!$A$5:$A$4085,'EMPRESA C'!D14,'APONTAMENTO CREDENCIAMENTO'!#REF!)</f>
        <v>#REF!</v>
      </c>
      <c r="V14" s="155" t="e">
        <f>SUMIF('APONTAMENTO CREDENCIAMENTO'!$A$5:$A$4085,'EMPRESA C'!D14,'APONTAMENTO CREDENCIAMENTO'!#REF!)*-1</f>
        <v>#REF!</v>
      </c>
      <c r="W14" s="155" t="e">
        <f>SUMIF('APONTAMENTO CREDENCIAMENTO'!$A$5:$A$4085,'EMPRESA C'!D14,'APONTAMENTO CREDENCIAMENTO'!#REF!)*-1</f>
        <v>#REF!</v>
      </c>
      <c r="X14" s="155" t="e">
        <f>SUMIF('APONTAMENTO CREDENCIAMENTO'!$A$5:$A$4085,'EMPRESA C'!D14,'APONTAMENTO CREDENCIAMENTO'!#REF!)</f>
        <v>#REF!</v>
      </c>
      <c r="Y14" s="155" t="e">
        <f>SUMIF('APONTAMENTO CREDENCIAMENTO'!$A$5:$A$4085,'EMPRESA C'!D14,'APONTAMENTO CREDENCIAMENTO'!#REF!)*-1</f>
        <v>#REF!</v>
      </c>
      <c r="Z14" s="155" t="e">
        <f>(N14+O14+P14+Q14+R14+S14+T14+U14+V14+W14+X14+Y14)</f>
        <v>#REF!</v>
      </c>
      <c r="AA14" s="155" t="e">
        <f t="shared" ref="AA14" si="0">Z14</f>
        <v>#REF!</v>
      </c>
      <c r="AB14" s="155" t="e">
        <f>AA14*'BASE C'!B$7</f>
        <v>#REF!</v>
      </c>
      <c r="AC14" s="155" t="e">
        <f t="shared" ref="AC14" si="1">AA14-AB14</f>
        <v>#REF!</v>
      </c>
    </row>
    <row r="15" spans="1:29" s="79" customFormat="1" ht="30" customHeight="1" thickBot="1" x14ac:dyDescent="0.25">
      <c r="A15" s="358"/>
      <c r="B15" s="359"/>
      <c r="C15" s="359"/>
      <c r="D15" s="360"/>
      <c r="E15" s="360"/>
      <c r="F15" s="362"/>
      <c r="G15" s="245"/>
      <c r="H15" s="245"/>
      <c r="I15" s="245"/>
      <c r="J15" s="245"/>
      <c r="K15" s="245"/>
      <c r="L15" s="245"/>
      <c r="M15" s="245"/>
      <c r="N15" s="155"/>
      <c r="O15" s="155"/>
      <c r="P15" s="246"/>
      <c r="Q15" s="246"/>
      <c r="R15" s="246"/>
      <c r="S15" s="155"/>
      <c r="T15" s="246"/>
      <c r="U15" s="246"/>
      <c r="V15" s="155"/>
      <c r="W15" s="155"/>
      <c r="X15" s="155"/>
      <c r="Y15" s="155"/>
      <c r="Z15" s="246"/>
      <c r="AA15" s="246"/>
      <c r="AB15" s="246"/>
      <c r="AC15" s="246"/>
    </row>
    <row r="16" spans="1:29" ht="30" customHeight="1" x14ac:dyDescent="0.2">
      <c r="A16" s="355"/>
      <c r="B16" s="355"/>
      <c r="C16" s="355"/>
      <c r="D16" s="356"/>
      <c r="E16" s="357"/>
      <c r="F16" s="361"/>
      <c r="G16" s="86">
        <f t="shared" ref="G16:AC16" si="2">SUM(G14:G15)</f>
        <v>0</v>
      </c>
      <c r="H16" s="86" t="e">
        <f t="shared" si="2"/>
        <v>#REF!</v>
      </c>
      <c r="I16" s="86" t="e">
        <f t="shared" si="2"/>
        <v>#REF!</v>
      </c>
      <c r="J16" s="86" t="e">
        <f t="shared" si="2"/>
        <v>#REF!</v>
      </c>
      <c r="K16" s="86" t="e">
        <f t="shared" si="2"/>
        <v>#REF!</v>
      </c>
      <c r="L16" s="86" t="e">
        <f t="shared" si="2"/>
        <v>#REF!</v>
      </c>
      <c r="M16" s="86" t="e">
        <f t="shared" si="2"/>
        <v>#REF!</v>
      </c>
      <c r="N16" s="253" t="e">
        <f t="shared" si="2"/>
        <v>#REF!</v>
      </c>
      <c r="O16" s="253" t="e">
        <f t="shared" si="2"/>
        <v>#REF!</v>
      </c>
      <c r="P16" s="253" t="e">
        <f t="shared" si="2"/>
        <v>#REF!</v>
      </c>
      <c r="Q16" s="253" t="e">
        <f t="shared" si="2"/>
        <v>#REF!</v>
      </c>
      <c r="R16" s="253" t="e">
        <f t="shared" si="2"/>
        <v>#REF!</v>
      </c>
      <c r="S16" s="253" t="e">
        <f t="shared" si="2"/>
        <v>#REF!</v>
      </c>
      <c r="T16" s="253" t="e">
        <f t="shared" si="2"/>
        <v>#REF!</v>
      </c>
      <c r="U16" s="253" t="e">
        <f t="shared" si="2"/>
        <v>#REF!</v>
      </c>
      <c r="V16" s="253" t="e">
        <f t="shared" si="2"/>
        <v>#REF!</v>
      </c>
      <c r="W16" s="253" t="e">
        <f t="shared" si="2"/>
        <v>#REF!</v>
      </c>
      <c r="X16" s="253" t="e">
        <f t="shared" si="2"/>
        <v>#REF!</v>
      </c>
      <c r="Y16" s="253" t="e">
        <f t="shared" si="2"/>
        <v>#REF!</v>
      </c>
      <c r="Z16" s="253" t="e">
        <f t="shared" si="2"/>
        <v>#REF!</v>
      </c>
      <c r="AA16" s="253" t="e">
        <f t="shared" si="2"/>
        <v>#REF!</v>
      </c>
      <c r="AB16" s="253" t="e">
        <f t="shared" si="2"/>
        <v>#REF!</v>
      </c>
      <c r="AC16" s="253" t="e">
        <f t="shared" si="2"/>
        <v>#REF!</v>
      </c>
    </row>
    <row r="17" spans="1:29" ht="15" customHeight="1" x14ac:dyDescent="0.2">
      <c r="AA17" s="156"/>
      <c r="AB17" s="157"/>
      <c r="AC17" s="157"/>
    </row>
    <row r="18" spans="1:29" ht="15" customHeight="1" x14ac:dyDescent="0.2">
      <c r="G18" s="13" t="s">
        <v>123</v>
      </c>
      <c r="AA18" s="101"/>
      <c r="AB18" s="22"/>
      <c r="AC18" s="22"/>
    </row>
    <row r="19" spans="1:29" x14ac:dyDescent="0.2">
      <c r="AA19" s="101"/>
      <c r="AB19" s="22"/>
      <c r="AC19" s="32"/>
    </row>
    <row r="20" spans="1:29" x14ac:dyDescent="0.2">
      <c r="Y20" s="53"/>
      <c r="AA20" s="101"/>
      <c r="AB20" s="22"/>
      <c r="AC20" s="22"/>
    </row>
    <row r="21" spans="1:29" x14ac:dyDescent="0.2">
      <c r="AA21" s="101"/>
      <c r="AB21" s="22"/>
      <c r="AC21" s="22"/>
    </row>
    <row r="22" spans="1:29" x14ac:dyDescent="0.2">
      <c r="Z22" s="13"/>
      <c r="AA22" s="101"/>
      <c r="AB22" s="22"/>
      <c r="AC22" s="22"/>
    </row>
    <row r="23" spans="1:29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101"/>
      <c r="AB23" s="22"/>
      <c r="AC23" s="22"/>
    </row>
    <row r="24" spans="1:29" x14ac:dyDescent="0.2">
      <c r="C24" s="33"/>
      <c r="D24" s="34"/>
      <c r="E24" s="34"/>
      <c r="F24" s="34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101"/>
      <c r="AB24" s="22"/>
      <c r="AC24" s="22"/>
    </row>
    <row r="25" spans="1:29" x14ac:dyDescent="0.2">
      <c r="A25" s="33"/>
      <c r="B25" s="33"/>
      <c r="C25" s="33"/>
      <c r="D25" s="34"/>
      <c r="E25" s="34"/>
      <c r="F25" s="34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101"/>
      <c r="AB25" s="22"/>
      <c r="AC25" s="22"/>
    </row>
    <row r="26" spans="1:29" x14ac:dyDescent="0.2">
      <c r="A26" s="33"/>
      <c r="C26" s="33"/>
      <c r="D26" s="34"/>
      <c r="E26" s="34"/>
      <c r="F26" s="34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101"/>
      <c r="AB26" s="22"/>
      <c r="AC26" s="22"/>
    </row>
    <row r="27" spans="1:29" x14ac:dyDescent="0.2">
      <c r="A27" s="33"/>
      <c r="B27" s="33"/>
      <c r="C27" s="33"/>
      <c r="D27" s="34"/>
      <c r="E27" s="34"/>
      <c r="F27" s="34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73"/>
      <c r="Z27" s="33"/>
      <c r="AA27" s="101"/>
      <c r="AB27" s="22"/>
      <c r="AC27" s="22"/>
    </row>
    <row r="28" spans="1:29" x14ac:dyDescent="0.2">
      <c r="B28" s="33"/>
      <c r="C28" s="33"/>
      <c r="D28" s="35"/>
      <c r="E28" s="35"/>
      <c r="F28" s="35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101"/>
      <c r="AB28" s="22"/>
      <c r="AC28" s="22"/>
    </row>
    <row r="29" spans="1:29" ht="15.75" x14ac:dyDescent="0.25">
      <c r="A29" s="36"/>
      <c r="B29" s="36"/>
      <c r="C29" s="36"/>
      <c r="D29" s="37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101"/>
      <c r="AB29" s="22"/>
      <c r="AC29" s="22"/>
    </row>
    <row r="30" spans="1:29" x14ac:dyDescent="0.2">
      <c r="A30" s="33"/>
      <c r="B30" s="33"/>
      <c r="C30" s="33"/>
      <c r="D30" s="38"/>
      <c r="E30" s="38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102"/>
      <c r="AB30" s="33"/>
      <c r="AC30" s="33"/>
    </row>
    <row r="31" spans="1:29" x14ac:dyDescent="0.2">
      <c r="A31" s="13"/>
      <c r="B31" s="13"/>
      <c r="C31" s="13"/>
      <c r="D31" s="39"/>
      <c r="E31" s="40"/>
      <c r="F31" s="40"/>
      <c r="G31" s="40"/>
      <c r="H31" s="40"/>
      <c r="I31" s="40"/>
      <c r="J31" s="40"/>
      <c r="K31" s="40"/>
      <c r="L31" s="40"/>
      <c r="M31" s="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AB31" s="28"/>
    </row>
    <row r="32" spans="1:29" x14ac:dyDescent="0.2">
      <c r="A32" s="33"/>
      <c r="B32" s="33"/>
      <c r="C32" s="33"/>
      <c r="D32" s="41"/>
      <c r="E32" s="41"/>
      <c r="F32" s="41"/>
      <c r="G32" s="41"/>
      <c r="H32" s="41"/>
      <c r="I32" s="41"/>
      <c r="J32" s="41"/>
      <c r="K32" s="41"/>
      <c r="L32" s="4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102"/>
      <c r="AB32" s="33"/>
      <c r="AC32" s="33"/>
    </row>
    <row r="33" spans="1:29" x14ac:dyDescent="0.2">
      <c r="A33" s="33"/>
      <c r="D33" s="189"/>
      <c r="E33" s="189"/>
      <c r="F33" s="189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102"/>
      <c r="AB33" s="33"/>
      <c r="AC33" s="33"/>
    </row>
    <row r="34" spans="1:29" ht="12.75" customHeight="1" x14ac:dyDescent="0.2">
      <c r="A34" s="33"/>
      <c r="B34" s="33"/>
      <c r="C34" s="33"/>
      <c r="D34" s="34"/>
      <c r="E34" s="34"/>
      <c r="F34" s="34"/>
      <c r="G34" s="33"/>
      <c r="H34" s="33"/>
      <c r="I34" s="33"/>
      <c r="J34" s="33"/>
      <c r="K34" s="33"/>
      <c r="L34" s="33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731"/>
      <c r="Z34" s="731"/>
      <c r="AA34" s="732"/>
      <c r="AB34" s="42"/>
      <c r="AC34" s="731"/>
    </row>
    <row r="35" spans="1:29" x14ac:dyDescent="0.2">
      <c r="A35" s="33"/>
      <c r="B35" s="33"/>
      <c r="C35" s="33"/>
      <c r="D35" s="34"/>
      <c r="E35" s="34"/>
      <c r="F35" s="34"/>
      <c r="G35" s="33"/>
      <c r="H35" s="33"/>
      <c r="I35" s="33"/>
      <c r="J35" s="33"/>
      <c r="K35" s="33"/>
      <c r="L35" s="33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731"/>
      <c r="Z35" s="731"/>
      <c r="AA35" s="732"/>
      <c r="AB35" s="42"/>
      <c r="AC35" s="731"/>
    </row>
    <row r="36" spans="1:29" x14ac:dyDescent="0.2">
      <c r="A36" s="36"/>
      <c r="B36" s="36"/>
      <c r="C36" s="36"/>
      <c r="D36" s="34"/>
      <c r="E36" s="34"/>
      <c r="F36" s="34"/>
      <c r="G36" s="33"/>
      <c r="H36" s="33"/>
      <c r="I36" s="33"/>
      <c r="J36" s="33"/>
      <c r="K36" s="33"/>
      <c r="L36" s="33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731"/>
      <c r="Z36" s="731"/>
      <c r="AA36" s="732"/>
      <c r="AB36" s="42"/>
      <c r="AC36" s="731"/>
    </row>
    <row r="37" spans="1:29" x14ac:dyDescent="0.2">
      <c r="A37" s="33"/>
      <c r="B37" s="33"/>
      <c r="C37" s="33"/>
      <c r="D37" s="34"/>
      <c r="E37" s="34"/>
      <c r="F37" s="34"/>
      <c r="G37" s="33"/>
      <c r="H37" s="33"/>
      <c r="I37" s="33"/>
      <c r="J37" s="33"/>
      <c r="K37" s="33"/>
      <c r="L37" s="33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731"/>
      <c r="Z37" s="731"/>
      <c r="AA37" s="732"/>
      <c r="AB37" s="42"/>
      <c r="AC37" s="731"/>
    </row>
    <row r="38" spans="1:29" x14ac:dyDescent="0.2">
      <c r="A38" s="33"/>
      <c r="B38" s="33"/>
      <c r="C38" s="33"/>
      <c r="D38" s="35"/>
      <c r="E38" s="35"/>
      <c r="F38" s="35"/>
      <c r="G38" s="33"/>
      <c r="H38" s="33"/>
      <c r="I38" s="33"/>
      <c r="J38" s="33"/>
      <c r="K38" s="33"/>
      <c r="L38" s="33"/>
      <c r="M38" s="44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5"/>
      <c r="Z38" s="45"/>
      <c r="AA38" s="45"/>
      <c r="AB38" s="44"/>
      <c r="AC38" s="45"/>
    </row>
    <row r="39" spans="1:29" ht="15.75" x14ac:dyDescent="0.25">
      <c r="A39" s="36"/>
      <c r="B39" s="36"/>
      <c r="C39" s="36"/>
      <c r="D39" s="37"/>
      <c r="E39" s="33"/>
      <c r="F39" s="33"/>
      <c r="G39" s="33"/>
      <c r="H39" s="33"/>
      <c r="I39" s="33"/>
      <c r="J39" s="33"/>
      <c r="K39" s="33"/>
      <c r="L39" s="33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7"/>
      <c r="AA39" s="46"/>
      <c r="AB39" s="46"/>
      <c r="AC39" s="46"/>
    </row>
    <row r="40" spans="1:29" x14ac:dyDescent="0.2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102"/>
      <c r="AB40" s="33"/>
      <c r="AC40" s="33"/>
    </row>
  </sheetData>
  <sheetProtection formatCells="0" formatColumns="0" formatRows="0" selectLockedCells="1"/>
  <mergeCells count="11">
    <mergeCell ref="Y34:Y37"/>
    <mergeCell ref="Z34:Z37"/>
    <mergeCell ref="AA34:AA37"/>
    <mergeCell ref="AC34:AC37"/>
    <mergeCell ref="E14:F14"/>
    <mergeCell ref="N12:X12"/>
    <mergeCell ref="A12:A13"/>
    <mergeCell ref="B12:C13"/>
    <mergeCell ref="D12:D13"/>
    <mergeCell ref="E12:F13"/>
    <mergeCell ref="G12:M12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0" customWidth="1"/>
    <col min="2" max="2" width="13.42578125" style="10" customWidth="1"/>
    <col min="3" max="3" width="11.7109375" style="10" bestFit="1" customWidth="1"/>
    <col min="4" max="4" width="12.7109375" style="10" customWidth="1"/>
    <col min="5" max="11" width="15.7109375" style="10" customWidth="1"/>
    <col min="12" max="12" width="53.140625" style="10" customWidth="1"/>
    <col min="13" max="13" width="10.28515625" style="10" customWidth="1"/>
    <col min="14" max="14" width="10.5703125" style="10" customWidth="1"/>
    <col min="15" max="15" width="10.42578125" style="10" customWidth="1"/>
    <col min="16" max="16" width="7.140625" style="10" customWidth="1"/>
    <col min="17" max="17" width="47.28515625" style="11" customWidth="1"/>
    <col min="18" max="20" width="9.140625" style="10" customWidth="1"/>
    <col min="21" max="21" width="18.5703125" style="10" customWidth="1"/>
    <col min="22" max="24" width="9.140625" style="10"/>
    <col min="25" max="25" width="0" style="10" hidden="1" customWidth="1"/>
    <col min="26" max="16384" width="9.140625" style="10"/>
  </cols>
  <sheetData>
    <row r="1" spans="1:26" ht="12.75" customHeight="1" x14ac:dyDescent="0.2">
      <c r="Q1" s="12"/>
      <c r="Z1" s="80" t="e">
        <f>VLOOKUP(A14,#REF!,27,0)</f>
        <v>#REF!</v>
      </c>
    </row>
    <row r="2" spans="1:26" x14ac:dyDescent="0.2">
      <c r="Q2" s="12"/>
    </row>
    <row r="3" spans="1:26" x14ac:dyDescent="0.2">
      <c r="Q3" s="12"/>
      <c r="U3" s="13"/>
    </row>
    <row r="4" spans="1:26" x14ac:dyDescent="0.2">
      <c r="Q4" s="12"/>
      <c r="U4" s="13"/>
    </row>
    <row r="5" spans="1:26" ht="15.75" x14ac:dyDescent="0.25">
      <c r="B5" s="738"/>
      <c r="C5" s="738"/>
      <c r="D5" s="738"/>
      <c r="E5" s="738"/>
      <c r="F5" s="738"/>
      <c r="G5" s="738"/>
      <c r="H5" s="738"/>
      <c r="I5" s="738"/>
      <c r="J5" s="738"/>
      <c r="K5" s="738"/>
      <c r="L5" s="738"/>
      <c r="Q5" s="12"/>
    </row>
    <row r="6" spans="1:26" ht="26.25" customHeight="1" x14ac:dyDescent="0.25">
      <c r="B6" s="738"/>
      <c r="C6" s="738"/>
      <c r="D6" s="738"/>
      <c r="E6" s="738"/>
      <c r="F6" s="738"/>
      <c r="G6" s="738"/>
      <c r="H6" s="738"/>
      <c r="I6" s="738"/>
      <c r="J6" s="738"/>
      <c r="K6" s="738"/>
      <c r="L6" s="738"/>
      <c r="Q6" s="12"/>
    </row>
    <row r="7" spans="1:26" x14ac:dyDescent="0.2">
      <c r="B7" s="14"/>
      <c r="C7" s="14"/>
      <c r="D7" s="14"/>
      <c r="E7" s="14"/>
      <c r="Q7" s="12"/>
    </row>
    <row r="8" spans="1:26" ht="15.75" x14ac:dyDescent="0.25">
      <c r="B8" s="14"/>
      <c r="C8" s="15"/>
      <c r="D8" s="15"/>
      <c r="E8" s="15"/>
      <c r="F8" s="15"/>
      <c r="G8" s="15"/>
      <c r="H8" s="15"/>
      <c r="I8" s="15"/>
      <c r="J8" s="15"/>
      <c r="Q8" s="12"/>
    </row>
    <row r="9" spans="1:26" ht="15.75" x14ac:dyDescent="0.25">
      <c r="B9" s="14"/>
      <c r="C9" s="97"/>
      <c r="D9" s="97"/>
      <c r="E9" s="97"/>
      <c r="F9" s="97"/>
      <c r="G9" s="97"/>
      <c r="H9" s="97"/>
      <c r="I9" s="97"/>
      <c r="J9" s="97"/>
      <c r="Q9" s="12"/>
    </row>
    <row r="10" spans="1:26" ht="15.75" x14ac:dyDescent="0.25">
      <c r="B10" s="738" t="s">
        <v>124</v>
      </c>
      <c r="C10" s="738"/>
      <c r="D10" s="738"/>
      <c r="E10" s="738"/>
      <c r="F10" s="738"/>
      <c r="G10" s="738"/>
      <c r="H10" s="738"/>
      <c r="I10" s="738"/>
      <c r="J10" s="738"/>
      <c r="K10" s="738"/>
      <c r="L10" s="738"/>
      <c r="Q10" s="12"/>
    </row>
    <row r="11" spans="1:26" ht="15.75" x14ac:dyDescent="0.25">
      <c r="B11" s="97"/>
      <c r="C11" s="97"/>
      <c r="D11" s="97"/>
      <c r="E11" s="97"/>
      <c r="F11" s="97"/>
      <c r="G11" s="97"/>
      <c r="H11" s="97"/>
      <c r="I11" s="97"/>
      <c r="J11" s="97"/>
      <c r="Q11" s="12"/>
    </row>
    <row r="12" spans="1:26" ht="15" x14ac:dyDescent="0.2">
      <c r="B12" s="16"/>
      <c r="C12" s="17"/>
      <c r="Q12" s="12"/>
    </row>
    <row r="13" spans="1:26" x14ac:dyDescent="0.2">
      <c r="A13" s="158" t="s">
        <v>14</v>
      </c>
      <c r="B13" s="159" t="s">
        <v>12</v>
      </c>
      <c r="C13" s="160"/>
      <c r="D13" s="160"/>
      <c r="E13" s="739" t="s">
        <v>67</v>
      </c>
      <c r="F13" s="739"/>
      <c r="G13" s="739" t="s">
        <v>6</v>
      </c>
      <c r="H13" s="739"/>
      <c r="I13" s="739"/>
      <c r="J13" s="739"/>
      <c r="K13" s="739"/>
      <c r="L13" s="739"/>
      <c r="M13" s="161" t="s">
        <v>125</v>
      </c>
      <c r="Q13" s="12"/>
    </row>
    <row r="14" spans="1:26" s="13" customFormat="1" ht="18.75" customHeight="1" x14ac:dyDescent="0.2">
      <c r="A14" s="162" t="str">
        <f>'BASE C'!B3</f>
        <v>2025/0012259</v>
      </c>
      <c r="B14" s="163" t="str">
        <f>'BASE C'!D4</f>
        <v>RENATO CROZARA DA SILVA</v>
      </c>
      <c r="C14" s="164"/>
      <c r="D14" s="164"/>
      <c r="E14" s="740" t="str">
        <f>'BASE C'!E4</f>
        <v>ABRIL</v>
      </c>
      <c r="F14" s="740"/>
      <c r="G14" s="165"/>
      <c r="H14" s="166"/>
      <c r="I14" s="166"/>
      <c r="J14" s="166" t="str">
        <f>'EMPRESA C'!H10</f>
        <v>01/04/2026</v>
      </c>
      <c r="K14" s="167" t="s">
        <v>126</v>
      </c>
      <c r="L14" s="168" t="str">
        <f>'BASE C'!C4</f>
        <v>30/04/2026</v>
      </c>
      <c r="M14" s="169" t="str">
        <f>'BASE C'!C2</f>
        <v>G</v>
      </c>
      <c r="Q14" s="12"/>
    </row>
    <row r="15" spans="1:26" x14ac:dyDescent="0.2">
      <c r="Q15" s="12"/>
      <c r="R15" s="13"/>
    </row>
    <row r="16" spans="1:26" ht="12.75" customHeight="1" x14ac:dyDescent="0.2">
      <c r="D16" s="170"/>
      <c r="E16" s="737" t="s">
        <v>127</v>
      </c>
      <c r="F16" s="737"/>
      <c r="G16" s="737"/>
      <c r="H16" s="737"/>
      <c r="I16" s="737"/>
      <c r="J16" s="737"/>
      <c r="K16" s="737"/>
      <c r="L16" s="171" t="s">
        <v>128</v>
      </c>
      <c r="M16" s="171"/>
      <c r="Q16" s="12"/>
    </row>
    <row r="17" spans="1:17" s="11" customFormat="1" ht="69.75" customHeight="1" x14ac:dyDescent="0.2">
      <c r="A17" s="172" t="s">
        <v>41</v>
      </c>
      <c r="B17" s="173" t="s">
        <v>11</v>
      </c>
      <c r="C17" s="174" t="s">
        <v>40</v>
      </c>
      <c r="D17" s="175" t="s">
        <v>46</v>
      </c>
      <c r="E17" s="147" t="s">
        <v>47</v>
      </c>
      <c r="F17" s="147" t="s">
        <v>121</v>
      </c>
      <c r="G17" s="147" t="s">
        <v>48</v>
      </c>
      <c r="H17" s="148" t="s">
        <v>49</v>
      </c>
      <c r="I17" s="148" t="s">
        <v>122</v>
      </c>
      <c r="J17" s="148" t="s">
        <v>50</v>
      </c>
      <c r="K17" s="175" t="s">
        <v>51</v>
      </c>
      <c r="L17" s="171"/>
      <c r="M17" s="171"/>
    </row>
    <row r="18" spans="1:17" s="13" customFormat="1" ht="26.25" customHeight="1" x14ac:dyDescent="0.2">
      <c r="A18" s="176" t="str">
        <f>VLOOKUP(B18,'BASE C'!$C$10:$E$5000,3,0)</f>
        <v>RENATO CROZARA DA SILVA</v>
      </c>
      <c r="B18" s="177" t="str">
        <f>'BASE C'!C10</f>
        <v>045.312-00</v>
      </c>
      <c r="C18" s="177" t="str">
        <f>'BASE C'!H10</f>
        <v>FYB7439</v>
      </c>
      <c r="D18" s="154">
        <f>SUMIF('APONTAMENTO CREDENCIAMENTO'!$A$6:$A$4085,'ATESTADO C'!B18,'APONTAMENTO CREDENCIAMENTO'!$N$6:$N$4085)</f>
        <v>0</v>
      </c>
      <c r="E18" s="154" t="e">
        <f>SUMIF('APONTAMENTO CREDENCIAMENTO'!$A$6:$A$4085,'ATESTADO C'!B18,'APONTAMENTO CREDENCIAMENTO'!#REF!)</f>
        <v>#REF!</v>
      </c>
      <c r="F18" s="154" t="e">
        <f>SUMIF('APONTAMENTO CREDENCIAMENTO'!$A$6:$A$4085,'ATESTADO C'!B18,'APONTAMENTO CREDENCIAMENTO'!#REF!)</f>
        <v>#REF!</v>
      </c>
      <c r="G18" s="154" t="e">
        <f>SUMIF('APONTAMENTO CREDENCIAMENTO'!$A$6:$A$4085,'ATESTADO C'!B18,'APONTAMENTO CREDENCIAMENTO'!#REF!)</f>
        <v>#REF!</v>
      </c>
      <c r="H18" s="154" t="e">
        <f>SUMIF('APONTAMENTO CREDENCIAMENTO'!$A$6:$A$4085,'ATESTADO C'!B18,'APONTAMENTO CREDENCIAMENTO'!#REF!)</f>
        <v>#REF!</v>
      </c>
      <c r="I18" s="154" t="e">
        <f>SUMIF('APONTAMENTO CREDENCIAMENTO'!$A$6:$A$4085,'ATESTADO C'!B18,'APONTAMENTO CREDENCIAMENTO'!#REF!)</f>
        <v>#REF!</v>
      </c>
      <c r="J18" s="154" t="e">
        <f>SUMIF('APONTAMENTO CREDENCIAMENTO'!$A$6:$A$4085,'ATESTADO C'!B18,'APONTAMENTO CREDENCIAMENTO'!#REF!)</f>
        <v>#REF!</v>
      </c>
      <c r="K18" s="178" t="e">
        <f t="shared" ref="K18" si="0">E18+F18+H18+I18+G18+J18</f>
        <v>#REF!</v>
      </c>
      <c r="L18" s="735" t="e">
        <f>CONCATENATE(VLOOKUP(B18,'APONTAMENTO CREDENCIAMENTO'!$A$6:$T$4085,141,0)," - ",VLOOKUP(B18,'APONTAMENTO CREDENCIAMENTO'!$A$6:$T$4085,142,0))</f>
        <v>#REF!</v>
      </c>
      <c r="M18" s="736"/>
    </row>
    <row r="19" spans="1:17" s="14" customFormat="1" ht="15.75" customHeight="1" x14ac:dyDescent="0.2">
      <c r="A19" s="83"/>
      <c r="B19" s="83"/>
      <c r="C19" s="20"/>
      <c r="D19" s="26"/>
      <c r="E19" s="27"/>
      <c r="F19" s="20"/>
      <c r="G19" s="20"/>
      <c r="H19" s="20"/>
      <c r="I19" s="20"/>
      <c r="J19" s="20"/>
      <c r="K19" s="20"/>
      <c r="L19" s="25"/>
      <c r="M19" s="20"/>
      <c r="Q19" s="22"/>
    </row>
    <row r="20" spans="1:17" s="14" customFormat="1" ht="10.5" customHeight="1" x14ac:dyDescent="0.2">
      <c r="A20" s="19" t="s">
        <v>129</v>
      </c>
      <c r="B20" s="19"/>
      <c r="C20" s="20"/>
      <c r="D20" s="21" t="s">
        <v>130</v>
      </c>
      <c r="E20" s="21"/>
      <c r="F20" s="21"/>
      <c r="G20" s="21"/>
      <c r="H20" s="21"/>
      <c r="I20" s="21"/>
      <c r="J20" s="21"/>
      <c r="K20" s="21"/>
      <c r="L20" s="19" t="s">
        <v>131</v>
      </c>
      <c r="M20" s="21"/>
      <c r="Q20" s="22"/>
    </row>
    <row r="21" spans="1:17" s="14" customFormat="1" ht="15.75" customHeight="1" x14ac:dyDescent="0.2">
      <c r="A21" s="19" t="s">
        <v>132</v>
      </c>
      <c r="B21" s="19"/>
      <c r="C21" s="20"/>
      <c r="D21" s="23" t="s">
        <v>132</v>
      </c>
      <c r="E21" s="24"/>
      <c r="F21" s="20"/>
      <c r="G21" s="20"/>
      <c r="H21" s="20"/>
      <c r="I21" s="20"/>
      <c r="J21" s="20"/>
      <c r="K21" s="20"/>
      <c r="L21" s="19" t="s">
        <v>132</v>
      </c>
      <c r="M21" s="20"/>
      <c r="Q21" s="22"/>
    </row>
    <row r="22" spans="1:17" s="14" customFormat="1" ht="15.75" customHeight="1" x14ac:dyDescent="0.2">
      <c r="A22" s="19" t="s">
        <v>133</v>
      </c>
      <c r="B22" s="19"/>
      <c r="C22" s="20"/>
      <c r="D22" s="23" t="s">
        <v>133</v>
      </c>
      <c r="E22" s="24"/>
      <c r="F22" s="20"/>
      <c r="G22" s="20"/>
      <c r="H22" s="20"/>
      <c r="I22" s="20"/>
      <c r="J22" s="20"/>
      <c r="K22" s="20"/>
      <c r="L22" s="19" t="s">
        <v>133</v>
      </c>
      <c r="M22" s="20"/>
      <c r="Q22" s="22"/>
    </row>
    <row r="23" spans="1:17" s="14" customFormat="1" ht="15.75" customHeight="1" x14ac:dyDescent="0.2">
      <c r="A23" s="83" t="s">
        <v>134</v>
      </c>
      <c r="B23" s="83"/>
      <c r="C23" s="20"/>
      <c r="D23" s="26" t="s">
        <v>134</v>
      </c>
      <c r="E23" s="27"/>
      <c r="F23" s="20"/>
      <c r="G23" s="20"/>
      <c r="H23" s="20"/>
      <c r="I23" s="20"/>
      <c r="J23" s="20"/>
      <c r="K23" s="20"/>
      <c r="L23" s="25" t="s">
        <v>134</v>
      </c>
      <c r="M23" s="20"/>
      <c r="Q23" s="22"/>
    </row>
    <row r="33" spans="1:1" ht="15" x14ac:dyDescent="0.25">
      <c r="A33" s="59"/>
    </row>
    <row r="34" spans="1:1" ht="15" x14ac:dyDescent="0.25">
      <c r="A34" s="59"/>
    </row>
    <row r="35" spans="1:1" ht="15" x14ac:dyDescent="0.25">
      <c r="A35" s="59"/>
    </row>
    <row r="36" spans="1:1" ht="15" x14ac:dyDescent="0.25">
      <c r="A36" s="59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45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39"/>
  <sheetViews>
    <sheetView topLeftCell="A243" workbookViewId="0">
      <selection activeCell="A2" sqref="A2:C19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3179</v>
      </c>
      <c r="B1" t="s">
        <v>1463</v>
      </c>
      <c r="C1" t="s">
        <v>3177</v>
      </c>
    </row>
    <row r="2" spans="1:3" x14ac:dyDescent="0.2">
      <c r="A2" t="s">
        <v>3251</v>
      </c>
      <c r="B2" t="s">
        <v>1494</v>
      </c>
      <c r="C2" t="s">
        <v>3249</v>
      </c>
    </row>
    <row r="3" spans="1:3" x14ac:dyDescent="0.2">
      <c r="A3" t="s">
        <v>3330</v>
      </c>
      <c r="B3" t="s">
        <v>1528</v>
      </c>
      <c r="C3" t="s">
        <v>3328</v>
      </c>
    </row>
    <row r="4" spans="1:3" x14ac:dyDescent="0.2">
      <c r="A4" t="s">
        <v>3302</v>
      </c>
      <c r="B4" t="s">
        <v>1513</v>
      </c>
      <c r="C4" t="s">
        <v>3300</v>
      </c>
    </row>
    <row r="5" spans="1:3" x14ac:dyDescent="0.2">
      <c r="A5" t="s">
        <v>3290</v>
      </c>
      <c r="B5" t="s">
        <v>1510</v>
      </c>
      <c r="C5" t="s">
        <v>3288</v>
      </c>
    </row>
    <row r="6" spans="1:3" x14ac:dyDescent="0.2">
      <c r="A6" t="s">
        <v>3310</v>
      </c>
      <c r="B6" t="s">
        <v>1516</v>
      </c>
      <c r="C6" t="s">
        <v>3308</v>
      </c>
    </row>
    <row r="7" spans="1:3" x14ac:dyDescent="0.2">
      <c r="A7" t="s">
        <v>3286</v>
      </c>
      <c r="B7" t="s">
        <v>1509</v>
      </c>
      <c r="C7" t="s">
        <v>3284</v>
      </c>
    </row>
    <row r="8" spans="1:3" x14ac:dyDescent="0.2">
      <c r="A8" t="s">
        <v>3183</v>
      </c>
      <c r="B8" t="s">
        <v>1466</v>
      </c>
      <c r="C8" t="s">
        <v>3181</v>
      </c>
    </row>
    <row r="9" spans="1:3" x14ac:dyDescent="0.2">
      <c r="A9" t="s">
        <v>3207</v>
      </c>
      <c r="B9" t="s">
        <v>1478</v>
      </c>
      <c r="C9" t="s">
        <v>3205</v>
      </c>
    </row>
    <row r="10" spans="1:3" x14ac:dyDescent="0.2">
      <c r="A10" t="s">
        <v>3219</v>
      </c>
      <c r="B10" t="s">
        <v>1484</v>
      </c>
      <c r="C10" t="s">
        <v>3217</v>
      </c>
    </row>
    <row r="11" spans="1:3" x14ac:dyDescent="0.2">
      <c r="A11" t="s">
        <v>3227</v>
      </c>
      <c r="B11" t="s">
        <v>1486</v>
      </c>
      <c r="C11" t="s">
        <v>3225</v>
      </c>
    </row>
    <row r="12" spans="1:3" x14ac:dyDescent="0.2">
      <c r="A12" t="s">
        <v>3278</v>
      </c>
      <c r="B12" t="s">
        <v>1504</v>
      </c>
      <c r="C12" t="s">
        <v>3276</v>
      </c>
    </row>
    <row r="13" spans="1:3" x14ac:dyDescent="0.2">
      <c r="A13" t="s">
        <v>3243</v>
      </c>
      <c r="B13" t="s">
        <v>1492</v>
      </c>
      <c r="C13" t="s">
        <v>3241</v>
      </c>
    </row>
    <row r="14" spans="1:3" x14ac:dyDescent="0.2">
      <c r="A14" t="s">
        <v>3294</v>
      </c>
      <c r="B14" t="s">
        <v>1511</v>
      </c>
      <c r="C14" t="s">
        <v>3292</v>
      </c>
    </row>
    <row r="15" spans="1:3" x14ac:dyDescent="0.2">
      <c r="A15" t="s">
        <v>3282</v>
      </c>
      <c r="B15" t="s">
        <v>1505</v>
      </c>
      <c r="C15" t="s">
        <v>3280</v>
      </c>
    </row>
    <row r="16" spans="1:3" x14ac:dyDescent="0.2">
      <c r="A16" t="s">
        <v>3223</v>
      </c>
      <c r="B16" t="s">
        <v>1485</v>
      </c>
      <c r="C16" t="s">
        <v>3221</v>
      </c>
    </row>
    <row r="17" spans="1:3" x14ac:dyDescent="0.2">
      <c r="A17" t="s">
        <v>3255</v>
      </c>
      <c r="B17" t="s">
        <v>1497</v>
      </c>
      <c r="C17" t="s">
        <v>3253</v>
      </c>
    </row>
    <row r="18" spans="1:3" x14ac:dyDescent="0.2">
      <c r="A18" t="s">
        <v>3274</v>
      </c>
      <c r="B18" t="s">
        <v>1503</v>
      </c>
      <c r="C18" t="s">
        <v>3272</v>
      </c>
    </row>
    <row r="19" spans="1:3" x14ac:dyDescent="0.2">
      <c r="A19" t="s">
        <v>3306</v>
      </c>
      <c r="B19" t="s">
        <v>1515</v>
      </c>
      <c r="C19" t="s">
        <v>3304</v>
      </c>
    </row>
    <row r="20" spans="1:3" x14ac:dyDescent="0.2">
      <c r="A20" t="s">
        <v>3199</v>
      </c>
      <c r="B20" t="s">
        <v>1476</v>
      </c>
      <c r="C20" t="s">
        <v>3197</v>
      </c>
    </row>
    <row r="21" spans="1:3" x14ac:dyDescent="0.2">
      <c r="A21" t="s">
        <v>3259</v>
      </c>
      <c r="B21" t="s">
        <v>1498</v>
      </c>
      <c r="C21" t="s">
        <v>3257</v>
      </c>
    </row>
    <row r="22" spans="1:3" x14ac:dyDescent="0.2">
      <c r="A22" t="s">
        <v>3298</v>
      </c>
      <c r="B22" t="s">
        <v>1512</v>
      </c>
      <c r="C22" t="s">
        <v>3296</v>
      </c>
    </row>
    <row r="23" spans="1:3" x14ac:dyDescent="0.2">
      <c r="A23" t="s">
        <v>3191</v>
      </c>
      <c r="B23" t="s">
        <v>1471</v>
      </c>
      <c r="C23" t="s">
        <v>3189</v>
      </c>
    </row>
    <row r="24" spans="1:3" x14ac:dyDescent="0.2">
      <c r="A24" t="s">
        <v>3195</v>
      </c>
      <c r="B24" t="s">
        <v>1473</v>
      </c>
      <c r="C24" t="s">
        <v>3193</v>
      </c>
    </row>
    <row r="25" spans="1:3" x14ac:dyDescent="0.2">
      <c r="A25" t="s">
        <v>3322</v>
      </c>
      <c r="B25" t="s">
        <v>1526</v>
      </c>
      <c r="C25" t="s">
        <v>3320</v>
      </c>
    </row>
    <row r="26" spans="1:3" x14ac:dyDescent="0.2">
      <c r="A26" t="s">
        <v>3270</v>
      </c>
      <c r="B26" t="s">
        <v>1502</v>
      </c>
      <c r="C26" t="s">
        <v>3268</v>
      </c>
    </row>
    <row r="27" spans="1:3" x14ac:dyDescent="0.2">
      <c r="A27" t="s">
        <v>3231</v>
      </c>
      <c r="B27" t="s">
        <v>1487</v>
      </c>
      <c r="C27" t="s">
        <v>3229</v>
      </c>
    </row>
    <row r="28" spans="1:3" x14ac:dyDescent="0.2">
      <c r="A28" t="s">
        <v>3266</v>
      </c>
      <c r="B28" t="s">
        <v>1501</v>
      </c>
      <c r="C28" t="s">
        <v>3264</v>
      </c>
    </row>
    <row r="29" spans="1:3" x14ac:dyDescent="0.2">
      <c r="A29" t="s">
        <v>3211</v>
      </c>
      <c r="B29" t="s">
        <v>1480</v>
      </c>
      <c r="C29" t="s">
        <v>3209</v>
      </c>
    </row>
    <row r="30" spans="1:3" x14ac:dyDescent="0.2">
      <c r="A30" t="s">
        <v>3326</v>
      </c>
      <c r="B30" t="s">
        <v>1527</v>
      </c>
      <c r="C30" t="s">
        <v>3324</v>
      </c>
    </row>
    <row r="31" spans="1:3" x14ac:dyDescent="0.2">
      <c r="A31" t="s">
        <v>3215</v>
      </c>
      <c r="B31" t="s">
        <v>1481</v>
      </c>
      <c r="C31" t="s">
        <v>3213</v>
      </c>
    </row>
    <row r="32" spans="1:3" x14ac:dyDescent="0.2">
      <c r="A32" t="s">
        <v>3203</v>
      </c>
      <c r="B32" t="s">
        <v>1477</v>
      </c>
      <c r="C32" t="s">
        <v>3201</v>
      </c>
    </row>
    <row r="33" spans="1:3" x14ac:dyDescent="0.2">
      <c r="A33" t="s">
        <v>3239</v>
      </c>
      <c r="B33" t="s">
        <v>1491</v>
      </c>
      <c r="C33" t="s">
        <v>3237</v>
      </c>
    </row>
    <row r="34" spans="1:3" x14ac:dyDescent="0.2">
      <c r="A34" t="s">
        <v>3187</v>
      </c>
      <c r="B34" t="s">
        <v>1470</v>
      </c>
      <c r="C34" t="s">
        <v>3185</v>
      </c>
    </row>
    <row r="35" spans="1:3" x14ac:dyDescent="0.2">
      <c r="A35" t="s">
        <v>3262</v>
      </c>
      <c r="B35" t="s">
        <v>1500</v>
      </c>
      <c r="C35" t="s">
        <v>3260</v>
      </c>
    </row>
    <row r="36" spans="1:3" x14ac:dyDescent="0.2">
      <c r="A36" t="s">
        <v>3235</v>
      </c>
      <c r="B36" t="s">
        <v>1488</v>
      </c>
      <c r="C36" t="s">
        <v>3233</v>
      </c>
    </row>
    <row r="37" spans="1:3" x14ac:dyDescent="0.2">
      <c r="A37" t="s">
        <v>3247</v>
      </c>
      <c r="B37" t="s">
        <v>1493</v>
      </c>
      <c r="C37" t="s">
        <v>3245</v>
      </c>
    </row>
    <row r="38" spans="1:3" x14ac:dyDescent="0.2">
      <c r="A38" t="s">
        <v>3314</v>
      </c>
      <c r="B38" t="s">
        <v>1518</v>
      </c>
      <c r="C38" t="s">
        <v>3312</v>
      </c>
    </row>
    <row r="39" spans="1:3" x14ac:dyDescent="0.2">
      <c r="A39" t="s">
        <v>3318</v>
      </c>
      <c r="B39" t="s">
        <v>1520</v>
      </c>
      <c r="C39" t="s">
        <v>3316</v>
      </c>
    </row>
  </sheetData>
  <sortState xmlns:xlrd2="http://schemas.microsoft.com/office/spreadsheetml/2017/richdata2" ref="A2:C195">
    <sortCondition ref="A1:A195"/>
    <sortCondition ref="B1:B195"/>
    <sortCondition ref="C1:C19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40"/>
  <sheetViews>
    <sheetView workbookViewId="0">
      <selection activeCell="G1" sqref="G1:G40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242</v>
      </c>
      <c r="F1" t="s">
        <v>156</v>
      </c>
      <c r="G1" t="s">
        <v>243</v>
      </c>
    </row>
    <row r="2" spans="5:7" x14ac:dyDescent="0.2">
      <c r="E2" t="s">
        <v>3179</v>
      </c>
      <c r="F2" t="s">
        <v>3332</v>
      </c>
      <c r="G2" t="s">
        <v>3371</v>
      </c>
    </row>
    <row r="3" spans="5:7" x14ac:dyDescent="0.2">
      <c r="E3" t="s">
        <v>3183</v>
      </c>
      <c r="F3" t="s">
        <v>3333</v>
      </c>
      <c r="G3" t="s">
        <v>3372</v>
      </c>
    </row>
    <row r="4" spans="5:7" x14ac:dyDescent="0.2">
      <c r="E4" t="s">
        <v>3187</v>
      </c>
      <c r="F4" t="s">
        <v>3334</v>
      </c>
      <c r="G4" t="s">
        <v>3373</v>
      </c>
    </row>
    <row r="5" spans="5:7" x14ac:dyDescent="0.2">
      <c r="E5" t="s">
        <v>3191</v>
      </c>
      <c r="F5" t="s">
        <v>3335</v>
      </c>
      <c r="G5" t="s">
        <v>3374</v>
      </c>
    </row>
    <row r="6" spans="5:7" x14ac:dyDescent="0.2">
      <c r="E6" t="s">
        <v>3195</v>
      </c>
      <c r="F6" t="s">
        <v>3336</v>
      </c>
      <c r="G6" t="s">
        <v>3375</v>
      </c>
    </row>
    <row r="7" spans="5:7" x14ac:dyDescent="0.2">
      <c r="E7" t="s">
        <v>3199</v>
      </c>
      <c r="F7" t="s">
        <v>3337</v>
      </c>
      <c r="G7" t="s">
        <v>3376</v>
      </c>
    </row>
    <row r="8" spans="5:7" x14ac:dyDescent="0.2">
      <c r="E8" t="s">
        <v>3203</v>
      </c>
      <c r="F8" t="s">
        <v>3338</v>
      </c>
      <c r="G8" t="s">
        <v>3377</v>
      </c>
    </row>
    <row r="9" spans="5:7" x14ac:dyDescent="0.2">
      <c r="E9" t="s">
        <v>3207</v>
      </c>
      <c r="F9" t="s">
        <v>3339</v>
      </c>
      <c r="G9" t="s">
        <v>3378</v>
      </c>
    </row>
    <row r="10" spans="5:7" x14ac:dyDescent="0.2">
      <c r="E10" t="s">
        <v>3211</v>
      </c>
      <c r="F10" t="s">
        <v>3340</v>
      </c>
      <c r="G10" t="s">
        <v>3379</v>
      </c>
    </row>
    <row r="11" spans="5:7" x14ac:dyDescent="0.2">
      <c r="E11" t="s">
        <v>3215</v>
      </c>
      <c r="F11" t="s">
        <v>3341</v>
      </c>
      <c r="G11" t="s">
        <v>3380</v>
      </c>
    </row>
    <row r="12" spans="5:7" x14ac:dyDescent="0.2">
      <c r="E12" t="s">
        <v>3219</v>
      </c>
      <c r="F12" t="s">
        <v>3342</v>
      </c>
      <c r="G12" t="s">
        <v>3381</v>
      </c>
    </row>
    <row r="13" spans="5:7" x14ac:dyDescent="0.2">
      <c r="E13" t="s">
        <v>3223</v>
      </c>
      <c r="F13" t="s">
        <v>3343</v>
      </c>
      <c r="G13" t="s">
        <v>3382</v>
      </c>
    </row>
    <row r="14" spans="5:7" x14ac:dyDescent="0.2">
      <c r="E14" t="s">
        <v>3227</v>
      </c>
      <c r="F14" t="s">
        <v>3344</v>
      </c>
      <c r="G14" t="s">
        <v>3383</v>
      </c>
    </row>
    <row r="15" spans="5:7" x14ac:dyDescent="0.2">
      <c r="E15" t="s">
        <v>3231</v>
      </c>
      <c r="F15" t="s">
        <v>3345</v>
      </c>
      <c r="G15" t="s">
        <v>3384</v>
      </c>
    </row>
    <row r="16" spans="5:7" x14ac:dyDescent="0.2">
      <c r="E16" t="s">
        <v>3235</v>
      </c>
      <c r="F16" t="s">
        <v>3346</v>
      </c>
      <c r="G16" t="s">
        <v>3385</v>
      </c>
    </row>
    <row r="17" spans="5:7" x14ac:dyDescent="0.2">
      <c r="E17" t="s">
        <v>3239</v>
      </c>
      <c r="F17" t="s">
        <v>3347</v>
      </c>
      <c r="G17" t="s">
        <v>3386</v>
      </c>
    </row>
    <row r="18" spans="5:7" x14ac:dyDescent="0.2">
      <c r="E18" t="s">
        <v>3243</v>
      </c>
      <c r="F18" t="s">
        <v>3348</v>
      </c>
      <c r="G18" t="s">
        <v>3387</v>
      </c>
    </row>
    <row r="19" spans="5:7" x14ac:dyDescent="0.2">
      <c r="E19" t="s">
        <v>3247</v>
      </c>
      <c r="F19" t="s">
        <v>3349</v>
      </c>
      <c r="G19" t="s">
        <v>3388</v>
      </c>
    </row>
    <row r="20" spans="5:7" x14ac:dyDescent="0.2">
      <c r="E20" t="s">
        <v>3251</v>
      </c>
      <c r="F20" t="s">
        <v>3350</v>
      </c>
      <c r="G20" t="s">
        <v>3389</v>
      </c>
    </row>
    <row r="21" spans="5:7" x14ac:dyDescent="0.2">
      <c r="E21" t="s">
        <v>3255</v>
      </c>
      <c r="F21" t="s">
        <v>3351</v>
      </c>
      <c r="G21" t="s">
        <v>3390</v>
      </c>
    </row>
    <row r="22" spans="5:7" x14ac:dyDescent="0.2">
      <c r="E22" t="s">
        <v>3259</v>
      </c>
      <c r="F22" t="s">
        <v>3352</v>
      </c>
      <c r="G22" t="s">
        <v>3391</v>
      </c>
    </row>
    <row r="23" spans="5:7" x14ac:dyDescent="0.2">
      <c r="E23" t="s">
        <v>3262</v>
      </c>
      <c r="F23" t="s">
        <v>3353</v>
      </c>
      <c r="G23" t="s">
        <v>3392</v>
      </c>
    </row>
    <row r="24" spans="5:7" x14ac:dyDescent="0.2">
      <c r="E24" t="s">
        <v>3266</v>
      </c>
      <c r="F24" t="s">
        <v>3354</v>
      </c>
      <c r="G24" t="s">
        <v>3393</v>
      </c>
    </row>
    <row r="25" spans="5:7" x14ac:dyDescent="0.2">
      <c r="E25" t="s">
        <v>3270</v>
      </c>
      <c r="F25" t="s">
        <v>3355</v>
      </c>
      <c r="G25" t="s">
        <v>3394</v>
      </c>
    </row>
    <row r="26" spans="5:7" x14ac:dyDescent="0.2">
      <c r="E26" t="s">
        <v>3274</v>
      </c>
      <c r="F26" t="s">
        <v>3356</v>
      </c>
      <c r="G26" t="s">
        <v>3395</v>
      </c>
    </row>
    <row r="27" spans="5:7" x14ac:dyDescent="0.2">
      <c r="E27" t="s">
        <v>3278</v>
      </c>
      <c r="F27" t="s">
        <v>3357</v>
      </c>
      <c r="G27" t="s">
        <v>3396</v>
      </c>
    </row>
    <row r="28" spans="5:7" x14ac:dyDescent="0.2">
      <c r="E28" t="s">
        <v>3282</v>
      </c>
      <c r="F28" t="s">
        <v>3358</v>
      </c>
      <c r="G28" t="s">
        <v>3397</v>
      </c>
    </row>
    <row r="29" spans="5:7" x14ac:dyDescent="0.2">
      <c r="E29" t="s">
        <v>3286</v>
      </c>
      <c r="F29" t="s">
        <v>3359</v>
      </c>
      <c r="G29" t="s">
        <v>3398</v>
      </c>
    </row>
    <row r="30" spans="5:7" x14ac:dyDescent="0.2">
      <c r="E30" t="s">
        <v>3290</v>
      </c>
      <c r="F30" t="s">
        <v>3360</v>
      </c>
      <c r="G30" t="s">
        <v>3399</v>
      </c>
    </row>
    <row r="31" spans="5:7" x14ac:dyDescent="0.2">
      <c r="E31" t="s">
        <v>3294</v>
      </c>
      <c r="F31" t="s">
        <v>3361</v>
      </c>
      <c r="G31" t="s">
        <v>3400</v>
      </c>
    </row>
    <row r="32" spans="5:7" x14ac:dyDescent="0.2">
      <c r="E32" t="s">
        <v>3298</v>
      </c>
      <c r="F32" t="s">
        <v>3362</v>
      </c>
      <c r="G32" t="s">
        <v>3401</v>
      </c>
    </row>
    <row r="33" spans="5:7" x14ac:dyDescent="0.2">
      <c r="E33" t="s">
        <v>3302</v>
      </c>
      <c r="F33" t="s">
        <v>3363</v>
      </c>
      <c r="G33" t="s">
        <v>3402</v>
      </c>
    </row>
    <row r="34" spans="5:7" x14ac:dyDescent="0.2">
      <c r="E34" t="s">
        <v>3306</v>
      </c>
      <c r="F34" t="s">
        <v>3364</v>
      </c>
      <c r="G34" t="s">
        <v>3403</v>
      </c>
    </row>
    <row r="35" spans="5:7" x14ac:dyDescent="0.2">
      <c r="E35" t="s">
        <v>3310</v>
      </c>
      <c r="F35" t="s">
        <v>3365</v>
      </c>
      <c r="G35" t="s">
        <v>3404</v>
      </c>
    </row>
    <row r="36" spans="5:7" x14ac:dyDescent="0.2">
      <c r="E36" t="s">
        <v>3314</v>
      </c>
      <c r="F36" t="s">
        <v>3366</v>
      </c>
      <c r="G36" t="s">
        <v>3405</v>
      </c>
    </row>
    <row r="37" spans="5:7" x14ac:dyDescent="0.2">
      <c r="E37" t="s">
        <v>3318</v>
      </c>
      <c r="F37" t="s">
        <v>3367</v>
      </c>
      <c r="G37" t="s">
        <v>3406</v>
      </c>
    </row>
    <row r="38" spans="5:7" x14ac:dyDescent="0.2">
      <c r="E38" t="s">
        <v>3322</v>
      </c>
      <c r="F38" t="s">
        <v>3368</v>
      </c>
      <c r="G38" t="s">
        <v>3407</v>
      </c>
    </row>
    <row r="39" spans="5:7" x14ac:dyDescent="0.2">
      <c r="E39" t="s">
        <v>3326</v>
      </c>
      <c r="F39" t="s">
        <v>3369</v>
      </c>
      <c r="G39" t="s">
        <v>3408</v>
      </c>
    </row>
    <row r="40" spans="5:7" x14ac:dyDescent="0.2">
      <c r="E40" t="s">
        <v>3330</v>
      </c>
      <c r="F40" t="s">
        <v>3370</v>
      </c>
      <c r="G40" t="s">
        <v>3409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61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40" sqref="B40:AD40"/>
    </sheetView>
  </sheetViews>
  <sheetFormatPr defaultColWidth="9.140625" defaultRowHeight="20.25" customHeight="1" outlineLevelCol="1" x14ac:dyDescent="0.2"/>
  <cols>
    <col min="1" max="1" width="17.42578125" style="182" customWidth="1" outlineLevel="1"/>
    <col min="2" max="2" width="20" style="56" customWidth="1" outlineLevel="1"/>
    <col min="3" max="3" width="18.140625" style="56" customWidth="1" outlineLevel="1"/>
    <col min="4" max="4" width="20.7109375" style="56" customWidth="1" outlineLevel="1"/>
    <col min="5" max="5" width="17.85546875" style="87" customWidth="1" outlineLevel="1"/>
    <col min="6" max="6" width="13.85546875" style="58" customWidth="1" outlineLevel="1"/>
    <col min="7" max="7" width="20.140625" style="54" customWidth="1" outlineLevel="1"/>
    <col min="8" max="8" width="10.85546875" style="54" bestFit="1" customWidth="1" outlineLevel="1"/>
    <col min="9" max="9" width="43.85546875" style="56" customWidth="1" outlineLevel="1"/>
    <col min="10" max="10" width="12.28515625" style="58" customWidth="1" outlineLevel="1"/>
    <col min="11" max="11" width="16.5703125" style="58" customWidth="1" outlineLevel="1"/>
    <col min="12" max="12" width="66.140625" style="57" customWidth="1" outlineLevel="1"/>
    <col min="13" max="13" width="13.7109375" style="60" customWidth="1" outlineLevel="1"/>
    <col min="14" max="14" width="10" style="54" customWidth="1" outlineLevel="1"/>
    <col min="15" max="15" width="11.5703125" style="54" customWidth="1" outlineLevel="1"/>
    <col min="16" max="16" width="8" style="54" customWidth="1"/>
    <col min="17" max="17" width="5.140625" style="54" customWidth="1"/>
    <col min="18" max="18" width="3.5703125" style="54" customWidth="1"/>
    <col min="19" max="19" width="15.140625" style="56" customWidth="1"/>
    <col min="20" max="20" width="20.5703125" style="54" customWidth="1"/>
    <col min="21" max="21" width="13.5703125" style="54" customWidth="1"/>
    <col min="22" max="22" width="18.7109375" style="54" customWidth="1"/>
    <col min="23" max="26" width="20.85546875" style="54" customWidth="1"/>
    <col min="27" max="27" width="76.85546875" style="54" customWidth="1"/>
    <col min="28" max="28" width="63.5703125" style="54" customWidth="1"/>
    <col min="29" max="29" width="108.5703125" style="54" customWidth="1"/>
    <col min="30" max="30" width="11.42578125" style="54" customWidth="1"/>
    <col min="31" max="31" width="13.28515625" style="54" customWidth="1"/>
    <col min="32" max="32" width="13.85546875" style="54" customWidth="1"/>
    <col min="33" max="35" width="9.140625" style="54" customWidth="1"/>
    <col min="36" max="36" width="11" style="54" customWidth="1"/>
    <col min="37" max="37" width="9.85546875" style="54" customWidth="1"/>
    <col min="38" max="43" width="9.140625" style="54" customWidth="1"/>
    <col min="44" max="16384" width="9.140625" style="54"/>
  </cols>
  <sheetData>
    <row r="1" spans="1:32" ht="18.75" customHeight="1" x14ac:dyDescent="0.2">
      <c r="A1" s="103" t="s">
        <v>14</v>
      </c>
      <c r="B1" s="103" t="s">
        <v>20</v>
      </c>
      <c r="C1" s="103" t="s">
        <v>21</v>
      </c>
      <c r="D1" s="103" t="s">
        <v>13</v>
      </c>
      <c r="E1" s="103" t="s">
        <v>22</v>
      </c>
      <c r="F1" s="103" t="s">
        <v>18</v>
      </c>
      <c r="G1" s="103" t="s">
        <v>23</v>
      </c>
      <c r="H1" s="103"/>
      <c r="I1" s="103"/>
      <c r="J1" s="103" t="s">
        <v>24</v>
      </c>
      <c r="K1" s="103" t="s">
        <v>9</v>
      </c>
      <c r="L1" s="103" t="s">
        <v>12</v>
      </c>
      <c r="M1" s="103" t="s">
        <v>20</v>
      </c>
      <c r="N1" s="103" t="s">
        <v>25</v>
      </c>
      <c r="O1" s="103" t="s">
        <v>26</v>
      </c>
      <c r="P1" s="103" t="s">
        <v>27</v>
      </c>
      <c r="Q1" s="103" t="s">
        <v>28</v>
      </c>
      <c r="R1" s="103" t="s">
        <v>29</v>
      </c>
      <c r="S1" s="103" t="s">
        <v>30</v>
      </c>
      <c r="T1" s="103" t="s">
        <v>13</v>
      </c>
      <c r="U1" s="103" t="s">
        <v>31</v>
      </c>
      <c r="V1" s="103" t="s">
        <v>32</v>
      </c>
      <c r="W1" s="103" t="s">
        <v>15</v>
      </c>
      <c r="X1" s="103"/>
      <c r="Y1" s="103"/>
      <c r="Z1" s="103"/>
      <c r="AA1" s="103" t="s">
        <v>33</v>
      </c>
      <c r="AB1" s="103" t="s">
        <v>34</v>
      </c>
      <c r="AC1" s="103" t="s">
        <v>35</v>
      </c>
      <c r="AD1" s="103" t="s">
        <v>36</v>
      </c>
      <c r="AE1" s="187"/>
      <c r="AF1" s="85"/>
    </row>
    <row r="2" spans="1:32" s="55" customFormat="1" ht="20.100000000000001" customHeight="1" x14ac:dyDescent="0.25">
      <c r="A2" s="181" t="s">
        <v>3179</v>
      </c>
      <c r="B2" s="105"/>
      <c r="C2" s="106">
        <f t="shared" ref="C2" si="0">W2</f>
        <v>0</v>
      </c>
      <c r="D2" s="107" t="str">
        <f>VLOOKUP(A2,'APONTAMENTO CREDENCIAMENTO'!$D$6:$P$3058,12,0)</f>
        <v>6020.2022/0031800-9</v>
      </c>
      <c r="E2" s="108"/>
      <c r="F2" s="109" t="e">
        <f>SUMIF('APONTAMENTO CREDENCIAMENTO'!$D$6:$D$3058,'ATESTE-LIQ'!A2,'APONTAMENTO CREDENCIAMENTO'!#REF!)</f>
        <v>#REF!</v>
      </c>
      <c r="G2" s="255" t="str">
        <f>VLOOKUP(A2,'APONTAMENTO CREDENCIAMENTO'!$D$6:$G$3058,3,0)</f>
        <v>01/04/2026</v>
      </c>
      <c r="H2" s="255" t="str">
        <f>VLOOKUP(A2,'APONTAMENTO CREDENCIAMENTO'!$D$6:$G$3058,4,0)</f>
        <v>30/04/2026</v>
      </c>
      <c r="I2" s="110" t="str">
        <f t="shared" ref="I2" si="1">CONCATENATE("PE - Pagto. Doc(s): ",E2," - Contrato nº ",A2)</f>
        <v>PE - Pagto. Doc(s):  - Contrato nº 2022/0031800</v>
      </c>
      <c r="J2" s="111" t="e">
        <f t="shared" ref="J2" si="2">F2</f>
        <v>#REF!</v>
      </c>
      <c r="K2" s="111">
        <v>0</v>
      </c>
      <c r="L2" s="112" t="str">
        <f>VLOOKUP(A2,'APONTAMENTO CREDENCIAMENTO'!$D$6:$P$3058,5,0)</f>
        <v>AJENIAS PEREIRA</v>
      </c>
      <c r="M2" s="113"/>
      <c r="N2" s="114"/>
      <c r="O2" s="115"/>
      <c r="P2" s="116"/>
      <c r="Q2" s="116"/>
      <c r="R2" s="116"/>
      <c r="S2" s="117"/>
      <c r="T2" s="118" t="str">
        <f t="shared" ref="T2" si="3">D2</f>
        <v>6020.2022/0031800-9</v>
      </c>
      <c r="U2" s="119" t="e">
        <f t="shared" ref="U2" si="4">F2</f>
        <v>#REF!</v>
      </c>
      <c r="V2" s="120" t="e">
        <f t="shared" ref="V2" si="5">U2</f>
        <v>#REF!</v>
      </c>
      <c r="W2" s="104"/>
      <c r="X2" s="104"/>
      <c r="Y2" s="104"/>
      <c r="Z2" s="104"/>
      <c r="AA2" s="121" t="str">
        <f>CONCATENATE("Prestação de Serviço e Transpor. Escolar Gratuito - TEG n. ",A2," - DRE - " &amp;'BASE C'!$C$2)</f>
        <v>Prestação de Serviço e Transpor. Escolar Gratuito - TEG n. 2022/0031800 - DRE - G</v>
      </c>
      <c r="AB2" s="184" t="str">
        <f t="shared" ref="AB2" si="6">L2</f>
        <v>AJENIAS PEREIRA</v>
      </c>
      <c r="AC2" s="185"/>
      <c r="AD2" s="186"/>
      <c r="AE2" s="188"/>
      <c r="AF2" s="88"/>
    </row>
    <row r="3" spans="1:32" s="55" customFormat="1" ht="20.100000000000001" customHeight="1" x14ac:dyDescent="0.25">
      <c r="A3" s="569" t="s">
        <v>3251</v>
      </c>
      <c r="B3" s="105"/>
      <c r="C3" s="106">
        <f t="shared" ref="C3:C40" si="7">W3</f>
        <v>0</v>
      </c>
      <c r="D3" s="107" t="str">
        <f>VLOOKUP(A3,'APONTAMENTO CREDENCIAMENTO'!$D$6:$P$3058,12,0)</f>
        <v>6020.2022/0024483-8</v>
      </c>
      <c r="E3" s="108"/>
      <c r="F3" s="109" t="e">
        <f>SUMIF('APONTAMENTO CREDENCIAMENTO'!$D$6:$D$3058,'ATESTE-LIQ'!A3,'APONTAMENTO CREDENCIAMENTO'!#REF!)</f>
        <v>#REF!</v>
      </c>
      <c r="G3" s="255" t="str">
        <f>VLOOKUP(A3,'APONTAMENTO CREDENCIAMENTO'!$D$6:$G$3058,3,0)</f>
        <v>01/04/2026</v>
      </c>
      <c r="H3" s="255" t="str">
        <f>VLOOKUP(A3,'APONTAMENTO CREDENCIAMENTO'!$D$6:$G$3058,4,0)</f>
        <v>30/04/2026</v>
      </c>
      <c r="I3" s="110" t="str">
        <f t="shared" ref="I3:I40" si="8">CONCATENATE("PE - Pagto. Doc(s): ",E3," - Contrato nº ",A3)</f>
        <v>PE - Pagto. Doc(s):  - Contrato nº 2022/0024483</v>
      </c>
      <c r="J3" s="111" t="e">
        <f t="shared" ref="J3:J40" si="9">F3</f>
        <v>#REF!</v>
      </c>
      <c r="K3" s="111">
        <v>0</v>
      </c>
      <c r="L3" s="112" t="str">
        <f>VLOOKUP(A3,'APONTAMENTO CREDENCIAMENTO'!$D$6:$P$3058,5,0)</f>
        <v>GISELE BRITO DE MATOS MALAQUIAS</v>
      </c>
      <c r="M3" s="113"/>
      <c r="N3" s="114"/>
      <c r="O3" s="115"/>
      <c r="P3" s="116"/>
      <c r="Q3" s="116"/>
      <c r="R3" s="116"/>
      <c r="S3" s="117"/>
      <c r="T3" s="118" t="str">
        <f t="shared" ref="T3:T40" si="10">D3</f>
        <v>6020.2022/0024483-8</v>
      </c>
      <c r="U3" s="119" t="e">
        <f t="shared" ref="U3:U40" si="11">F3</f>
        <v>#REF!</v>
      </c>
      <c r="V3" s="120" t="e">
        <f t="shared" ref="V3:V40" si="12">U3</f>
        <v>#REF!</v>
      </c>
      <c r="W3" s="104"/>
      <c r="X3" s="104"/>
      <c r="Y3" s="104"/>
      <c r="Z3" s="104"/>
      <c r="AA3" s="121" t="str">
        <f>CONCATENATE("Prestação de Serviço e Transpor. Escolar Gratuito - TEG n. ",A3," - DRE - " &amp;'BASE C'!$C$2)</f>
        <v>Prestação de Serviço e Transpor. Escolar Gratuito - TEG n. 2022/0024483 - DRE - G</v>
      </c>
      <c r="AB3" s="184" t="str">
        <f t="shared" ref="AB3:AB40" si="13">L3</f>
        <v>GISELE BRITO DE MATOS MALAQUIAS</v>
      </c>
      <c r="AC3" s="185"/>
      <c r="AD3" s="186"/>
      <c r="AE3" s="188"/>
      <c r="AF3" s="88"/>
    </row>
    <row r="4" spans="1:32" s="55" customFormat="1" ht="20.100000000000001" customHeight="1" x14ac:dyDescent="0.25">
      <c r="A4" s="569" t="s">
        <v>3330</v>
      </c>
      <c r="B4" s="105"/>
      <c r="C4" s="106">
        <f t="shared" si="7"/>
        <v>0</v>
      </c>
      <c r="D4" s="107" t="str">
        <f>VLOOKUP(A4,'APONTAMENTO CREDENCIAMENTO'!$D$6:$P$3058,12,0)</f>
        <v>6020.2022/0024641-5</v>
      </c>
      <c r="E4" s="108"/>
      <c r="F4" s="109" t="e">
        <f>SUMIF('APONTAMENTO CREDENCIAMENTO'!$D$6:$D$3058,'ATESTE-LIQ'!A4,'APONTAMENTO CREDENCIAMENTO'!#REF!)</f>
        <v>#REF!</v>
      </c>
      <c r="G4" s="255" t="str">
        <f>VLOOKUP(A4,'APONTAMENTO CREDENCIAMENTO'!$D$6:$G$3058,3,0)</f>
        <v>01/04/2026</v>
      </c>
      <c r="H4" s="255" t="str">
        <f>VLOOKUP(A4,'APONTAMENTO CREDENCIAMENTO'!$D$6:$G$3058,4,0)</f>
        <v>30/04/2026</v>
      </c>
      <c r="I4" s="110" t="str">
        <f t="shared" si="8"/>
        <v>PE - Pagto. Doc(s):  - Contrato nº 2022/0024641</v>
      </c>
      <c r="J4" s="111" t="e">
        <f t="shared" si="9"/>
        <v>#REF!</v>
      </c>
      <c r="K4" s="111">
        <v>0</v>
      </c>
      <c r="L4" s="112" t="str">
        <f>VLOOKUP(A4,'APONTAMENTO CREDENCIAMENTO'!$D$6:$P$3058,5,0)</f>
        <v>WELLINGTON HENRIQUE RIBEIRO BRITO</v>
      </c>
      <c r="M4" s="113"/>
      <c r="N4" s="114"/>
      <c r="O4" s="115"/>
      <c r="P4" s="116"/>
      <c r="Q4" s="116"/>
      <c r="R4" s="116"/>
      <c r="S4" s="117"/>
      <c r="T4" s="118" t="str">
        <f t="shared" si="10"/>
        <v>6020.2022/0024641-5</v>
      </c>
      <c r="U4" s="119" t="e">
        <f t="shared" si="11"/>
        <v>#REF!</v>
      </c>
      <c r="V4" s="120" t="e">
        <f t="shared" si="12"/>
        <v>#REF!</v>
      </c>
      <c r="W4" s="104"/>
      <c r="X4" s="104"/>
      <c r="Y4" s="104"/>
      <c r="Z4" s="104"/>
      <c r="AA4" s="121" t="str">
        <f>CONCATENATE("Prestação de Serviço e Transpor. Escolar Gratuito - TEG n. ",A4," - DRE - " &amp;'BASE C'!$C$2)</f>
        <v>Prestação de Serviço e Transpor. Escolar Gratuito - TEG n. 2022/0024641 - DRE - G</v>
      </c>
      <c r="AB4" s="184" t="str">
        <f t="shared" si="13"/>
        <v>WELLINGTON HENRIQUE RIBEIRO BRITO</v>
      </c>
      <c r="AC4" s="185"/>
      <c r="AD4" s="186"/>
      <c r="AE4" s="188"/>
      <c r="AF4" s="88"/>
    </row>
    <row r="5" spans="1:32" s="55" customFormat="1" ht="20.100000000000001" customHeight="1" x14ac:dyDescent="0.25">
      <c r="A5" s="569" t="s">
        <v>3302</v>
      </c>
      <c r="B5" s="105"/>
      <c r="C5" s="106">
        <f t="shared" si="7"/>
        <v>0</v>
      </c>
      <c r="D5" s="107" t="str">
        <f>VLOOKUP(A5,'APONTAMENTO CREDENCIAMENTO'!$D$6:$P$3058,12,0)</f>
        <v>6020.2022/0026142-2</v>
      </c>
      <c r="E5" s="108"/>
      <c r="F5" s="109" t="e">
        <f>SUMIF('APONTAMENTO CREDENCIAMENTO'!$D$6:$D$3058,'ATESTE-LIQ'!A5,'APONTAMENTO CREDENCIAMENTO'!#REF!)</f>
        <v>#REF!</v>
      </c>
      <c r="G5" s="255" t="str">
        <f>VLOOKUP(A5,'APONTAMENTO CREDENCIAMENTO'!$D$6:$G$3058,3,0)</f>
        <v>01/04/2026</v>
      </c>
      <c r="H5" s="255" t="str">
        <f>VLOOKUP(A5,'APONTAMENTO CREDENCIAMENTO'!$D$6:$G$3058,4,0)</f>
        <v>30/04/2026</v>
      </c>
      <c r="I5" s="110" t="str">
        <f t="shared" si="8"/>
        <v>PE - Pagto. Doc(s):  - Contrato nº 2022/0026142</v>
      </c>
      <c r="J5" s="111" t="e">
        <f t="shared" si="9"/>
        <v>#REF!</v>
      </c>
      <c r="K5" s="111">
        <v>0</v>
      </c>
      <c r="L5" s="112" t="str">
        <f>VLOOKUP(A5,'APONTAMENTO CREDENCIAMENTO'!$D$6:$P$3058,5,0)</f>
        <v>MARIA JOSE COSTA CRUZ</v>
      </c>
      <c r="M5" s="113"/>
      <c r="N5" s="114"/>
      <c r="O5" s="115"/>
      <c r="P5" s="116"/>
      <c r="Q5" s="116"/>
      <c r="R5" s="116"/>
      <c r="S5" s="117"/>
      <c r="T5" s="118" t="str">
        <f t="shared" si="10"/>
        <v>6020.2022/0026142-2</v>
      </c>
      <c r="U5" s="119" t="e">
        <f t="shared" si="11"/>
        <v>#REF!</v>
      </c>
      <c r="V5" s="120" t="e">
        <f t="shared" si="12"/>
        <v>#REF!</v>
      </c>
      <c r="W5" s="104"/>
      <c r="X5" s="104"/>
      <c r="Y5" s="104"/>
      <c r="Z5" s="104"/>
      <c r="AA5" s="121" t="str">
        <f>CONCATENATE("Prestação de Serviço e Transpor. Escolar Gratuito - TEG n. ",A5," - DRE - " &amp;'BASE C'!$C$2)</f>
        <v>Prestação de Serviço e Transpor. Escolar Gratuito - TEG n. 2022/0026142 - DRE - G</v>
      </c>
      <c r="AB5" s="184" t="str">
        <f t="shared" si="13"/>
        <v>MARIA JOSE COSTA CRUZ</v>
      </c>
      <c r="AC5" s="185"/>
      <c r="AD5" s="186"/>
      <c r="AE5" s="188"/>
      <c r="AF5" s="88"/>
    </row>
    <row r="6" spans="1:32" s="55" customFormat="1" ht="20.100000000000001" customHeight="1" x14ac:dyDescent="0.25">
      <c r="A6" s="569" t="s">
        <v>3290</v>
      </c>
      <c r="B6" s="105"/>
      <c r="C6" s="106">
        <f t="shared" si="7"/>
        <v>0</v>
      </c>
      <c r="D6" s="107" t="str">
        <f>VLOOKUP(A6,'APONTAMENTO CREDENCIAMENTO'!$D$6:$P$3058,12,0)</f>
        <v>6020.2022/0026857-5</v>
      </c>
      <c r="E6" s="108"/>
      <c r="F6" s="109" t="e">
        <f>SUMIF('APONTAMENTO CREDENCIAMENTO'!$D$6:$D$3058,'ATESTE-LIQ'!A6,'APONTAMENTO CREDENCIAMENTO'!#REF!)</f>
        <v>#REF!</v>
      </c>
      <c r="G6" s="255" t="str">
        <f>VLOOKUP(A6,'APONTAMENTO CREDENCIAMENTO'!$D$6:$G$3058,3,0)</f>
        <v>01/04/2026</v>
      </c>
      <c r="H6" s="255" t="str">
        <f>VLOOKUP(A6,'APONTAMENTO CREDENCIAMENTO'!$D$6:$G$3058,4,0)</f>
        <v>30/04/2026</v>
      </c>
      <c r="I6" s="110" t="str">
        <f t="shared" si="8"/>
        <v>PE - Pagto. Doc(s):  - Contrato nº 2022/0026857</v>
      </c>
      <c r="J6" s="111" t="e">
        <f t="shared" si="9"/>
        <v>#REF!</v>
      </c>
      <c r="K6" s="111">
        <v>0</v>
      </c>
      <c r="L6" s="112" t="str">
        <f>VLOOKUP(A6,'APONTAMENTO CREDENCIAMENTO'!$D$6:$P$3058,5,0)</f>
        <v>MARCOS DA SILVA CORDEIRO</v>
      </c>
      <c r="M6" s="113"/>
      <c r="N6" s="114"/>
      <c r="O6" s="115"/>
      <c r="P6" s="116"/>
      <c r="Q6" s="116"/>
      <c r="R6" s="116"/>
      <c r="S6" s="117"/>
      <c r="T6" s="118" t="str">
        <f t="shared" si="10"/>
        <v>6020.2022/0026857-5</v>
      </c>
      <c r="U6" s="119" t="e">
        <f t="shared" si="11"/>
        <v>#REF!</v>
      </c>
      <c r="V6" s="120" t="e">
        <f t="shared" si="12"/>
        <v>#REF!</v>
      </c>
      <c r="W6" s="104"/>
      <c r="X6" s="104"/>
      <c r="Y6" s="104"/>
      <c r="Z6" s="104"/>
      <c r="AA6" s="121" t="str">
        <f>CONCATENATE("Prestação de Serviço e Transpor. Escolar Gratuito - TEG n. ",A6," - DRE - " &amp;'BASE C'!$C$2)</f>
        <v>Prestação de Serviço e Transpor. Escolar Gratuito - TEG n. 2022/0026857 - DRE - G</v>
      </c>
      <c r="AB6" s="184" t="str">
        <f t="shared" si="13"/>
        <v>MARCOS DA SILVA CORDEIRO</v>
      </c>
      <c r="AC6" s="185"/>
      <c r="AD6" s="186"/>
      <c r="AE6" s="188"/>
      <c r="AF6" s="88"/>
    </row>
    <row r="7" spans="1:32" s="55" customFormat="1" ht="20.100000000000001" customHeight="1" x14ac:dyDescent="0.25">
      <c r="A7" s="569" t="s">
        <v>3310</v>
      </c>
      <c r="B7" s="105"/>
      <c r="C7" s="106">
        <f t="shared" si="7"/>
        <v>0</v>
      </c>
      <c r="D7" s="107" t="str">
        <f>VLOOKUP(A7,'APONTAMENTO CREDENCIAMENTO'!$D$6:$P$3058,12,0)</f>
        <v>6020.2022/0026954-7</v>
      </c>
      <c r="E7" s="108"/>
      <c r="F7" s="109" t="e">
        <f>SUMIF('APONTAMENTO CREDENCIAMENTO'!$D$6:$D$3058,'ATESTE-LIQ'!A7,'APONTAMENTO CREDENCIAMENTO'!#REF!)</f>
        <v>#REF!</v>
      </c>
      <c r="G7" s="255" t="str">
        <f>VLOOKUP(A7,'APONTAMENTO CREDENCIAMENTO'!$D$6:$G$3058,3,0)</f>
        <v>01/04/2026</v>
      </c>
      <c r="H7" s="255" t="str">
        <f>VLOOKUP(A7,'APONTAMENTO CREDENCIAMENTO'!$D$6:$G$3058,4,0)</f>
        <v>30/04/2026</v>
      </c>
      <c r="I7" s="110" t="str">
        <f t="shared" si="8"/>
        <v>PE - Pagto. Doc(s):  - Contrato nº 2022/0026954</v>
      </c>
      <c r="J7" s="111" t="e">
        <f t="shared" si="9"/>
        <v>#REF!</v>
      </c>
      <c r="K7" s="111">
        <v>0</v>
      </c>
      <c r="L7" s="112" t="str">
        <f>VLOOKUP(A7,'APONTAMENTO CREDENCIAMENTO'!$D$6:$P$3058,5,0)</f>
        <v>ORLANDO MENDES DO NASCIMENTO</v>
      </c>
      <c r="M7" s="113"/>
      <c r="N7" s="114"/>
      <c r="O7" s="115"/>
      <c r="P7" s="116"/>
      <c r="Q7" s="116"/>
      <c r="R7" s="116"/>
      <c r="S7" s="117"/>
      <c r="T7" s="118" t="str">
        <f t="shared" si="10"/>
        <v>6020.2022/0026954-7</v>
      </c>
      <c r="U7" s="119" t="e">
        <f t="shared" si="11"/>
        <v>#REF!</v>
      </c>
      <c r="V7" s="120" t="e">
        <f t="shared" si="12"/>
        <v>#REF!</v>
      </c>
      <c r="W7" s="104"/>
      <c r="X7" s="104"/>
      <c r="Y7" s="104"/>
      <c r="Z7" s="104"/>
      <c r="AA7" s="121" t="str">
        <f>CONCATENATE("Prestação de Serviço e Transpor. Escolar Gratuito - TEG n. ",A7," - DRE - " &amp;'BASE C'!$C$2)</f>
        <v>Prestação de Serviço e Transpor. Escolar Gratuito - TEG n. 2022/0026954 - DRE - G</v>
      </c>
      <c r="AB7" s="184" t="str">
        <f t="shared" si="13"/>
        <v>ORLANDO MENDES DO NASCIMENTO</v>
      </c>
      <c r="AC7" s="185"/>
      <c r="AD7" s="186"/>
      <c r="AE7" s="188"/>
      <c r="AF7" s="88"/>
    </row>
    <row r="8" spans="1:32" s="55" customFormat="1" ht="20.100000000000001" customHeight="1" x14ac:dyDescent="0.25">
      <c r="A8" s="569" t="s">
        <v>3286</v>
      </c>
      <c r="B8" s="105"/>
      <c r="C8" s="106">
        <f t="shared" si="7"/>
        <v>0</v>
      </c>
      <c r="D8" s="107" t="str">
        <f>VLOOKUP(A8,'APONTAMENTO CREDENCIAMENTO'!$D$6:$P$3058,12,0)</f>
        <v>6020.2022/0027509-1</v>
      </c>
      <c r="E8" s="108"/>
      <c r="F8" s="109" t="e">
        <f>SUMIF('APONTAMENTO CREDENCIAMENTO'!$D$6:$D$3058,'ATESTE-LIQ'!A8,'APONTAMENTO CREDENCIAMENTO'!#REF!)</f>
        <v>#REF!</v>
      </c>
      <c r="G8" s="255" t="str">
        <f>VLOOKUP(A8,'APONTAMENTO CREDENCIAMENTO'!$D$6:$G$3058,3,0)</f>
        <v>01/04/2026</v>
      </c>
      <c r="H8" s="255" t="str">
        <f>VLOOKUP(A8,'APONTAMENTO CREDENCIAMENTO'!$D$6:$G$3058,4,0)</f>
        <v>30/04/2026</v>
      </c>
      <c r="I8" s="110" t="str">
        <f t="shared" si="8"/>
        <v>PE - Pagto. Doc(s):  - Contrato nº 2022/0027509</v>
      </c>
      <c r="J8" s="111" t="e">
        <f t="shared" si="9"/>
        <v>#REF!</v>
      </c>
      <c r="K8" s="111">
        <v>0</v>
      </c>
      <c r="L8" s="112" t="str">
        <f>VLOOKUP(A8,'APONTAMENTO CREDENCIAMENTO'!$D$6:$P$3058,5,0)</f>
        <v>MARCOS ANTONIO SANTOS DA SILVA</v>
      </c>
      <c r="M8" s="113"/>
      <c r="N8" s="114"/>
      <c r="O8" s="115"/>
      <c r="P8" s="116"/>
      <c r="Q8" s="116"/>
      <c r="R8" s="116"/>
      <c r="S8" s="117"/>
      <c r="T8" s="118" t="str">
        <f t="shared" si="10"/>
        <v>6020.2022/0027509-1</v>
      </c>
      <c r="U8" s="119" t="e">
        <f t="shared" si="11"/>
        <v>#REF!</v>
      </c>
      <c r="V8" s="120" t="e">
        <f t="shared" si="12"/>
        <v>#REF!</v>
      </c>
      <c r="W8" s="104"/>
      <c r="X8" s="104"/>
      <c r="Y8" s="104"/>
      <c r="Z8" s="104"/>
      <c r="AA8" s="121" t="str">
        <f>CONCATENATE("Prestação de Serviço e Transpor. Escolar Gratuito - TEG n. ",A8," - DRE - " &amp;'BASE C'!$C$2)</f>
        <v>Prestação de Serviço e Transpor. Escolar Gratuito - TEG n. 2022/0027509 - DRE - G</v>
      </c>
      <c r="AB8" s="184" t="str">
        <f t="shared" si="13"/>
        <v>MARCOS ANTONIO SANTOS DA SILVA</v>
      </c>
      <c r="AC8" s="185"/>
      <c r="AD8" s="186"/>
      <c r="AE8" s="188"/>
      <c r="AF8" s="88"/>
    </row>
    <row r="9" spans="1:32" s="55" customFormat="1" ht="20.100000000000001" customHeight="1" x14ac:dyDescent="0.25">
      <c r="A9" s="569" t="s">
        <v>3183</v>
      </c>
      <c r="B9" s="105"/>
      <c r="C9" s="106">
        <f t="shared" si="7"/>
        <v>0</v>
      </c>
      <c r="D9" s="107" t="str">
        <f>VLOOKUP(A9,'APONTAMENTO CREDENCIAMENTO'!$D$6:$P$3058,12,0)</f>
        <v>6020.2022/0029218-2</v>
      </c>
      <c r="E9" s="108"/>
      <c r="F9" s="109" t="e">
        <f>SUMIF('APONTAMENTO CREDENCIAMENTO'!$D$6:$D$3058,'ATESTE-LIQ'!A9,'APONTAMENTO CREDENCIAMENTO'!#REF!)</f>
        <v>#REF!</v>
      </c>
      <c r="G9" s="255" t="str">
        <f>VLOOKUP(A9,'APONTAMENTO CREDENCIAMENTO'!$D$6:$G$3058,3,0)</f>
        <v>01/04/2026</v>
      </c>
      <c r="H9" s="255" t="str">
        <f>VLOOKUP(A9,'APONTAMENTO CREDENCIAMENTO'!$D$6:$G$3058,4,0)</f>
        <v>30/04/2026</v>
      </c>
      <c r="I9" s="110" t="str">
        <f t="shared" si="8"/>
        <v>PE - Pagto. Doc(s):  - Contrato nº 2022/0029218</v>
      </c>
      <c r="J9" s="111" t="e">
        <f t="shared" si="9"/>
        <v>#REF!</v>
      </c>
      <c r="K9" s="111">
        <v>0</v>
      </c>
      <c r="L9" s="112" t="str">
        <f>VLOOKUP(A9,'APONTAMENTO CREDENCIAMENTO'!$D$6:$P$3058,5,0)</f>
        <v>ALTAIR ELIAS CARNEIRO</v>
      </c>
      <c r="M9" s="113"/>
      <c r="N9" s="114"/>
      <c r="O9" s="115"/>
      <c r="P9" s="116"/>
      <c r="Q9" s="116"/>
      <c r="R9" s="116"/>
      <c r="S9" s="117"/>
      <c r="T9" s="118" t="str">
        <f t="shared" si="10"/>
        <v>6020.2022/0029218-2</v>
      </c>
      <c r="U9" s="119" t="e">
        <f t="shared" si="11"/>
        <v>#REF!</v>
      </c>
      <c r="V9" s="120" t="e">
        <f t="shared" si="12"/>
        <v>#REF!</v>
      </c>
      <c r="W9" s="104"/>
      <c r="X9" s="104"/>
      <c r="Y9" s="104"/>
      <c r="Z9" s="104"/>
      <c r="AA9" s="121" t="str">
        <f>CONCATENATE("Prestação de Serviço e Transpor. Escolar Gratuito - TEG n. ",A9," - DRE - " &amp;'BASE C'!$C$2)</f>
        <v>Prestação de Serviço e Transpor. Escolar Gratuito - TEG n. 2022/0029218 - DRE - G</v>
      </c>
      <c r="AB9" s="184" t="str">
        <f t="shared" si="13"/>
        <v>ALTAIR ELIAS CARNEIRO</v>
      </c>
      <c r="AC9" s="185"/>
      <c r="AD9" s="186"/>
      <c r="AE9" s="188"/>
      <c r="AF9" s="88"/>
    </row>
    <row r="10" spans="1:32" s="55" customFormat="1" ht="20.100000000000001" customHeight="1" x14ac:dyDescent="0.25">
      <c r="A10" s="569" t="s">
        <v>3207</v>
      </c>
      <c r="B10" s="105"/>
      <c r="C10" s="106">
        <f t="shared" si="7"/>
        <v>0</v>
      </c>
      <c r="D10" s="107" t="str">
        <f>VLOOKUP(A10,'APONTAMENTO CREDENCIAMENTO'!$D$6:$P$3058,12,0)</f>
        <v>6020.2022/0029260-3</v>
      </c>
      <c r="E10" s="108"/>
      <c r="F10" s="109" t="e">
        <f>SUMIF('APONTAMENTO CREDENCIAMENTO'!$D$6:$D$3058,'ATESTE-LIQ'!A10,'APONTAMENTO CREDENCIAMENTO'!#REF!)</f>
        <v>#REF!</v>
      </c>
      <c r="G10" s="255" t="str">
        <f>VLOOKUP(A10,'APONTAMENTO CREDENCIAMENTO'!$D$6:$G$3058,3,0)</f>
        <v>01/04/2026</v>
      </c>
      <c r="H10" s="255" t="str">
        <f>VLOOKUP(A10,'APONTAMENTO CREDENCIAMENTO'!$D$6:$G$3058,4,0)</f>
        <v>30/04/2026</v>
      </c>
      <c r="I10" s="110" t="str">
        <f t="shared" si="8"/>
        <v>PE - Pagto. Doc(s):  - Contrato nº 2022/0029260</v>
      </c>
      <c r="J10" s="111" t="e">
        <f t="shared" si="9"/>
        <v>#REF!</v>
      </c>
      <c r="K10" s="111">
        <v>0</v>
      </c>
      <c r="L10" s="112" t="str">
        <f>VLOOKUP(A10,'APONTAMENTO CREDENCIAMENTO'!$D$6:$P$3058,5,0)</f>
        <v>CLAUDEMIR CORREIA E SILVA</v>
      </c>
      <c r="M10" s="113"/>
      <c r="N10" s="114"/>
      <c r="O10" s="115"/>
      <c r="P10" s="116"/>
      <c r="Q10" s="116"/>
      <c r="R10" s="116"/>
      <c r="S10" s="117"/>
      <c r="T10" s="118" t="str">
        <f t="shared" si="10"/>
        <v>6020.2022/0029260-3</v>
      </c>
      <c r="U10" s="119" t="e">
        <f t="shared" si="11"/>
        <v>#REF!</v>
      </c>
      <c r="V10" s="120" t="e">
        <f t="shared" si="12"/>
        <v>#REF!</v>
      </c>
      <c r="W10" s="104"/>
      <c r="X10" s="104"/>
      <c r="Y10" s="104"/>
      <c r="Z10" s="104"/>
      <c r="AA10" s="121" t="str">
        <f>CONCATENATE("Prestação de Serviço e Transpor. Escolar Gratuito - TEG n. ",A10," - DRE - " &amp;'BASE C'!$C$2)</f>
        <v>Prestação de Serviço e Transpor. Escolar Gratuito - TEG n. 2022/0029260 - DRE - G</v>
      </c>
      <c r="AB10" s="184" t="str">
        <f t="shared" si="13"/>
        <v>CLAUDEMIR CORREIA E SILVA</v>
      </c>
      <c r="AC10" s="185"/>
      <c r="AD10" s="186"/>
      <c r="AE10" s="188"/>
      <c r="AF10" s="88"/>
    </row>
    <row r="11" spans="1:32" s="55" customFormat="1" ht="20.100000000000001" customHeight="1" x14ac:dyDescent="0.25">
      <c r="A11" s="569" t="s">
        <v>3219</v>
      </c>
      <c r="B11" s="105"/>
      <c r="C11" s="106">
        <f t="shared" si="7"/>
        <v>0</v>
      </c>
      <c r="D11" s="107" t="str">
        <f>VLOOKUP(A11,'APONTAMENTO CREDENCIAMENTO'!$D$6:$P$3058,12,0)</f>
        <v>6020.2022/0029282-4</v>
      </c>
      <c r="E11" s="108"/>
      <c r="F11" s="109" t="e">
        <f>SUMIF('APONTAMENTO CREDENCIAMENTO'!$D$6:$D$3058,'ATESTE-LIQ'!A11,'APONTAMENTO CREDENCIAMENTO'!#REF!)</f>
        <v>#REF!</v>
      </c>
      <c r="G11" s="255" t="str">
        <f>VLOOKUP(A11,'APONTAMENTO CREDENCIAMENTO'!$D$6:$G$3058,3,0)</f>
        <v>01/04/2026</v>
      </c>
      <c r="H11" s="255" t="str">
        <f>VLOOKUP(A11,'APONTAMENTO CREDENCIAMENTO'!$D$6:$G$3058,4,0)</f>
        <v>30/04/2026</v>
      </c>
      <c r="I11" s="110" t="str">
        <f t="shared" si="8"/>
        <v>PE - Pagto. Doc(s):  - Contrato nº 2022/0029282</v>
      </c>
      <c r="J11" s="111" t="e">
        <f t="shared" si="9"/>
        <v>#REF!</v>
      </c>
      <c r="K11" s="111">
        <v>0</v>
      </c>
      <c r="L11" s="112" t="str">
        <f>VLOOKUP(A11,'APONTAMENTO CREDENCIAMENTO'!$D$6:$P$3058,5,0)</f>
        <v>EDUARDO MARSURA DOS SANTOS</v>
      </c>
      <c r="M11" s="113"/>
      <c r="N11" s="114"/>
      <c r="O11" s="115"/>
      <c r="P11" s="116"/>
      <c r="Q11" s="116"/>
      <c r="R11" s="116"/>
      <c r="S11" s="117"/>
      <c r="T11" s="118" t="str">
        <f t="shared" si="10"/>
        <v>6020.2022/0029282-4</v>
      </c>
      <c r="U11" s="119" t="e">
        <f t="shared" si="11"/>
        <v>#REF!</v>
      </c>
      <c r="V11" s="120" t="e">
        <f t="shared" si="12"/>
        <v>#REF!</v>
      </c>
      <c r="W11" s="104"/>
      <c r="X11" s="104"/>
      <c r="Y11" s="104"/>
      <c r="Z11" s="104"/>
      <c r="AA11" s="121" t="str">
        <f>CONCATENATE("Prestação de Serviço e Transpor. Escolar Gratuito - TEG n. ",A11," - DRE - " &amp;'BASE C'!$C$2)</f>
        <v>Prestação de Serviço e Transpor. Escolar Gratuito - TEG n. 2022/0029282 - DRE - G</v>
      </c>
      <c r="AB11" s="184" t="str">
        <f t="shared" si="13"/>
        <v>EDUARDO MARSURA DOS SANTOS</v>
      </c>
      <c r="AC11" s="185"/>
      <c r="AD11" s="186"/>
      <c r="AE11" s="188"/>
      <c r="AF11" s="88"/>
    </row>
    <row r="12" spans="1:32" s="55" customFormat="1" ht="20.100000000000001" customHeight="1" x14ac:dyDescent="0.25">
      <c r="A12" s="569" t="s">
        <v>3227</v>
      </c>
      <c r="B12" s="105"/>
      <c r="C12" s="106">
        <f t="shared" si="7"/>
        <v>0</v>
      </c>
      <c r="D12" s="107" t="str">
        <f>VLOOKUP(A12,'APONTAMENTO CREDENCIAMENTO'!$D$6:$P$3058,12,0)</f>
        <v>6020.2022/0029586-6</v>
      </c>
      <c r="E12" s="108"/>
      <c r="F12" s="109" t="e">
        <f>SUMIF('APONTAMENTO CREDENCIAMENTO'!$D$6:$D$3058,'ATESTE-LIQ'!A12,'APONTAMENTO CREDENCIAMENTO'!#REF!)</f>
        <v>#REF!</v>
      </c>
      <c r="G12" s="255" t="str">
        <f>VLOOKUP(A12,'APONTAMENTO CREDENCIAMENTO'!$D$6:$G$3058,3,0)</f>
        <v>01/04/2026</v>
      </c>
      <c r="H12" s="255" t="str">
        <f>VLOOKUP(A12,'APONTAMENTO CREDENCIAMENTO'!$D$6:$G$3058,4,0)</f>
        <v>30/04/2026</v>
      </c>
      <c r="I12" s="110" t="str">
        <f t="shared" si="8"/>
        <v>PE - Pagto. Doc(s):  - Contrato nº 2022/0029586</v>
      </c>
      <c r="J12" s="111" t="e">
        <f t="shared" si="9"/>
        <v>#REF!</v>
      </c>
      <c r="K12" s="111">
        <v>0</v>
      </c>
      <c r="L12" s="112" t="str">
        <f>VLOOKUP(A12,'APONTAMENTO CREDENCIAMENTO'!$D$6:$P$3058,5,0)</f>
        <v>ELIANA PEREIRA SILVA DE FARIA</v>
      </c>
      <c r="M12" s="113"/>
      <c r="N12" s="114"/>
      <c r="O12" s="115"/>
      <c r="P12" s="116"/>
      <c r="Q12" s="116"/>
      <c r="R12" s="116"/>
      <c r="S12" s="117"/>
      <c r="T12" s="118" t="str">
        <f t="shared" si="10"/>
        <v>6020.2022/0029586-6</v>
      </c>
      <c r="U12" s="119" t="e">
        <f t="shared" si="11"/>
        <v>#REF!</v>
      </c>
      <c r="V12" s="120" t="e">
        <f t="shared" si="12"/>
        <v>#REF!</v>
      </c>
      <c r="W12" s="104"/>
      <c r="X12" s="104"/>
      <c r="Y12" s="104"/>
      <c r="Z12" s="104"/>
      <c r="AA12" s="121" t="str">
        <f>CONCATENATE("Prestação de Serviço e Transpor. Escolar Gratuito - TEG n. ",A12," - DRE - " &amp;'BASE C'!$C$2)</f>
        <v>Prestação de Serviço e Transpor. Escolar Gratuito - TEG n. 2022/0029586 - DRE - G</v>
      </c>
      <c r="AB12" s="184" t="str">
        <f t="shared" si="13"/>
        <v>ELIANA PEREIRA SILVA DE FARIA</v>
      </c>
      <c r="AC12" s="185"/>
      <c r="AD12" s="186"/>
      <c r="AE12" s="188"/>
      <c r="AF12" s="88"/>
    </row>
    <row r="13" spans="1:32" s="55" customFormat="1" ht="20.100000000000001" customHeight="1" x14ac:dyDescent="0.25">
      <c r="A13" s="569" t="s">
        <v>3278</v>
      </c>
      <c r="B13" s="105"/>
      <c r="C13" s="106">
        <f t="shared" si="7"/>
        <v>0</v>
      </c>
      <c r="D13" s="107" t="str">
        <f>VLOOKUP(A13,'APONTAMENTO CREDENCIAMENTO'!$D$6:$P$3058,12,0)</f>
        <v>6020.2022/0029876-8</v>
      </c>
      <c r="E13" s="108"/>
      <c r="F13" s="109" t="e">
        <f>SUMIF('APONTAMENTO CREDENCIAMENTO'!$D$6:$D$3058,'ATESTE-LIQ'!A13,'APONTAMENTO CREDENCIAMENTO'!#REF!)</f>
        <v>#REF!</v>
      </c>
      <c r="G13" s="255" t="str">
        <f>VLOOKUP(A13,'APONTAMENTO CREDENCIAMENTO'!$D$6:$G$3058,3,0)</f>
        <v>01/04/2026</v>
      </c>
      <c r="H13" s="255" t="str">
        <f>VLOOKUP(A13,'APONTAMENTO CREDENCIAMENTO'!$D$6:$G$3058,4,0)</f>
        <v>30/04/2026</v>
      </c>
      <c r="I13" s="110" t="str">
        <f t="shared" si="8"/>
        <v>PE - Pagto. Doc(s):  - Contrato nº 2022/0029876</v>
      </c>
      <c r="J13" s="111" t="e">
        <f t="shared" si="9"/>
        <v>#REF!</v>
      </c>
      <c r="K13" s="111">
        <v>0</v>
      </c>
      <c r="L13" s="112" t="str">
        <f>VLOOKUP(A13,'APONTAMENTO CREDENCIAMENTO'!$D$6:$P$3058,5,0)</f>
        <v>LOURINALDO PONTES DE OLIVEIRA</v>
      </c>
      <c r="M13" s="113"/>
      <c r="N13" s="114"/>
      <c r="O13" s="115"/>
      <c r="P13" s="116"/>
      <c r="Q13" s="116"/>
      <c r="R13" s="116"/>
      <c r="S13" s="117"/>
      <c r="T13" s="118" t="str">
        <f t="shared" si="10"/>
        <v>6020.2022/0029876-8</v>
      </c>
      <c r="U13" s="119" t="e">
        <f t="shared" si="11"/>
        <v>#REF!</v>
      </c>
      <c r="V13" s="120" t="e">
        <f t="shared" si="12"/>
        <v>#REF!</v>
      </c>
      <c r="W13" s="104"/>
      <c r="X13" s="104"/>
      <c r="Y13" s="104"/>
      <c r="Z13" s="104"/>
      <c r="AA13" s="121" t="str">
        <f>CONCATENATE("Prestação de Serviço e Transpor. Escolar Gratuito - TEG n. ",A13," - DRE - " &amp;'BASE C'!$C$2)</f>
        <v>Prestação de Serviço e Transpor. Escolar Gratuito - TEG n. 2022/0029876 - DRE - G</v>
      </c>
      <c r="AB13" s="184" t="str">
        <f t="shared" si="13"/>
        <v>LOURINALDO PONTES DE OLIVEIRA</v>
      </c>
      <c r="AC13" s="185"/>
      <c r="AD13" s="186"/>
      <c r="AE13" s="188"/>
      <c r="AF13" s="88"/>
    </row>
    <row r="14" spans="1:32" s="55" customFormat="1" ht="20.100000000000001" customHeight="1" x14ac:dyDescent="0.25">
      <c r="A14" s="569" t="s">
        <v>3243</v>
      </c>
      <c r="B14" s="105"/>
      <c r="C14" s="106">
        <f t="shared" si="7"/>
        <v>0</v>
      </c>
      <c r="D14" s="107" t="str">
        <f>VLOOKUP(A14,'APONTAMENTO CREDENCIAMENTO'!$D$6:$P$3058,12,0)</f>
        <v>6020.2022/0031049-0</v>
      </c>
      <c r="E14" s="108"/>
      <c r="F14" s="109" t="e">
        <f>SUMIF('APONTAMENTO CREDENCIAMENTO'!$D$6:$D$3058,'ATESTE-LIQ'!A14,'APONTAMENTO CREDENCIAMENTO'!#REF!)</f>
        <v>#REF!</v>
      </c>
      <c r="G14" s="255" t="str">
        <f>VLOOKUP(A14,'APONTAMENTO CREDENCIAMENTO'!$D$6:$G$3058,3,0)</f>
        <v>01/04/2026</v>
      </c>
      <c r="H14" s="255" t="str">
        <f>VLOOKUP(A14,'APONTAMENTO CREDENCIAMENTO'!$D$6:$G$3058,4,0)</f>
        <v>30/04/2026</v>
      </c>
      <c r="I14" s="110" t="str">
        <f t="shared" si="8"/>
        <v>PE - Pagto. Doc(s):  - Contrato nº 2022/0031049</v>
      </c>
      <c r="J14" s="111" t="e">
        <f t="shared" si="9"/>
        <v>#REF!</v>
      </c>
      <c r="K14" s="111">
        <v>0</v>
      </c>
      <c r="L14" s="112" t="str">
        <f>VLOOKUP(A14,'APONTAMENTO CREDENCIAMENTO'!$D$6:$P$3058,5,0)</f>
        <v>GETRAN SANTOS</v>
      </c>
      <c r="M14" s="113"/>
      <c r="N14" s="114"/>
      <c r="O14" s="115"/>
      <c r="P14" s="116"/>
      <c r="Q14" s="116"/>
      <c r="R14" s="116"/>
      <c r="S14" s="117"/>
      <c r="T14" s="118" t="str">
        <f t="shared" si="10"/>
        <v>6020.2022/0031049-0</v>
      </c>
      <c r="U14" s="119" t="e">
        <f t="shared" si="11"/>
        <v>#REF!</v>
      </c>
      <c r="V14" s="120" t="e">
        <f t="shared" si="12"/>
        <v>#REF!</v>
      </c>
      <c r="W14" s="104"/>
      <c r="X14" s="104"/>
      <c r="Y14" s="104"/>
      <c r="Z14" s="104"/>
      <c r="AA14" s="121" t="str">
        <f>CONCATENATE("Prestação de Serviço e Transpor. Escolar Gratuito - TEG n. ",A14," - DRE - " &amp;'BASE C'!$C$2)</f>
        <v>Prestação de Serviço e Transpor. Escolar Gratuito - TEG n. 2022/0031049 - DRE - G</v>
      </c>
      <c r="AB14" s="184" t="str">
        <f t="shared" si="13"/>
        <v>GETRAN SANTOS</v>
      </c>
      <c r="AC14" s="185"/>
      <c r="AD14" s="186"/>
      <c r="AE14" s="188"/>
      <c r="AF14" s="88"/>
    </row>
    <row r="15" spans="1:32" s="55" customFormat="1" ht="20.100000000000001" customHeight="1" x14ac:dyDescent="0.25">
      <c r="A15" s="569" t="s">
        <v>3294</v>
      </c>
      <c r="B15" s="105"/>
      <c r="C15" s="106">
        <f t="shared" si="7"/>
        <v>0</v>
      </c>
      <c r="D15" s="107" t="str">
        <f>VLOOKUP(A15,'APONTAMENTO CREDENCIAMENTO'!$D$6:$P$3058,12,0)</f>
        <v>6020.2022/0031365-1</v>
      </c>
      <c r="E15" s="108"/>
      <c r="F15" s="109" t="e">
        <f>SUMIF('APONTAMENTO CREDENCIAMENTO'!$D$6:$D$3058,'ATESTE-LIQ'!A15,'APONTAMENTO CREDENCIAMENTO'!#REF!)</f>
        <v>#REF!</v>
      </c>
      <c r="G15" s="255" t="str">
        <f>VLOOKUP(A15,'APONTAMENTO CREDENCIAMENTO'!$D$6:$G$3058,3,0)</f>
        <v>01/04/2026</v>
      </c>
      <c r="H15" s="255" t="str">
        <f>VLOOKUP(A15,'APONTAMENTO CREDENCIAMENTO'!$D$6:$G$3058,4,0)</f>
        <v>30/04/2026</v>
      </c>
      <c r="I15" s="110" t="str">
        <f t="shared" si="8"/>
        <v>PE - Pagto. Doc(s):  - Contrato nº 2022/0031365</v>
      </c>
      <c r="J15" s="111" t="e">
        <f t="shared" si="9"/>
        <v>#REF!</v>
      </c>
      <c r="K15" s="111">
        <v>0</v>
      </c>
      <c r="L15" s="112" t="str">
        <f>VLOOKUP(A15,'APONTAMENTO CREDENCIAMENTO'!$D$6:$P$3058,5,0)</f>
        <v>MARCOS DUARTE BRITO</v>
      </c>
      <c r="M15" s="113"/>
      <c r="N15" s="114"/>
      <c r="O15" s="115"/>
      <c r="P15" s="116"/>
      <c r="Q15" s="116"/>
      <c r="R15" s="116"/>
      <c r="S15" s="117"/>
      <c r="T15" s="118" t="str">
        <f t="shared" si="10"/>
        <v>6020.2022/0031365-1</v>
      </c>
      <c r="U15" s="119" t="e">
        <f t="shared" si="11"/>
        <v>#REF!</v>
      </c>
      <c r="V15" s="120" t="e">
        <f t="shared" si="12"/>
        <v>#REF!</v>
      </c>
      <c r="W15" s="104"/>
      <c r="X15" s="104"/>
      <c r="Y15" s="104"/>
      <c r="Z15" s="104"/>
      <c r="AA15" s="121" t="str">
        <f>CONCATENATE("Prestação de Serviço e Transpor. Escolar Gratuito - TEG n. ",A15," - DRE - " &amp;'BASE C'!$C$2)</f>
        <v>Prestação de Serviço e Transpor. Escolar Gratuito - TEG n. 2022/0031365 - DRE - G</v>
      </c>
      <c r="AB15" s="184" t="str">
        <f t="shared" si="13"/>
        <v>MARCOS DUARTE BRITO</v>
      </c>
      <c r="AC15" s="185"/>
      <c r="AD15" s="186"/>
      <c r="AE15" s="188"/>
      <c r="AF15" s="88"/>
    </row>
    <row r="16" spans="1:32" s="55" customFormat="1" ht="20.100000000000001" customHeight="1" x14ac:dyDescent="0.25">
      <c r="A16" s="569" t="s">
        <v>3282</v>
      </c>
      <c r="B16" s="105"/>
      <c r="C16" s="106">
        <f t="shared" si="7"/>
        <v>0</v>
      </c>
      <c r="D16" s="107" t="str">
        <f>VLOOKUP(A16,'APONTAMENTO CREDENCIAMENTO'!$D$6:$P$3058,12,0)</f>
        <v>6020.2022/0031745-2</v>
      </c>
      <c r="E16" s="108"/>
      <c r="F16" s="109" t="e">
        <f>SUMIF('APONTAMENTO CREDENCIAMENTO'!$D$6:$D$3058,'ATESTE-LIQ'!A16,'APONTAMENTO CREDENCIAMENTO'!#REF!)</f>
        <v>#REF!</v>
      </c>
      <c r="G16" s="255" t="str">
        <f>VLOOKUP(A16,'APONTAMENTO CREDENCIAMENTO'!$D$6:$G$3058,3,0)</f>
        <v>01/04/2026</v>
      </c>
      <c r="H16" s="255" t="str">
        <f>VLOOKUP(A16,'APONTAMENTO CREDENCIAMENTO'!$D$6:$G$3058,4,0)</f>
        <v>30/04/2026</v>
      </c>
      <c r="I16" s="110" t="str">
        <f t="shared" si="8"/>
        <v>PE - Pagto. Doc(s):  - Contrato nº 2022/0031745</v>
      </c>
      <c r="J16" s="111" t="e">
        <f t="shared" si="9"/>
        <v>#REF!</v>
      </c>
      <c r="K16" s="111">
        <v>0</v>
      </c>
      <c r="L16" s="112" t="str">
        <f>VLOOKUP(A16,'APONTAMENTO CREDENCIAMENTO'!$D$6:$P$3058,5,0)</f>
        <v>MARCELO BISPO DA SILVA</v>
      </c>
      <c r="M16" s="113"/>
      <c r="N16" s="114"/>
      <c r="O16" s="115"/>
      <c r="P16" s="116"/>
      <c r="Q16" s="116"/>
      <c r="R16" s="116"/>
      <c r="S16" s="117"/>
      <c r="T16" s="118" t="str">
        <f t="shared" si="10"/>
        <v>6020.2022/0031745-2</v>
      </c>
      <c r="U16" s="119" t="e">
        <f t="shared" si="11"/>
        <v>#REF!</v>
      </c>
      <c r="V16" s="120" t="e">
        <f t="shared" si="12"/>
        <v>#REF!</v>
      </c>
      <c r="W16" s="104"/>
      <c r="X16" s="104"/>
      <c r="Y16" s="104"/>
      <c r="Z16" s="104"/>
      <c r="AA16" s="121" t="str">
        <f>CONCATENATE("Prestação de Serviço e Transpor. Escolar Gratuito - TEG n. ",A16," - DRE - " &amp;'BASE C'!$C$2)</f>
        <v>Prestação de Serviço e Transpor. Escolar Gratuito - TEG n. 2022/0031745 - DRE - G</v>
      </c>
      <c r="AB16" s="184" t="str">
        <f t="shared" si="13"/>
        <v>MARCELO BISPO DA SILVA</v>
      </c>
      <c r="AC16" s="185"/>
      <c r="AD16" s="186"/>
      <c r="AE16" s="188"/>
      <c r="AF16" s="88"/>
    </row>
    <row r="17" spans="1:32" s="55" customFormat="1" ht="20.100000000000001" customHeight="1" x14ac:dyDescent="0.25">
      <c r="A17" s="569" t="s">
        <v>3223</v>
      </c>
      <c r="B17" s="105"/>
      <c r="C17" s="106">
        <f t="shared" si="7"/>
        <v>0</v>
      </c>
      <c r="D17" s="107" t="str">
        <f>VLOOKUP(A17,'APONTAMENTO CREDENCIAMENTO'!$D$6:$P$3058,12,0)</f>
        <v>6020.2022/0032072-0</v>
      </c>
      <c r="E17" s="108"/>
      <c r="F17" s="109" t="e">
        <f>SUMIF('APONTAMENTO CREDENCIAMENTO'!$D$6:$D$3058,'ATESTE-LIQ'!A17,'APONTAMENTO CREDENCIAMENTO'!#REF!)</f>
        <v>#REF!</v>
      </c>
      <c r="G17" s="255" t="str">
        <f>VLOOKUP(A17,'APONTAMENTO CREDENCIAMENTO'!$D$6:$G$3058,3,0)</f>
        <v>01/04/2026</v>
      </c>
      <c r="H17" s="255" t="str">
        <f>VLOOKUP(A17,'APONTAMENTO CREDENCIAMENTO'!$D$6:$G$3058,4,0)</f>
        <v>30/04/2026</v>
      </c>
      <c r="I17" s="110" t="str">
        <f t="shared" si="8"/>
        <v>PE - Pagto. Doc(s):  - Contrato nº 2022/0032072</v>
      </c>
      <c r="J17" s="111" t="e">
        <f t="shared" si="9"/>
        <v>#REF!</v>
      </c>
      <c r="K17" s="111">
        <v>0</v>
      </c>
      <c r="L17" s="112" t="str">
        <f>VLOOKUP(A17,'APONTAMENTO CREDENCIAMENTO'!$D$6:$P$3058,5,0)</f>
        <v>EDUARDO ROMUALDO</v>
      </c>
      <c r="M17" s="113"/>
      <c r="N17" s="114"/>
      <c r="O17" s="115"/>
      <c r="P17" s="116"/>
      <c r="Q17" s="116"/>
      <c r="R17" s="116"/>
      <c r="S17" s="117"/>
      <c r="T17" s="118" t="str">
        <f t="shared" si="10"/>
        <v>6020.2022/0032072-0</v>
      </c>
      <c r="U17" s="119" t="e">
        <f t="shared" si="11"/>
        <v>#REF!</v>
      </c>
      <c r="V17" s="120" t="e">
        <f t="shared" si="12"/>
        <v>#REF!</v>
      </c>
      <c r="W17" s="104"/>
      <c r="X17" s="104"/>
      <c r="Y17" s="104"/>
      <c r="Z17" s="104"/>
      <c r="AA17" s="121" t="str">
        <f>CONCATENATE("Prestação de Serviço e Transpor. Escolar Gratuito - TEG n. ",A17," - DRE - " &amp;'BASE C'!$C$2)</f>
        <v>Prestação de Serviço e Transpor. Escolar Gratuito - TEG n. 2022/0032072 - DRE - G</v>
      </c>
      <c r="AB17" s="184" t="str">
        <f t="shared" si="13"/>
        <v>EDUARDO ROMUALDO</v>
      </c>
      <c r="AC17" s="185"/>
      <c r="AD17" s="186"/>
      <c r="AE17" s="188"/>
      <c r="AF17" s="88"/>
    </row>
    <row r="18" spans="1:32" s="55" customFormat="1" ht="20.100000000000001" customHeight="1" x14ac:dyDescent="0.25">
      <c r="A18" s="569" t="s">
        <v>3255</v>
      </c>
      <c r="B18" s="105"/>
      <c r="C18" s="106">
        <f t="shared" si="7"/>
        <v>0</v>
      </c>
      <c r="D18" s="107" t="str">
        <f>VLOOKUP(A18,'APONTAMENTO CREDENCIAMENTO'!$D$6:$P$3058,12,0)</f>
        <v>6020.2022/0032080-1</v>
      </c>
      <c r="E18" s="108"/>
      <c r="F18" s="109" t="e">
        <f>SUMIF('APONTAMENTO CREDENCIAMENTO'!$D$6:$D$3058,'ATESTE-LIQ'!A18,'APONTAMENTO CREDENCIAMENTO'!#REF!)</f>
        <v>#REF!</v>
      </c>
      <c r="G18" s="255" t="str">
        <f>VLOOKUP(A18,'APONTAMENTO CREDENCIAMENTO'!$D$6:$G$3058,3,0)</f>
        <v>01/04/2026</v>
      </c>
      <c r="H18" s="255" t="str">
        <f>VLOOKUP(A18,'APONTAMENTO CREDENCIAMENTO'!$D$6:$G$3058,4,0)</f>
        <v>30/04/2026</v>
      </c>
      <c r="I18" s="110" t="str">
        <f t="shared" si="8"/>
        <v>PE - Pagto. Doc(s):  - Contrato nº 2022/0032080</v>
      </c>
      <c r="J18" s="111" t="e">
        <f t="shared" si="9"/>
        <v>#REF!</v>
      </c>
      <c r="K18" s="111">
        <v>0</v>
      </c>
      <c r="L18" s="112" t="str">
        <f>VLOOKUP(A18,'APONTAMENTO CREDENCIAMENTO'!$D$6:$P$3058,5,0)</f>
        <v>JOANA D ARC SIQUEIRA GOMES</v>
      </c>
      <c r="M18" s="113"/>
      <c r="N18" s="114"/>
      <c r="O18" s="115"/>
      <c r="P18" s="116"/>
      <c r="Q18" s="116"/>
      <c r="R18" s="116"/>
      <c r="S18" s="117"/>
      <c r="T18" s="118" t="str">
        <f t="shared" si="10"/>
        <v>6020.2022/0032080-1</v>
      </c>
      <c r="U18" s="119" t="e">
        <f t="shared" si="11"/>
        <v>#REF!</v>
      </c>
      <c r="V18" s="120" t="e">
        <f t="shared" si="12"/>
        <v>#REF!</v>
      </c>
      <c r="W18" s="104"/>
      <c r="X18" s="104"/>
      <c r="Y18" s="104"/>
      <c r="Z18" s="104"/>
      <c r="AA18" s="121" t="str">
        <f>CONCATENATE("Prestação de Serviço e Transpor. Escolar Gratuito - TEG n. ",A18," - DRE - " &amp;'BASE C'!$C$2)</f>
        <v>Prestação de Serviço e Transpor. Escolar Gratuito - TEG n. 2022/0032080 - DRE - G</v>
      </c>
      <c r="AB18" s="184" t="str">
        <f t="shared" si="13"/>
        <v>JOANA D ARC SIQUEIRA GOMES</v>
      </c>
      <c r="AC18" s="185"/>
      <c r="AD18" s="186"/>
      <c r="AE18" s="188"/>
      <c r="AF18" s="88"/>
    </row>
    <row r="19" spans="1:32" s="55" customFormat="1" ht="20.100000000000001" customHeight="1" x14ac:dyDescent="0.25">
      <c r="A19" s="569" t="s">
        <v>3274</v>
      </c>
      <c r="B19" s="105"/>
      <c r="C19" s="106">
        <f t="shared" si="7"/>
        <v>0</v>
      </c>
      <c r="D19" s="107" t="str">
        <f>VLOOKUP(A19,'APONTAMENTO CREDENCIAMENTO'!$D$6:$P$3058,12,0)</f>
        <v>6020.2022/0032151-4</v>
      </c>
      <c r="E19" s="108"/>
      <c r="F19" s="109" t="e">
        <f>SUMIF('APONTAMENTO CREDENCIAMENTO'!$D$6:$D$3058,'ATESTE-LIQ'!A19,'APONTAMENTO CREDENCIAMENTO'!#REF!)</f>
        <v>#REF!</v>
      </c>
      <c r="G19" s="255" t="str">
        <f>VLOOKUP(A19,'APONTAMENTO CREDENCIAMENTO'!$D$6:$G$3058,3,0)</f>
        <v>01/04/2026</v>
      </c>
      <c r="H19" s="255" t="str">
        <f>VLOOKUP(A19,'APONTAMENTO CREDENCIAMENTO'!$D$6:$G$3058,4,0)</f>
        <v>30/04/2026</v>
      </c>
      <c r="I19" s="110" t="str">
        <f t="shared" si="8"/>
        <v>PE - Pagto. Doc(s):  - Contrato nº 2022/0032151</v>
      </c>
      <c r="J19" s="111" t="e">
        <f t="shared" si="9"/>
        <v>#REF!</v>
      </c>
      <c r="K19" s="111">
        <v>0</v>
      </c>
      <c r="L19" s="112" t="str">
        <f>VLOOKUP(A19,'APONTAMENTO CREDENCIAMENTO'!$D$6:$P$3058,5,0)</f>
        <v>JOSE VALBERTO LOPES PIRES</v>
      </c>
      <c r="M19" s="113"/>
      <c r="N19" s="114"/>
      <c r="O19" s="115"/>
      <c r="P19" s="116"/>
      <c r="Q19" s="116"/>
      <c r="R19" s="116"/>
      <c r="S19" s="117"/>
      <c r="T19" s="118" t="str">
        <f t="shared" si="10"/>
        <v>6020.2022/0032151-4</v>
      </c>
      <c r="U19" s="119" t="e">
        <f t="shared" si="11"/>
        <v>#REF!</v>
      </c>
      <c r="V19" s="120" t="e">
        <f t="shared" si="12"/>
        <v>#REF!</v>
      </c>
      <c r="W19" s="104"/>
      <c r="X19" s="104"/>
      <c r="Y19" s="104"/>
      <c r="Z19" s="104"/>
      <c r="AA19" s="121" t="str">
        <f>CONCATENATE("Prestação de Serviço e Transpor. Escolar Gratuito - TEG n. ",A19," - DRE - " &amp;'BASE C'!$C$2)</f>
        <v>Prestação de Serviço e Transpor. Escolar Gratuito - TEG n. 2022/0032151 - DRE - G</v>
      </c>
      <c r="AB19" s="184" t="str">
        <f t="shared" si="13"/>
        <v>JOSE VALBERTO LOPES PIRES</v>
      </c>
      <c r="AC19" s="185"/>
      <c r="AD19" s="186"/>
      <c r="AE19" s="188"/>
      <c r="AF19" s="88"/>
    </row>
    <row r="20" spans="1:32" s="55" customFormat="1" ht="20.100000000000001" customHeight="1" x14ac:dyDescent="0.25">
      <c r="A20" s="569" t="s">
        <v>3306</v>
      </c>
      <c r="B20" s="105"/>
      <c r="C20" s="106">
        <f t="shared" si="7"/>
        <v>0</v>
      </c>
      <c r="D20" s="107" t="str">
        <f>VLOOKUP(A20,'APONTAMENTO CREDENCIAMENTO'!$D$6:$P$3058,12,0)</f>
        <v>6020.2022/0032278-2</v>
      </c>
      <c r="E20" s="108"/>
      <c r="F20" s="109" t="e">
        <f>SUMIF('APONTAMENTO CREDENCIAMENTO'!$D$6:$D$3058,'ATESTE-LIQ'!A20,'APONTAMENTO CREDENCIAMENTO'!#REF!)</f>
        <v>#REF!</v>
      </c>
      <c r="G20" s="255" t="str">
        <f>VLOOKUP(A20,'APONTAMENTO CREDENCIAMENTO'!$D$6:$G$3058,3,0)</f>
        <v>01/04/2026</v>
      </c>
      <c r="H20" s="255" t="str">
        <f>VLOOKUP(A20,'APONTAMENTO CREDENCIAMENTO'!$D$6:$G$3058,4,0)</f>
        <v>30/04/2026</v>
      </c>
      <c r="I20" s="110" t="str">
        <f t="shared" si="8"/>
        <v>PE - Pagto. Doc(s):  - Contrato nº 2022/0032278</v>
      </c>
      <c r="J20" s="111" t="e">
        <f t="shared" si="9"/>
        <v>#REF!</v>
      </c>
      <c r="K20" s="111">
        <v>0</v>
      </c>
      <c r="L20" s="112" t="str">
        <f>VLOOKUP(A20,'APONTAMENTO CREDENCIAMENTO'!$D$6:$P$3058,5,0)</f>
        <v>NORMA DOS SANTOS DA SILVA</v>
      </c>
      <c r="M20" s="113"/>
      <c r="N20" s="114"/>
      <c r="O20" s="115"/>
      <c r="P20" s="116"/>
      <c r="Q20" s="116"/>
      <c r="R20" s="116"/>
      <c r="S20" s="117"/>
      <c r="T20" s="118" t="str">
        <f t="shared" si="10"/>
        <v>6020.2022/0032278-2</v>
      </c>
      <c r="U20" s="119" t="e">
        <f t="shared" si="11"/>
        <v>#REF!</v>
      </c>
      <c r="V20" s="120" t="e">
        <f t="shared" si="12"/>
        <v>#REF!</v>
      </c>
      <c r="W20" s="104"/>
      <c r="X20" s="104"/>
      <c r="Y20" s="104"/>
      <c r="Z20" s="104"/>
      <c r="AA20" s="121" t="str">
        <f>CONCATENATE("Prestação de Serviço e Transpor. Escolar Gratuito - TEG n. ",A20," - DRE - " &amp;'BASE C'!$C$2)</f>
        <v>Prestação de Serviço e Transpor. Escolar Gratuito - TEG n. 2022/0032278 - DRE - G</v>
      </c>
      <c r="AB20" s="184" t="str">
        <f t="shared" si="13"/>
        <v>NORMA DOS SANTOS DA SILVA</v>
      </c>
      <c r="AC20" s="185"/>
      <c r="AD20" s="186"/>
      <c r="AE20" s="188"/>
      <c r="AF20" s="88"/>
    </row>
    <row r="21" spans="1:32" s="55" customFormat="1" ht="20.100000000000001" customHeight="1" x14ac:dyDescent="0.25">
      <c r="A21" s="569" t="s">
        <v>3199</v>
      </c>
      <c r="B21" s="105"/>
      <c r="C21" s="106">
        <f t="shared" si="7"/>
        <v>0</v>
      </c>
      <c r="D21" s="107" t="str">
        <f>VLOOKUP(A21,'APONTAMENTO CREDENCIAMENTO'!$D$6:$P$3058,12,0)</f>
        <v>6020.2022/0032326-6</v>
      </c>
      <c r="E21" s="108"/>
      <c r="F21" s="109" t="e">
        <f>SUMIF('APONTAMENTO CREDENCIAMENTO'!$D$6:$D$3058,'ATESTE-LIQ'!A21,'APONTAMENTO CREDENCIAMENTO'!#REF!)</f>
        <v>#REF!</v>
      </c>
      <c r="G21" s="255" t="str">
        <f>VLOOKUP(A21,'APONTAMENTO CREDENCIAMENTO'!$D$6:$G$3058,3,0)</f>
        <v>01/04/2026</v>
      </c>
      <c r="H21" s="255" t="str">
        <f>VLOOKUP(A21,'APONTAMENTO CREDENCIAMENTO'!$D$6:$G$3058,4,0)</f>
        <v>30/04/2026</v>
      </c>
      <c r="I21" s="110" t="str">
        <f t="shared" si="8"/>
        <v>PE - Pagto. Doc(s):  - Contrato nº 2022/0032326</v>
      </c>
      <c r="J21" s="111" t="e">
        <f t="shared" si="9"/>
        <v>#REF!</v>
      </c>
      <c r="K21" s="111">
        <v>0</v>
      </c>
      <c r="L21" s="112" t="str">
        <f>VLOOKUP(A21,'APONTAMENTO CREDENCIAMENTO'!$D$6:$P$3058,5,0)</f>
        <v>CARLOS GONCALVES DOS SANTOS</v>
      </c>
      <c r="M21" s="113"/>
      <c r="N21" s="114"/>
      <c r="O21" s="115"/>
      <c r="P21" s="116"/>
      <c r="Q21" s="116"/>
      <c r="R21" s="116"/>
      <c r="S21" s="117"/>
      <c r="T21" s="118" t="str">
        <f t="shared" si="10"/>
        <v>6020.2022/0032326-6</v>
      </c>
      <c r="U21" s="119" t="e">
        <f t="shared" si="11"/>
        <v>#REF!</v>
      </c>
      <c r="V21" s="120" t="e">
        <f t="shared" si="12"/>
        <v>#REF!</v>
      </c>
      <c r="W21" s="104"/>
      <c r="X21" s="104"/>
      <c r="Y21" s="104"/>
      <c r="Z21" s="104"/>
      <c r="AA21" s="121" t="str">
        <f>CONCATENATE("Prestação de Serviço e Transpor. Escolar Gratuito - TEG n. ",A21," - DRE - " &amp;'BASE C'!$C$2)</f>
        <v>Prestação de Serviço e Transpor. Escolar Gratuito - TEG n. 2022/0032326 - DRE - G</v>
      </c>
      <c r="AB21" s="184" t="str">
        <f t="shared" si="13"/>
        <v>CARLOS GONCALVES DOS SANTOS</v>
      </c>
      <c r="AC21" s="185"/>
      <c r="AD21" s="186"/>
      <c r="AE21" s="188"/>
      <c r="AF21" s="88"/>
    </row>
    <row r="22" spans="1:32" s="55" customFormat="1" ht="20.100000000000001" customHeight="1" x14ac:dyDescent="0.25">
      <c r="A22" s="569" t="s">
        <v>3259</v>
      </c>
      <c r="B22" s="105"/>
      <c r="C22" s="106">
        <f t="shared" si="7"/>
        <v>0</v>
      </c>
      <c r="D22" s="107" t="str">
        <f>VLOOKUP(A22,'APONTAMENTO CREDENCIAMENTO'!$D$6:$P$3058,12,0)</f>
        <v>6020.2022/0032974-4</v>
      </c>
      <c r="E22" s="108"/>
      <c r="F22" s="109" t="e">
        <f>SUMIF('APONTAMENTO CREDENCIAMENTO'!$D$6:$D$3058,'ATESTE-LIQ'!A22,'APONTAMENTO CREDENCIAMENTO'!#REF!)</f>
        <v>#REF!</v>
      </c>
      <c r="G22" s="255" t="str">
        <f>VLOOKUP(A22,'APONTAMENTO CREDENCIAMENTO'!$D$6:$G$3058,3,0)</f>
        <v>01/04/2026</v>
      </c>
      <c r="H22" s="255">
        <f>VLOOKUP(A22,'APONTAMENTO CREDENCIAMENTO'!$D$6:$G$3058,4,0)</f>
        <v>46141</v>
      </c>
      <c r="I22" s="110" t="str">
        <f t="shared" si="8"/>
        <v>PE - Pagto. Doc(s):  - Contrato nº 2022/0032974</v>
      </c>
      <c r="J22" s="111" t="e">
        <f t="shared" si="9"/>
        <v>#REF!</v>
      </c>
      <c r="K22" s="111">
        <v>0</v>
      </c>
      <c r="L22" s="112" t="str">
        <f>VLOOKUP(A22,'APONTAMENTO CREDENCIAMENTO'!$D$6:$P$3058,5,0)</f>
        <v>JOAO ISIDORO NETO</v>
      </c>
      <c r="M22" s="113"/>
      <c r="N22" s="114"/>
      <c r="O22" s="115"/>
      <c r="P22" s="116"/>
      <c r="Q22" s="116"/>
      <c r="R22" s="116"/>
      <c r="S22" s="117"/>
      <c r="T22" s="118" t="str">
        <f t="shared" si="10"/>
        <v>6020.2022/0032974-4</v>
      </c>
      <c r="U22" s="119" t="e">
        <f t="shared" si="11"/>
        <v>#REF!</v>
      </c>
      <c r="V22" s="120" t="e">
        <f t="shared" si="12"/>
        <v>#REF!</v>
      </c>
      <c r="W22" s="104"/>
      <c r="X22" s="104"/>
      <c r="Y22" s="104"/>
      <c r="Z22" s="104"/>
      <c r="AA22" s="121" t="str">
        <f>CONCATENATE("Prestação de Serviço e Transpor. Escolar Gratuito - TEG n. ",A22," - DRE - " &amp;'BASE C'!$C$2)</f>
        <v>Prestação de Serviço e Transpor. Escolar Gratuito - TEG n. 2022/0032974 - DRE - G</v>
      </c>
      <c r="AB22" s="184" t="str">
        <f t="shared" si="13"/>
        <v>JOAO ISIDORO NETO</v>
      </c>
      <c r="AC22" s="185"/>
      <c r="AD22" s="186"/>
      <c r="AE22" s="188"/>
      <c r="AF22" s="88"/>
    </row>
    <row r="23" spans="1:32" s="55" customFormat="1" ht="20.100000000000001" customHeight="1" x14ac:dyDescent="0.25">
      <c r="A23" s="569" t="s">
        <v>3298</v>
      </c>
      <c r="B23" s="105"/>
      <c r="C23" s="106">
        <f t="shared" si="7"/>
        <v>0</v>
      </c>
      <c r="D23" s="107" t="str">
        <f>VLOOKUP(A23,'APONTAMENTO CREDENCIAMENTO'!$D$6:$P$3058,12,0)</f>
        <v>6020.2022/0033035-1</v>
      </c>
      <c r="E23" s="108"/>
      <c r="F23" s="109" t="e">
        <f>SUMIF('APONTAMENTO CREDENCIAMENTO'!$D$6:$D$3058,'ATESTE-LIQ'!A23,'APONTAMENTO CREDENCIAMENTO'!#REF!)</f>
        <v>#REF!</v>
      </c>
      <c r="G23" s="255" t="str">
        <f>VLOOKUP(A23,'APONTAMENTO CREDENCIAMENTO'!$D$6:$G$3058,3,0)</f>
        <v>01/04/2026</v>
      </c>
      <c r="H23" s="255" t="str">
        <f>VLOOKUP(A23,'APONTAMENTO CREDENCIAMENTO'!$D$6:$G$3058,4,0)</f>
        <v>30/04/2026</v>
      </c>
      <c r="I23" s="110" t="str">
        <f t="shared" si="8"/>
        <v>PE - Pagto. Doc(s):  - Contrato nº 2022/0033035</v>
      </c>
      <c r="J23" s="111" t="e">
        <f t="shared" si="9"/>
        <v>#REF!</v>
      </c>
      <c r="K23" s="111">
        <v>0</v>
      </c>
      <c r="L23" s="112" t="str">
        <f>VLOOKUP(A23,'APONTAMENTO CREDENCIAMENTO'!$D$6:$P$3058,5,0)</f>
        <v>MARCOS PAULO SANTOS</v>
      </c>
      <c r="M23" s="113"/>
      <c r="N23" s="114"/>
      <c r="O23" s="115"/>
      <c r="P23" s="116"/>
      <c r="Q23" s="116"/>
      <c r="R23" s="116"/>
      <c r="S23" s="117"/>
      <c r="T23" s="118" t="str">
        <f t="shared" si="10"/>
        <v>6020.2022/0033035-1</v>
      </c>
      <c r="U23" s="119" t="e">
        <f t="shared" si="11"/>
        <v>#REF!</v>
      </c>
      <c r="V23" s="120" t="e">
        <f t="shared" si="12"/>
        <v>#REF!</v>
      </c>
      <c r="W23" s="104"/>
      <c r="X23" s="104"/>
      <c r="Y23" s="104"/>
      <c r="Z23" s="104"/>
      <c r="AA23" s="121" t="str">
        <f>CONCATENATE("Prestação de Serviço e Transpor. Escolar Gratuito - TEG n. ",A23," - DRE - " &amp;'BASE C'!$C$2)</f>
        <v>Prestação de Serviço e Transpor. Escolar Gratuito - TEG n. 2022/0033035 - DRE - G</v>
      </c>
      <c r="AB23" s="184" t="str">
        <f t="shared" si="13"/>
        <v>MARCOS PAULO SANTOS</v>
      </c>
      <c r="AC23" s="185"/>
      <c r="AD23" s="186"/>
      <c r="AE23" s="188"/>
      <c r="AF23" s="88"/>
    </row>
    <row r="24" spans="1:32" s="55" customFormat="1" ht="20.100000000000001" customHeight="1" x14ac:dyDescent="0.25">
      <c r="A24" s="569" t="s">
        <v>3191</v>
      </c>
      <c r="B24" s="105"/>
      <c r="C24" s="106">
        <f t="shared" si="7"/>
        <v>0</v>
      </c>
      <c r="D24" s="107" t="str">
        <f>VLOOKUP(A24,'APONTAMENTO CREDENCIAMENTO'!$D$6:$P$3058,12,0)</f>
        <v>6020.2022/0033315-6</v>
      </c>
      <c r="E24" s="108"/>
      <c r="F24" s="109" t="e">
        <f>SUMIF('APONTAMENTO CREDENCIAMENTO'!$D$6:$D$3058,'ATESTE-LIQ'!A24,'APONTAMENTO CREDENCIAMENTO'!#REF!)</f>
        <v>#REF!</v>
      </c>
      <c r="G24" s="255" t="str">
        <f>VLOOKUP(A24,'APONTAMENTO CREDENCIAMENTO'!$D$6:$G$3058,3,0)</f>
        <v>01/04/2026</v>
      </c>
      <c r="H24" s="255" t="str">
        <f>VLOOKUP(A24,'APONTAMENTO CREDENCIAMENTO'!$D$6:$G$3058,4,0)</f>
        <v>30/04/2026</v>
      </c>
      <c r="I24" s="110" t="str">
        <f t="shared" si="8"/>
        <v>PE - Pagto. Doc(s):  - Contrato nº 2022/0033315</v>
      </c>
      <c r="J24" s="111" t="e">
        <f t="shared" si="9"/>
        <v>#REF!</v>
      </c>
      <c r="K24" s="111">
        <v>0</v>
      </c>
      <c r="L24" s="112" t="str">
        <f>VLOOKUP(A24,'APONTAMENTO CREDENCIAMENTO'!$D$6:$P$3058,5,0)</f>
        <v>BRUNO EDUARDO BARBOSA</v>
      </c>
      <c r="M24" s="113"/>
      <c r="N24" s="114"/>
      <c r="O24" s="115"/>
      <c r="P24" s="116"/>
      <c r="Q24" s="116"/>
      <c r="R24" s="116"/>
      <c r="S24" s="117"/>
      <c r="T24" s="118" t="str">
        <f t="shared" si="10"/>
        <v>6020.2022/0033315-6</v>
      </c>
      <c r="U24" s="119" t="e">
        <f t="shared" si="11"/>
        <v>#REF!</v>
      </c>
      <c r="V24" s="120" t="e">
        <f t="shared" si="12"/>
        <v>#REF!</v>
      </c>
      <c r="W24" s="104"/>
      <c r="X24" s="104"/>
      <c r="Y24" s="104"/>
      <c r="Z24" s="104"/>
      <c r="AA24" s="121" t="str">
        <f>CONCATENATE("Prestação de Serviço e Transpor. Escolar Gratuito - TEG n. ",A24," - DRE - " &amp;'BASE C'!$C$2)</f>
        <v>Prestação de Serviço e Transpor. Escolar Gratuito - TEG n. 2022/0033315 - DRE - G</v>
      </c>
      <c r="AB24" s="184" t="str">
        <f t="shared" si="13"/>
        <v>BRUNO EDUARDO BARBOSA</v>
      </c>
      <c r="AC24" s="185"/>
      <c r="AD24" s="186"/>
      <c r="AE24" s="188"/>
      <c r="AF24" s="88"/>
    </row>
    <row r="25" spans="1:32" s="55" customFormat="1" ht="20.100000000000001" customHeight="1" x14ac:dyDescent="0.25">
      <c r="A25" s="569" t="s">
        <v>3195</v>
      </c>
      <c r="B25" s="105"/>
      <c r="C25" s="106">
        <f t="shared" si="7"/>
        <v>0</v>
      </c>
      <c r="D25" s="107" t="str">
        <f>VLOOKUP(A25,'APONTAMENTO CREDENCIAMENTO'!$D$6:$P$3058,12,0)</f>
        <v>6020.2022/0034309-7</v>
      </c>
      <c r="E25" s="108"/>
      <c r="F25" s="109" t="e">
        <f>SUMIF('APONTAMENTO CREDENCIAMENTO'!$D$6:$D$3058,'ATESTE-LIQ'!A25,'APONTAMENTO CREDENCIAMENTO'!#REF!)</f>
        <v>#REF!</v>
      </c>
      <c r="G25" s="255" t="str">
        <f>VLOOKUP(A25,'APONTAMENTO CREDENCIAMENTO'!$D$6:$G$3058,3,0)</f>
        <v>01/04/2026</v>
      </c>
      <c r="H25" s="255" t="str">
        <f>VLOOKUP(A25,'APONTAMENTO CREDENCIAMENTO'!$D$6:$G$3058,4,0)</f>
        <v>30/04/2026</v>
      </c>
      <c r="I25" s="110" t="str">
        <f t="shared" si="8"/>
        <v>PE - Pagto. Doc(s):  - Contrato nº 2022/0034309</v>
      </c>
      <c r="J25" s="111" t="e">
        <f t="shared" si="9"/>
        <v>#REF!</v>
      </c>
      <c r="K25" s="111">
        <v>0</v>
      </c>
      <c r="L25" s="112" t="str">
        <f>VLOOKUP(A25,'APONTAMENTO CREDENCIAMENTO'!$D$6:$P$3058,5,0)</f>
        <v>CARLOS ALBERTO DE ARAUJO</v>
      </c>
      <c r="M25" s="113"/>
      <c r="N25" s="114"/>
      <c r="O25" s="115"/>
      <c r="P25" s="116"/>
      <c r="Q25" s="116"/>
      <c r="R25" s="116"/>
      <c r="S25" s="117"/>
      <c r="T25" s="118" t="str">
        <f t="shared" si="10"/>
        <v>6020.2022/0034309-7</v>
      </c>
      <c r="U25" s="119" t="e">
        <f t="shared" si="11"/>
        <v>#REF!</v>
      </c>
      <c r="V25" s="120" t="e">
        <f t="shared" si="12"/>
        <v>#REF!</v>
      </c>
      <c r="W25" s="104"/>
      <c r="X25" s="104"/>
      <c r="Y25" s="104"/>
      <c r="Z25" s="104"/>
      <c r="AA25" s="121" t="str">
        <f>CONCATENATE("Prestação de Serviço e Transpor. Escolar Gratuito - TEG n. ",A25," - DRE - " &amp;'BASE C'!$C$2)</f>
        <v>Prestação de Serviço e Transpor. Escolar Gratuito - TEG n. 2022/0034309 - DRE - G</v>
      </c>
      <c r="AB25" s="184" t="str">
        <f t="shared" si="13"/>
        <v>CARLOS ALBERTO DE ARAUJO</v>
      </c>
      <c r="AC25" s="185"/>
      <c r="AD25" s="186"/>
      <c r="AE25" s="188"/>
      <c r="AF25" s="88"/>
    </row>
    <row r="26" spans="1:32" s="55" customFormat="1" ht="20.100000000000001" customHeight="1" x14ac:dyDescent="0.25">
      <c r="A26" s="569" t="s">
        <v>3322</v>
      </c>
      <c r="B26" s="105"/>
      <c r="C26" s="106">
        <f t="shared" si="7"/>
        <v>0</v>
      </c>
      <c r="D26" s="107" t="str">
        <f>VLOOKUP(A26,'APONTAMENTO CREDENCIAMENTO'!$D$6:$P$3058,12,0)</f>
        <v>6020.2022/0034377-1</v>
      </c>
      <c r="E26" s="108"/>
      <c r="F26" s="109" t="e">
        <f>SUMIF('APONTAMENTO CREDENCIAMENTO'!$D$6:$D$3058,'ATESTE-LIQ'!A26,'APONTAMENTO CREDENCIAMENTO'!#REF!)</f>
        <v>#REF!</v>
      </c>
      <c r="G26" s="255" t="str">
        <f>VLOOKUP(A26,'APONTAMENTO CREDENCIAMENTO'!$D$6:$G$3058,3,0)</f>
        <v>01/04/2026</v>
      </c>
      <c r="H26" s="255" t="str">
        <f>VLOOKUP(A26,'APONTAMENTO CREDENCIAMENTO'!$D$6:$G$3058,4,0)</f>
        <v>30/04/2026</v>
      </c>
      <c r="I26" s="110" t="str">
        <f t="shared" si="8"/>
        <v>PE - Pagto. Doc(s):  - Contrato nº 2022/0034377</v>
      </c>
      <c r="J26" s="111" t="e">
        <f t="shared" si="9"/>
        <v>#REF!</v>
      </c>
      <c r="K26" s="111">
        <v>0</v>
      </c>
      <c r="L26" s="112" t="str">
        <f>VLOOKUP(A26,'APONTAMENTO CREDENCIAMENTO'!$D$6:$P$3058,5,0)</f>
        <v>VANDERLI DE OLIVEIRA COELHO</v>
      </c>
      <c r="M26" s="113"/>
      <c r="N26" s="114"/>
      <c r="O26" s="115"/>
      <c r="P26" s="116"/>
      <c r="Q26" s="116"/>
      <c r="R26" s="116"/>
      <c r="S26" s="117"/>
      <c r="T26" s="118" t="str">
        <f t="shared" si="10"/>
        <v>6020.2022/0034377-1</v>
      </c>
      <c r="U26" s="119" t="e">
        <f t="shared" si="11"/>
        <v>#REF!</v>
      </c>
      <c r="V26" s="120" t="e">
        <f t="shared" si="12"/>
        <v>#REF!</v>
      </c>
      <c r="W26" s="104"/>
      <c r="X26" s="104"/>
      <c r="Y26" s="104"/>
      <c r="Z26" s="104"/>
      <c r="AA26" s="121" t="str">
        <f>CONCATENATE("Prestação de Serviço e Transpor. Escolar Gratuito - TEG n. ",A26," - DRE - " &amp;'BASE C'!$C$2)</f>
        <v>Prestação de Serviço e Transpor. Escolar Gratuito - TEG n. 2022/0034377 - DRE - G</v>
      </c>
      <c r="AB26" s="184" t="str">
        <f t="shared" si="13"/>
        <v>VANDERLI DE OLIVEIRA COELHO</v>
      </c>
      <c r="AC26" s="185"/>
      <c r="AD26" s="186"/>
      <c r="AE26" s="188"/>
      <c r="AF26" s="88"/>
    </row>
    <row r="27" spans="1:32" s="55" customFormat="1" ht="20.100000000000001" customHeight="1" x14ac:dyDescent="0.25">
      <c r="A27" s="569" t="s">
        <v>3270</v>
      </c>
      <c r="B27" s="105"/>
      <c r="C27" s="106">
        <f t="shared" si="7"/>
        <v>0</v>
      </c>
      <c r="D27" s="107" t="str">
        <f>VLOOKUP(A27,'APONTAMENTO CREDENCIAMENTO'!$D$6:$P$3058,12,0)</f>
        <v>6020.2022/0036852-9</v>
      </c>
      <c r="E27" s="108"/>
      <c r="F27" s="109" t="e">
        <f>SUMIF('APONTAMENTO CREDENCIAMENTO'!$D$6:$D$3058,'ATESTE-LIQ'!A27,'APONTAMENTO CREDENCIAMENTO'!#REF!)</f>
        <v>#REF!</v>
      </c>
      <c r="G27" s="255" t="str">
        <f>VLOOKUP(A27,'APONTAMENTO CREDENCIAMENTO'!$D$6:$G$3058,3,0)</f>
        <v>01/04/2026</v>
      </c>
      <c r="H27" s="255" t="str">
        <f>VLOOKUP(A27,'APONTAMENTO CREDENCIAMENTO'!$D$6:$G$3058,4,0)</f>
        <v>30/04/2026</v>
      </c>
      <c r="I27" s="110" t="str">
        <f t="shared" si="8"/>
        <v>PE - Pagto. Doc(s):  - Contrato nº 2022/0036852</v>
      </c>
      <c r="J27" s="111" t="e">
        <f t="shared" si="9"/>
        <v>#REF!</v>
      </c>
      <c r="K27" s="111">
        <v>0</v>
      </c>
      <c r="L27" s="112" t="str">
        <f>VLOOKUP(A27,'APONTAMENTO CREDENCIAMENTO'!$D$6:$P$3058,5,0)</f>
        <v>JOSE LEANDRO DE MELO</v>
      </c>
      <c r="M27" s="113"/>
      <c r="N27" s="114"/>
      <c r="O27" s="115"/>
      <c r="P27" s="116"/>
      <c r="Q27" s="116"/>
      <c r="R27" s="116"/>
      <c r="S27" s="117"/>
      <c r="T27" s="118" t="str">
        <f t="shared" si="10"/>
        <v>6020.2022/0036852-9</v>
      </c>
      <c r="U27" s="119" t="e">
        <f t="shared" si="11"/>
        <v>#REF!</v>
      </c>
      <c r="V27" s="120" t="e">
        <f t="shared" si="12"/>
        <v>#REF!</v>
      </c>
      <c r="W27" s="104"/>
      <c r="X27" s="104"/>
      <c r="Y27" s="104"/>
      <c r="Z27" s="104"/>
      <c r="AA27" s="121" t="str">
        <f>CONCATENATE("Prestação de Serviço e Transpor. Escolar Gratuito - TEG n. ",A27," - DRE - " &amp;'BASE C'!$C$2)</f>
        <v>Prestação de Serviço e Transpor. Escolar Gratuito - TEG n. 2022/0036852 - DRE - G</v>
      </c>
      <c r="AB27" s="184" t="str">
        <f t="shared" si="13"/>
        <v>JOSE LEANDRO DE MELO</v>
      </c>
      <c r="AC27" s="185"/>
      <c r="AD27" s="186"/>
      <c r="AE27" s="188"/>
      <c r="AF27" s="88"/>
    </row>
    <row r="28" spans="1:32" s="55" customFormat="1" ht="20.100000000000001" customHeight="1" x14ac:dyDescent="0.25">
      <c r="A28" s="569" t="s">
        <v>3231</v>
      </c>
      <c r="B28" s="105"/>
      <c r="C28" s="106">
        <f t="shared" si="7"/>
        <v>0</v>
      </c>
      <c r="D28" s="107" t="str">
        <f>VLOOKUP(A28,'APONTAMENTO CREDENCIAMENTO'!$D$6:$P$3058,12,0)</f>
        <v>6020.2022/0036886-3</v>
      </c>
      <c r="E28" s="108"/>
      <c r="F28" s="109" t="e">
        <f>SUMIF('APONTAMENTO CREDENCIAMENTO'!$D$6:$D$3058,'ATESTE-LIQ'!A28,'APONTAMENTO CREDENCIAMENTO'!#REF!)</f>
        <v>#REF!</v>
      </c>
      <c r="G28" s="255" t="str">
        <f>VLOOKUP(A28,'APONTAMENTO CREDENCIAMENTO'!$D$6:$G$3058,3,0)</f>
        <v>01/04/2026</v>
      </c>
      <c r="H28" s="255" t="str">
        <f>VLOOKUP(A28,'APONTAMENTO CREDENCIAMENTO'!$D$6:$G$3058,4,0)</f>
        <v>30/04/2026</v>
      </c>
      <c r="I28" s="110" t="str">
        <f t="shared" si="8"/>
        <v>PE - Pagto. Doc(s):  - Contrato nº 2022/0036886</v>
      </c>
      <c r="J28" s="111" t="e">
        <f t="shared" si="9"/>
        <v>#REF!</v>
      </c>
      <c r="K28" s="111">
        <v>0</v>
      </c>
      <c r="L28" s="112" t="str">
        <f>VLOOKUP(A28,'APONTAMENTO CREDENCIAMENTO'!$D$6:$P$3058,5,0)</f>
        <v>ELISABETE NASCIMENTO</v>
      </c>
      <c r="M28" s="113"/>
      <c r="N28" s="114"/>
      <c r="O28" s="115"/>
      <c r="P28" s="116"/>
      <c r="Q28" s="116"/>
      <c r="R28" s="116"/>
      <c r="S28" s="117"/>
      <c r="T28" s="118" t="str">
        <f t="shared" si="10"/>
        <v>6020.2022/0036886-3</v>
      </c>
      <c r="U28" s="119" t="e">
        <f t="shared" si="11"/>
        <v>#REF!</v>
      </c>
      <c r="V28" s="120" t="e">
        <f t="shared" si="12"/>
        <v>#REF!</v>
      </c>
      <c r="W28" s="104"/>
      <c r="X28" s="104"/>
      <c r="Y28" s="104"/>
      <c r="Z28" s="104"/>
      <c r="AA28" s="121" t="str">
        <f>CONCATENATE("Prestação de Serviço e Transpor. Escolar Gratuito - TEG n. ",A28," - DRE - " &amp;'BASE C'!$C$2)</f>
        <v>Prestação de Serviço e Transpor. Escolar Gratuito - TEG n. 2022/0036886 - DRE - G</v>
      </c>
      <c r="AB28" s="184" t="str">
        <f t="shared" si="13"/>
        <v>ELISABETE NASCIMENTO</v>
      </c>
      <c r="AC28" s="185"/>
      <c r="AD28" s="186"/>
      <c r="AE28" s="188"/>
      <c r="AF28" s="88"/>
    </row>
    <row r="29" spans="1:32" s="55" customFormat="1" ht="20.100000000000001" customHeight="1" x14ac:dyDescent="0.25">
      <c r="A29" s="569" t="s">
        <v>3266</v>
      </c>
      <c r="B29" s="105"/>
      <c r="C29" s="106">
        <f t="shared" si="7"/>
        <v>0</v>
      </c>
      <c r="D29" s="107" t="str">
        <f>VLOOKUP(A29,'APONTAMENTO CREDENCIAMENTO'!$D$6:$P$3058,12,0)</f>
        <v>6020.2023/0012487-7</v>
      </c>
      <c r="E29" s="108"/>
      <c r="F29" s="109" t="e">
        <f>SUMIF('APONTAMENTO CREDENCIAMENTO'!$D$6:$D$3058,'ATESTE-LIQ'!A29,'APONTAMENTO CREDENCIAMENTO'!#REF!)</f>
        <v>#REF!</v>
      </c>
      <c r="G29" s="255" t="str">
        <f>VLOOKUP(A29,'APONTAMENTO CREDENCIAMENTO'!$D$6:$G$3058,3,0)</f>
        <v>01/04/2026</v>
      </c>
      <c r="H29" s="255" t="str">
        <f>VLOOKUP(A29,'APONTAMENTO CREDENCIAMENTO'!$D$6:$G$3058,4,0)</f>
        <v>30/04/2026</v>
      </c>
      <c r="I29" s="110" t="str">
        <f t="shared" si="8"/>
        <v>PE - Pagto. Doc(s):  - Contrato nº 2023/0012487</v>
      </c>
      <c r="J29" s="111" t="e">
        <f t="shared" si="9"/>
        <v>#REF!</v>
      </c>
      <c r="K29" s="111">
        <v>0</v>
      </c>
      <c r="L29" s="112" t="str">
        <f>VLOOKUP(A29,'APONTAMENTO CREDENCIAMENTO'!$D$6:$P$3058,5,0)</f>
        <v>JOSE ANDRADE CUNHA JUNIOR</v>
      </c>
      <c r="M29" s="113"/>
      <c r="N29" s="114"/>
      <c r="O29" s="115"/>
      <c r="P29" s="116"/>
      <c r="Q29" s="116"/>
      <c r="R29" s="116"/>
      <c r="S29" s="117"/>
      <c r="T29" s="118" t="str">
        <f t="shared" si="10"/>
        <v>6020.2023/0012487-7</v>
      </c>
      <c r="U29" s="119" t="e">
        <f t="shared" si="11"/>
        <v>#REF!</v>
      </c>
      <c r="V29" s="120" t="e">
        <f t="shared" si="12"/>
        <v>#REF!</v>
      </c>
      <c r="W29" s="104"/>
      <c r="X29" s="104"/>
      <c r="Y29" s="104"/>
      <c r="Z29" s="104"/>
      <c r="AA29" s="121" t="str">
        <f>CONCATENATE("Prestação de Serviço e Transpor. Escolar Gratuito - TEG n. ",A29," - DRE - " &amp;'BASE C'!$C$2)</f>
        <v>Prestação de Serviço e Transpor. Escolar Gratuito - TEG n. 2023/0012487 - DRE - G</v>
      </c>
      <c r="AB29" s="184" t="str">
        <f t="shared" si="13"/>
        <v>JOSE ANDRADE CUNHA JUNIOR</v>
      </c>
      <c r="AC29" s="185"/>
      <c r="AD29" s="186"/>
      <c r="AE29" s="188"/>
      <c r="AF29" s="88"/>
    </row>
    <row r="30" spans="1:32" s="55" customFormat="1" ht="20.100000000000001" customHeight="1" x14ac:dyDescent="0.25">
      <c r="A30" s="569" t="s">
        <v>3211</v>
      </c>
      <c r="B30" s="105"/>
      <c r="C30" s="106">
        <f t="shared" si="7"/>
        <v>0</v>
      </c>
      <c r="D30" s="107" t="str">
        <f>VLOOKUP(A30,'APONTAMENTO CREDENCIAMENTO'!$D$6:$P$3058,12,0)</f>
        <v>6020.2023/0015338-9</v>
      </c>
      <c r="E30" s="108"/>
      <c r="F30" s="109" t="e">
        <f>SUMIF('APONTAMENTO CREDENCIAMENTO'!$D$6:$D$3058,'ATESTE-LIQ'!A30,'APONTAMENTO CREDENCIAMENTO'!#REF!)</f>
        <v>#REF!</v>
      </c>
      <c r="G30" s="255" t="str">
        <f>VLOOKUP(A30,'APONTAMENTO CREDENCIAMENTO'!$D$6:$G$3058,3,0)</f>
        <v>01/04/2026</v>
      </c>
      <c r="H30" s="255" t="str">
        <f>VLOOKUP(A30,'APONTAMENTO CREDENCIAMENTO'!$D$6:$G$3058,4,0)</f>
        <v>30/04/2026</v>
      </c>
      <c r="I30" s="110" t="str">
        <f t="shared" si="8"/>
        <v>PE - Pagto. Doc(s):  - Contrato nº 2023/0015338</v>
      </c>
      <c r="J30" s="111" t="e">
        <f t="shared" si="9"/>
        <v>#REF!</v>
      </c>
      <c r="K30" s="111">
        <v>0</v>
      </c>
      <c r="L30" s="112" t="str">
        <f>VLOOKUP(A30,'APONTAMENTO CREDENCIAMENTO'!$D$6:$P$3058,5,0)</f>
        <v>DAVID CAMINI</v>
      </c>
      <c r="M30" s="113"/>
      <c r="N30" s="114"/>
      <c r="O30" s="115"/>
      <c r="P30" s="116"/>
      <c r="Q30" s="116"/>
      <c r="R30" s="116"/>
      <c r="S30" s="117"/>
      <c r="T30" s="118" t="str">
        <f t="shared" si="10"/>
        <v>6020.2023/0015338-9</v>
      </c>
      <c r="U30" s="119" t="e">
        <f t="shared" si="11"/>
        <v>#REF!</v>
      </c>
      <c r="V30" s="120" t="e">
        <f t="shared" si="12"/>
        <v>#REF!</v>
      </c>
      <c r="W30" s="104"/>
      <c r="X30" s="104"/>
      <c r="Y30" s="104"/>
      <c r="Z30" s="104"/>
      <c r="AA30" s="121" t="str">
        <f>CONCATENATE("Prestação de Serviço e Transpor. Escolar Gratuito - TEG n. ",A30," - DRE - " &amp;'BASE C'!$C$2)</f>
        <v>Prestação de Serviço e Transpor. Escolar Gratuito - TEG n. 2023/0015338 - DRE - G</v>
      </c>
      <c r="AB30" s="184" t="str">
        <f t="shared" si="13"/>
        <v>DAVID CAMINI</v>
      </c>
      <c r="AC30" s="185"/>
      <c r="AD30" s="186"/>
      <c r="AE30" s="188"/>
      <c r="AF30" s="88"/>
    </row>
    <row r="31" spans="1:32" s="55" customFormat="1" ht="20.100000000000001" customHeight="1" x14ac:dyDescent="0.25">
      <c r="A31" s="569" t="s">
        <v>3326</v>
      </c>
      <c r="B31" s="105"/>
      <c r="C31" s="106">
        <f t="shared" si="7"/>
        <v>0</v>
      </c>
      <c r="D31" s="107" t="str">
        <f>VLOOKUP(A31,'APONTAMENTO CREDENCIAMENTO'!$D$6:$P$3058,12,0)</f>
        <v>6020.2023/0017786-5</v>
      </c>
      <c r="E31" s="108"/>
      <c r="F31" s="109" t="e">
        <f>SUMIF('APONTAMENTO CREDENCIAMENTO'!$D$6:$D$3058,'ATESTE-LIQ'!A31,'APONTAMENTO CREDENCIAMENTO'!#REF!)</f>
        <v>#REF!</v>
      </c>
      <c r="G31" s="255" t="str">
        <f>VLOOKUP(A31,'APONTAMENTO CREDENCIAMENTO'!$D$6:$G$3058,3,0)</f>
        <v>01/04/2026</v>
      </c>
      <c r="H31" s="255" t="str">
        <f>VLOOKUP(A31,'APONTAMENTO CREDENCIAMENTO'!$D$6:$G$3058,4,0)</f>
        <v>30/04/2026</v>
      </c>
      <c r="I31" s="110" t="str">
        <f t="shared" si="8"/>
        <v>PE - Pagto. Doc(s):  - Contrato nº 2023/0017786</v>
      </c>
      <c r="J31" s="111" t="e">
        <f t="shared" si="9"/>
        <v>#REF!</v>
      </c>
      <c r="K31" s="111">
        <v>0</v>
      </c>
      <c r="L31" s="112" t="str">
        <f>VLOOKUP(A31,'APONTAMENTO CREDENCIAMENTO'!$D$6:$P$3058,5,0)</f>
        <v>WANDERLEY MARTINIANO DA MATA</v>
      </c>
      <c r="M31" s="113"/>
      <c r="N31" s="114"/>
      <c r="O31" s="115"/>
      <c r="P31" s="116"/>
      <c r="Q31" s="116"/>
      <c r="R31" s="116"/>
      <c r="S31" s="117"/>
      <c r="T31" s="118" t="str">
        <f t="shared" si="10"/>
        <v>6020.2023/0017786-5</v>
      </c>
      <c r="U31" s="119" t="e">
        <f t="shared" si="11"/>
        <v>#REF!</v>
      </c>
      <c r="V31" s="120" t="e">
        <f t="shared" si="12"/>
        <v>#REF!</v>
      </c>
      <c r="W31" s="104"/>
      <c r="X31" s="104"/>
      <c r="Y31" s="104"/>
      <c r="Z31" s="104"/>
      <c r="AA31" s="121" t="str">
        <f>CONCATENATE("Prestação de Serviço e Transpor. Escolar Gratuito - TEG n. ",A31," - DRE - " &amp;'BASE C'!$C$2)</f>
        <v>Prestação de Serviço e Transpor. Escolar Gratuito - TEG n. 2023/0017786 - DRE - G</v>
      </c>
      <c r="AB31" s="184" t="str">
        <f t="shared" si="13"/>
        <v>WANDERLEY MARTINIANO DA MATA</v>
      </c>
      <c r="AC31" s="185"/>
      <c r="AD31" s="186"/>
      <c r="AE31" s="188"/>
      <c r="AF31" s="88"/>
    </row>
    <row r="32" spans="1:32" s="55" customFormat="1" ht="20.100000000000001" customHeight="1" x14ac:dyDescent="0.25">
      <c r="A32" s="569" t="s">
        <v>3215</v>
      </c>
      <c r="B32" s="105"/>
      <c r="C32" s="106">
        <f t="shared" si="7"/>
        <v>0</v>
      </c>
      <c r="D32" s="107" t="str">
        <f>VLOOKUP(A32,'APONTAMENTO CREDENCIAMENTO'!$D$6:$P$3058,12,0)</f>
        <v>6020.2023/0024108-3</v>
      </c>
      <c r="E32" s="108"/>
      <c r="F32" s="109" t="e">
        <f>SUMIF('APONTAMENTO CREDENCIAMENTO'!$D$6:$D$3058,'ATESTE-LIQ'!A32,'APONTAMENTO CREDENCIAMENTO'!#REF!)</f>
        <v>#REF!</v>
      </c>
      <c r="G32" s="255" t="str">
        <f>VLOOKUP(A32,'APONTAMENTO CREDENCIAMENTO'!$D$6:$G$3058,3,0)</f>
        <v>01/04/2026</v>
      </c>
      <c r="H32" s="255" t="str">
        <f>VLOOKUP(A32,'APONTAMENTO CREDENCIAMENTO'!$D$6:$G$3058,4,0)</f>
        <v>30/04/2026</v>
      </c>
      <c r="I32" s="110" t="str">
        <f t="shared" si="8"/>
        <v>PE - Pagto. Doc(s):  - Contrato nº 2023/0024108</v>
      </c>
      <c r="J32" s="111" t="e">
        <f t="shared" si="9"/>
        <v>#REF!</v>
      </c>
      <c r="K32" s="111">
        <v>0</v>
      </c>
      <c r="L32" s="112" t="str">
        <f>VLOOKUP(A32,'APONTAMENTO CREDENCIAMENTO'!$D$6:$P$3058,5,0)</f>
        <v>EDILENE SALES FEITOZA</v>
      </c>
      <c r="M32" s="113"/>
      <c r="N32" s="114"/>
      <c r="O32" s="115"/>
      <c r="P32" s="116"/>
      <c r="Q32" s="116"/>
      <c r="R32" s="116"/>
      <c r="S32" s="117"/>
      <c r="T32" s="118" t="str">
        <f t="shared" si="10"/>
        <v>6020.2023/0024108-3</v>
      </c>
      <c r="U32" s="119" t="e">
        <f t="shared" si="11"/>
        <v>#REF!</v>
      </c>
      <c r="V32" s="120" t="e">
        <f t="shared" si="12"/>
        <v>#REF!</v>
      </c>
      <c r="W32" s="104"/>
      <c r="X32" s="104"/>
      <c r="Y32" s="104"/>
      <c r="Z32" s="104"/>
      <c r="AA32" s="121" t="str">
        <f>CONCATENATE("Prestação de Serviço e Transpor. Escolar Gratuito - TEG n. ",A32," - DRE - " &amp;'BASE C'!$C$2)</f>
        <v>Prestação de Serviço e Transpor. Escolar Gratuito - TEG n. 2023/0024108 - DRE - G</v>
      </c>
      <c r="AB32" s="184" t="str">
        <f t="shared" si="13"/>
        <v>EDILENE SALES FEITOZA</v>
      </c>
      <c r="AC32" s="185"/>
      <c r="AD32" s="186"/>
      <c r="AE32" s="188"/>
      <c r="AF32" s="88"/>
    </row>
    <row r="33" spans="1:32" s="55" customFormat="1" ht="20.100000000000001" customHeight="1" x14ac:dyDescent="0.25">
      <c r="A33" s="569" t="s">
        <v>3203</v>
      </c>
      <c r="B33" s="105"/>
      <c r="C33" s="106">
        <f t="shared" si="7"/>
        <v>0</v>
      </c>
      <c r="D33" s="107" t="str">
        <f>VLOOKUP(A33,'APONTAMENTO CREDENCIAMENTO'!$D$6:$P$3058,12,0)</f>
        <v>6020.2023/0024580-1</v>
      </c>
      <c r="E33" s="108"/>
      <c r="F33" s="109" t="e">
        <f>SUMIF('APONTAMENTO CREDENCIAMENTO'!$D$6:$D$3058,'ATESTE-LIQ'!A33,'APONTAMENTO CREDENCIAMENTO'!#REF!)</f>
        <v>#REF!</v>
      </c>
      <c r="G33" s="255" t="str">
        <f>VLOOKUP(A33,'APONTAMENTO CREDENCIAMENTO'!$D$6:$G$3058,3,0)</f>
        <v>01/04/2026</v>
      </c>
      <c r="H33" s="255" t="str">
        <f>VLOOKUP(A33,'APONTAMENTO CREDENCIAMENTO'!$D$6:$G$3058,4,0)</f>
        <v>30/04/2026</v>
      </c>
      <c r="I33" s="110" t="str">
        <f t="shared" si="8"/>
        <v>PE - Pagto. Doc(s):  - Contrato nº 2023/0024580</v>
      </c>
      <c r="J33" s="111" t="e">
        <f t="shared" si="9"/>
        <v>#REF!</v>
      </c>
      <c r="K33" s="111">
        <v>0</v>
      </c>
      <c r="L33" s="112" t="str">
        <f>VLOOKUP(A33,'APONTAMENTO CREDENCIAMENTO'!$D$6:$P$3058,5,0)</f>
        <v>CARLOS VITORINO FIGUEIREDO</v>
      </c>
      <c r="M33" s="113"/>
      <c r="N33" s="114"/>
      <c r="O33" s="115"/>
      <c r="P33" s="116"/>
      <c r="Q33" s="116"/>
      <c r="R33" s="116"/>
      <c r="S33" s="117"/>
      <c r="T33" s="118" t="str">
        <f t="shared" si="10"/>
        <v>6020.2023/0024580-1</v>
      </c>
      <c r="U33" s="119" t="e">
        <f t="shared" si="11"/>
        <v>#REF!</v>
      </c>
      <c r="V33" s="120" t="e">
        <f t="shared" si="12"/>
        <v>#REF!</v>
      </c>
      <c r="W33" s="104"/>
      <c r="X33" s="104"/>
      <c r="Y33" s="104"/>
      <c r="Z33" s="104"/>
      <c r="AA33" s="121" t="str">
        <f>CONCATENATE("Prestação de Serviço e Transpor. Escolar Gratuito - TEG n. ",A33," - DRE - " &amp;'BASE C'!$C$2)</f>
        <v>Prestação de Serviço e Transpor. Escolar Gratuito - TEG n. 2023/0024580 - DRE - G</v>
      </c>
      <c r="AB33" s="184" t="str">
        <f t="shared" si="13"/>
        <v>CARLOS VITORINO FIGUEIREDO</v>
      </c>
      <c r="AC33" s="185"/>
      <c r="AD33" s="186"/>
      <c r="AE33" s="188"/>
      <c r="AF33" s="88"/>
    </row>
    <row r="34" spans="1:32" s="55" customFormat="1" ht="20.100000000000001" customHeight="1" x14ac:dyDescent="0.25">
      <c r="A34" s="569" t="s">
        <v>3239</v>
      </c>
      <c r="B34" s="105"/>
      <c r="C34" s="106">
        <f t="shared" si="7"/>
        <v>0</v>
      </c>
      <c r="D34" s="107" t="str">
        <f>VLOOKUP(A34,'APONTAMENTO CREDENCIAMENTO'!$D$6:$P$3058,12,0)</f>
        <v>6020.2023/0025327-8</v>
      </c>
      <c r="E34" s="108"/>
      <c r="F34" s="109" t="e">
        <f>SUMIF('APONTAMENTO CREDENCIAMENTO'!$D$6:$D$3058,'ATESTE-LIQ'!A34,'APONTAMENTO CREDENCIAMENTO'!#REF!)</f>
        <v>#REF!</v>
      </c>
      <c r="G34" s="255" t="str">
        <f>VLOOKUP(A34,'APONTAMENTO CREDENCIAMENTO'!$D$6:$G$3058,3,0)</f>
        <v>01/04/2026</v>
      </c>
      <c r="H34" s="255" t="str">
        <f>VLOOKUP(A34,'APONTAMENTO CREDENCIAMENTO'!$D$6:$G$3058,4,0)</f>
        <v>30/04/2026</v>
      </c>
      <c r="I34" s="110" t="str">
        <f t="shared" si="8"/>
        <v>PE - Pagto. Doc(s):  - Contrato nº 2023/0025327</v>
      </c>
      <c r="J34" s="111" t="e">
        <f t="shared" si="9"/>
        <v>#REF!</v>
      </c>
      <c r="K34" s="111">
        <v>0</v>
      </c>
      <c r="L34" s="112" t="str">
        <f>VLOOKUP(A34,'APONTAMENTO CREDENCIAMENTO'!$D$6:$P$3058,5,0)</f>
        <v>GERALDO CONCEICAO DA SILVA</v>
      </c>
      <c r="M34" s="113"/>
      <c r="N34" s="114"/>
      <c r="O34" s="115"/>
      <c r="P34" s="116"/>
      <c r="Q34" s="116"/>
      <c r="R34" s="116"/>
      <c r="S34" s="117"/>
      <c r="T34" s="118" t="str">
        <f t="shared" si="10"/>
        <v>6020.2023/0025327-8</v>
      </c>
      <c r="U34" s="119" t="e">
        <f t="shared" si="11"/>
        <v>#REF!</v>
      </c>
      <c r="V34" s="120" t="e">
        <f t="shared" si="12"/>
        <v>#REF!</v>
      </c>
      <c r="W34" s="104"/>
      <c r="X34" s="104"/>
      <c r="Y34" s="104"/>
      <c r="Z34" s="104"/>
      <c r="AA34" s="121" t="str">
        <f>CONCATENATE("Prestação de Serviço e Transpor. Escolar Gratuito - TEG n. ",A34," - DRE - " &amp;'BASE C'!$C$2)</f>
        <v>Prestação de Serviço e Transpor. Escolar Gratuito - TEG n. 2023/0025327 - DRE - G</v>
      </c>
      <c r="AB34" s="184" t="str">
        <f t="shared" si="13"/>
        <v>GERALDO CONCEICAO DA SILVA</v>
      </c>
      <c r="AC34" s="185"/>
      <c r="AD34" s="186"/>
      <c r="AE34" s="188"/>
      <c r="AF34" s="88"/>
    </row>
    <row r="35" spans="1:32" s="55" customFormat="1" ht="20.100000000000001" customHeight="1" x14ac:dyDescent="0.25">
      <c r="A35" s="569" t="s">
        <v>3187</v>
      </c>
      <c r="B35" s="105"/>
      <c r="C35" s="106">
        <f t="shared" si="7"/>
        <v>0</v>
      </c>
      <c r="D35" s="107" t="str">
        <f>VLOOKUP(A35,'APONTAMENTO CREDENCIAMENTO'!$D$6:$P$3058,12,0)</f>
        <v>6020.2023/0026116-5</v>
      </c>
      <c r="E35" s="108"/>
      <c r="F35" s="109" t="e">
        <f>SUMIF('APONTAMENTO CREDENCIAMENTO'!$D$6:$D$3058,'ATESTE-LIQ'!A35,'APONTAMENTO CREDENCIAMENTO'!#REF!)</f>
        <v>#REF!</v>
      </c>
      <c r="G35" s="255" t="str">
        <f>VLOOKUP(A35,'APONTAMENTO CREDENCIAMENTO'!$D$6:$G$3058,3,0)</f>
        <v>01/04/2026</v>
      </c>
      <c r="H35" s="255" t="str">
        <f>VLOOKUP(A35,'APONTAMENTO CREDENCIAMENTO'!$D$6:$G$3058,4,0)</f>
        <v>30/04/2026</v>
      </c>
      <c r="I35" s="110" t="str">
        <f t="shared" si="8"/>
        <v>PE - Pagto. Doc(s):  - Contrato nº 2023/0026116</v>
      </c>
      <c r="J35" s="111" t="e">
        <f t="shared" si="9"/>
        <v>#REF!</v>
      </c>
      <c r="K35" s="111">
        <v>0</v>
      </c>
      <c r="L35" s="112" t="str">
        <f>VLOOKUP(A35,'APONTAMENTO CREDENCIAMENTO'!$D$6:$P$3058,5,0)</f>
        <v>ANTONIO ROBERTO GOMES</v>
      </c>
      <c r="M35" s="113"/>
      <c r="N35" s="114"/>
      <c r="O35" s="115"/>
      <c r="P35" s="116"/>
      <c r="Q35" s="116"/>
      <c r="R35" s="116"/>
      <c r="S35" s="117"/>
      <c r="T35" s="118" t="str">
        <f t="shared" si="10"/>
        <v>6020.2023/0026116-5</v>
      </c>
      <c r="U35" s="119" t="e">
        <f t="shared" si="11"/>
        <v>#REF!</v>
      </c>
      <c r="V35" s="120" t="e">
        <f t="shared" si="12"/>
        <v>#REF!</v>
      </c>
      <c r="W35" s="104"/>
      <c r="X35" s="104"/>
      <c r="Y35" s="104"/>
      <c r="Z35" s="104"/>
      <c r="AA35" s="121" t="str">
        <f>CONCATENATE("Prestação de Serviço e Transpor. Escolar Gratuito - TEG n. ",A35," - DRE - " &amp;'BASE C'!$C$2)</f>
        <v>Prestação de Serviço e Transpor. Escolar Gratuito - TEG n. 2023/0026116 - DRE - G</v>
      </c>
      <c r="AB35" s="184" t="str">
        <f t="shared" si="13"/>
        <v>ANTONIO ROBERTO GOMES</v>
      </c>
      <c r="AC35" s="185"/>
      <c r="AD35" s="186"/>
      <c r="AE35" s="188"/>
      <c r="AF35" s="88"/>
    </row>
    <row r="36" spans="1:32" s="55" customFormat="1" ht="20.100000000000001" customHeight="1" x14ac:dyDescent="0.25">
      <c r="A36" s="569" t="s">
        <v>3262</v>
      </c>
      <c r="B36" s="105"/>
      <c r="C36" s="106">
        <f t="shared" si="7"/>
        <v>0</v>
      </c>
      <c r="D36" s="107" t="str">
        <f>VLOOKUP(A36,'APONTAMENTO CREDENCIAMENTO'!$D$6:$P$3058,12,0)</f>
        <v>6020.2023/0026505-5</v>
      </c>
      <c r="E36" s="108"/>
      <c r="F36" s="109" t="e">
        <f>SUMIF('APONTAMENTO CREDENCIAMENTO'!$D$6:$D$3058,'ATESTE-LIQ'!A36,'APONTAMENTO CREDENCIAMENTO'!#REF!)</f>
        <v>#REF!</v>
      </c>
      <c r="G36" s="255" t="str">
        <f>VLOOKUP(A36,'APONTAMENTO CREDENCIAMENTO'!$D$6:$G$3058,3,0)</f>
        <v>01/04/2026</v>
      </c>
      <c r="H36" s="255" t="str">
        <f>VLOOKUP(A36,'APONTAMENTO CREDENCIAMENTO'!$D$6:$G$3058,4,0)</f>
        <v>30/04/2026</v>
      </c>
      <c r="I36" s="110" t="str">
        <f t="shared" si="8"/>
        <v>PE - Pagto. Doc(s):  - Contrato nº 2023/0026505</v>
      </c>
      <c r="J36" s="111" t="e">
        <f t="shared" si="9"/>
        <v>#REF!</v>
      </c>
      <c r="K36" s="111">
        <v>0</v>
      </c>
      <c r="L36" s="112" t="str">
        <f>VLOOKUP(A36,'APONTAMENTO CREDENCIAMENTO'!$D$6:$P$3058,5,0)</f>
        <v>JONAS CARDOSO</v>
      </c>
      <c r="M36" s="113"/>
      <c r="N36" s="114"/>
      <c r="O36" s="115"/>
      <c r="P36" s="116"/>
      <c r="Q36" s="116"/>
      <c r="R36" s="116"/>
      <c r="S36" s="117"/>
      <c r="T36" s="118" t="str">
        <f t="shared" si="10"/>
        <v>6020.2023/0026505-5</v>
      </c>
      <c r="U36" s="119" t="e">
        <f t="shared" si="11"/>
        <v>#REF!</v>
      </c>
      <c r="V36" s="120" t="e">
        <f t="shared" si="12"/>
        <v>#REF!</v>
      </c>
      <c r="W36" s="104"/>
      <c r="X36" s="104"/>
      <c r="Y36" s="104"/>
      <c r="Z36" s="104"/>
      <c r="AA36" s="121" t="str">
        <f>CONCATENATE("Prestação de Serviço e Transpor. Escolar Gratuito - TEG n. ",A36," - DRE - " &amp;'BASE C'!$C$2)</f>
        <v>Prestação de Serviço e Transpor. Escolar Gratuito - TEG n. 2023/0026505 - DRE - G</v>
      </c>
      <c r="AB36" s="184" t="str">
        <f t="shared" si="13"/>
        <v>JONAS CARDOSO</v>
      </c>
      <c r="AC36" s="185"/>
      <c r="AD36" s="186"/>
      <c r="AE36" s="188"/>
      <c r="AF36" s="88"/>
    </row>
    <row r="37" spans="1:32" s="55" customFormat="1" ht="20.100000000000001" customHeight="1" x14ac:dyDescent="0.25">
      <c r="A37" s="569" t="s">
        <v>3235</v>
      </c>
      <c r="B37" s="105"/>
      <c r="C37" s="106">
        <f t="shared" si="7"/>
        <v>0</v>
      </c>
      <c r="D37" s="107" t="str">
        <f>VLOOKUP(A37,'APONTAMENTO CREDENCIAMENTO'!$D$6:$P$3058,12,0)</f>
        <v>6020.2023/0026583-7</v>
      </c>
      <c r="E37" s="108"/>
      <c r="F37" s="109" t="e">
        <f>SUMIF('APONTAMENTO CREDENCIAMENTO'!$D$6:$D$3058,'ATESTE-LIQ'!A37,'APONTAMENTO CREDENCIAMENTO'!#REF!)</f>
        <v>#REF!</v>
      </c>
      <c r="G37" s="255" t="str">
        <f>VLOOKUP(A37,'APONTAMENTO CREDENCIAMENTO'!$D$6:$G$3058,3,0)</f>
        <v>01/04/2026</v>
      </c>
      <c r="H37" s="255" t="str">
        <f>VLOOKUP(A37,'APONTAMENTO CREDENCIAMENTO'!$D$6:$G$3058,4,0)</f>
        <v>30/04/2026</v>
      </c>
      <c r="I37" s="110" t="str">
        <f t="shared" si="8"/>
        <v>PE - Pagto. Doc(s):  - Contrato nº 2023/0026583</v>
      </c>
      <c r="J37" s="111" t="e">
        <f t="shared" si="9"/>
        <v>#REF!</v>
      </c>
      <c r="K37" s="111">
        <v>0</v>
      </c>
      <c r="L37" s="112" t="str">
        <f>VLOOKUP(A37,'APONTAMENTO CREDENCIAMENTO'!$D$6:$P$3058,5,0)</f>
        <v>ERIK BRASIL DE VASCONCELOS</v>
      </c>
      <c r="M37" s="113"/>
      <c r="N37" s="114"/>
      <c r="O37" s="115"/>
      <c r="P37" s="116"/>
      <c r="Q37" s="116"/>
      <c r="R37" s="116"/>
      <c r="S37" s="117"/>
      <c r="T37" s="118" t="str">
        <f t="shared" si="10"/>
        <v>6020.2023/0026583-7</v>
      </c>
      <c r="U37" s="119" t="e">
        <f t="shared" si="11"/>
        <v>#REF!</v>
      </c>
      <c r="V37" s="120" t="e">
        <f t="shared" si="12"/>
        <v>#REF!</v>
      </c>
      <c r="W37" s="104"/>
      <c r="X37" s="104"/>
      <c r="Y37" s="104"/>
      <c r="Z37" s="104"/>
      <c r="AA37" s="121" t="str">
        <f>CONCATENATE("Prestação de Serviço e Transpor. Escolar Gratuito - TEG n. ",A37," - DRE - " &amp;'BASE C'!$C$2)</f>
        <v>Prestação de Serviço e Transpor. Escolar Gratuito - TEG n. 2023/0026583 - DRE - G</v>
      </c>
      <c r="AB37" s="184" t="str">
        <f t="shared" si="13"/>
        <v>ERIK BRASIL DE VASCONCELOS</v>
      </c>
      <c r="AC37" s="185"/>
      <c r="AD37" s="186"/>
      <c r="AE37" s="188"/>
      <c r="AF37" s="88"/>
    </row>
    <row r="38" spans="1:32" s="55" customFormat="1" ht="20.100000000000001" customHeight="1" x14ac:dyDescent="0.25">
      <c r="A38" s="569" t="s">
        <v>3247</v>
      </c>
      <c r="B38" s="105"/>
      <c r="C38" s="106">
        <f t="shared" si="7"/>
        <v>0</v>
      </c>
      <c r="D38" s="107" t="str">
        <f>VLOOKUP(A38,'APONTAMENTO CREDENCIAMENTO'!$D$6:$P$3058,12,0)</f>
        <v>6020.2023/0026599-3</v>
      </c>
      <c r="E38" s="108"/>
      <c r="F38" s="109" t="e">
        <f>SUMIF('APONTAMENTO CREDENCIAMENTO'!$D$6:$D$3058,'ATESTE-LIQ'!A38,'APONTAMENTO CREDENCIAMENTO'!#REF!)</f>
        <v>#REF!</v>
      </c>
      <c r="G38" s="255" t="str">
        <f>VLOOKUP(A38,'APONTAMENTO CREDENCIAMENTO'!$D$6:$G$3058,3,0)</f>
        <v>01/04/2026</v>
      </c>
      <c r="H38" s="255" t="str">
        <f>VLOOKUP(A38,'APONTAMENTO CREDENCIAMENTO'!$D$6:$G$3058,4,0)</f>
        <v>30/04/2026</v>
      </c>
      <c r="I38" s="110" t="str">
        <f t="shared" si="8"/>
        <v>PE - Pagto. Doc(s):  - Contrato nº 2023/0026599</v>
      </c>
      <c r="J38" s="111" t="e">
        <f t="shared" si="9"/>
        <v>#REF!</v>
      </c>
      <c r="K38" s="111">
        <v>0</v>
      </c>
      <c r="L38" s="112" t="str">
        <f>VLOOKUP(A38,'APONTAMENTO CREDENCIAMENTO'!$D$6:$P$3058,5,0)</f>
        <v>GILMAR RIBEIRO LEAL</v>
      </c>
      <c r="M38" s="113"/>
      <c r="N38" s="114"/>
      <c r="O38" s="115"/>
      <c r="P38" s="116"/>
      <c r="Q38" s="116"/>
      <c r="R38" s="116"/>
      <c r="S38" s="117"/>
      <c r="T38" s="118" t="str">
        <f t="shared" si="10"/>
        <v>6020.2023/0026599-3</v>
      </c>
      <c r="U38" s="119" t="e">
        <f t="shared" si="11"/>
        <v>#REF!</v>
      </c>
      <c r="V38" s="120" t="e">
        <f t="shared" si="12"/>
        <v>#REF!</v>
      </c>
      <c r="W38" s="104"/>
      <c r="X38" s="104"/>
      <c r="Y38" s="104"/>
      <c r="Z38" s="104"/>
      <c r="AA38" s="121" t="str">
        <f>CONCATENATE("Prestação de Serviço e Transpor. Escolar Gratuito - TEG n. ",A38," - DRE - " &amp;'BASE C'!$C$2)</f>
        <v>Prestação de Serviço e Transpor. Escolar Gratuito - TEG n. 2023/0026599 - DRE - G</v>
      </c>
      <c r="AB38" s="184" t="str">
        <f t="shared" si="13"/>
        <v>GILMAR RIBEIRO LEAL</v>
      </c>
      <c r="AC38" s="185"/>
      <c r="AD38" s="186"/>
      <c r="AE38" s="188"/>
      <c r="AF38" s="88"/>
    </row>
    <row r="39" spans="1:32" s="55" customFormat="1" ht="20.100000000000001" customHeight="1" x14ac:dyDescent="0.25">
      <c r="A39" s="569" t="s">
        <v>3314</v>
      </c>
      <c r="B39" s="105"/>
      <c r="C39" s="106">
        <f t="shared" si="7"/>
        <v>0</v>
      </c>
      <c r="D39" s="107" t="str">
        <f>VLOOKUP(A39,'APONTAMENTO CREDENCIAMENTO'!$D$6:$P$3058,12,0)</f>
        <v>6020.2023/0030044-6</v>
      </c>
      <c r="E39" s="108"/>
      <c r="F39" s="109" t="e">
        <f>SUMIF('APONTAMENTO CREDENCIAMENTO'!$D$6:$D$3058,'ATESTE-LIQ'!A39,'APONTAMENTO CREDENCIAMENTO'!#REF!)</f>
        <v>#REF!</v>
      </c>
      <c r="G39" s="255" t="str">
        <f>VLOOKUP(A39,'APONTAMENTO CREDENCIAMENTO'!$D$6:$G$3058,3,0)</f>
        <v>01/04/2026</v>
      </c>
      <c r="H39" s="255" t="str">
        <f>VLOOKUP(A39,'APONTAMENTO CREDENCIAMENTO'!$D$6:$G$3058,4,0)</f>
        <v>30/04/2026</v>
      </c>
      <c r="I39" s="110" t="str">
        <f t="shared" si="8"/>
        <v>PE - Pagto. Doc(s):  - Contrato nº 2023/0030044</v>
      </c>
      <c r="J39" s="111" t="e">
        <f t="shared" si="9"/>
        <v>#REF!</v>
      </c>
      <c r="K39" s="111">
        <v>0</v>
      </c>
      <c r="L39" s="112" t="str">
        <f>VLOOKUP(A39,'APONTAMENTO CREDENCIAMENTO'!$D$6:$P$3058,5,0)</f>
        <v>PAULO SERGIO DO NASCIMENTO</v>
      </c>
      <c r="M39" s="113"/>
      <c r="N39" s="114"/>
      <c r="O39" s="115"/>
      <c r="P39" s="116"/>
      <c r="Q39" s="116"/>
      <c r="R39" s="116"/>
      <c r="S39" s="117"/>
      <c r="T39" s="118" t="str">
        <f t="shared" si="10"/>
        <v>6020.2023/0030044-6</v>
      </c>
      <c r="U39" s="119" t="e">
        <f t="shared" si="11"/>
        <v>#REF!</v>
      </c>
      <c r="V39" s="120" t="e">
        <f t="shared" si="12"/>
        <v>#REF!</v>
      </c>
      <c r="W39" s="104"/>
      <c r="X39" s="104"/>
      <c r="Y39" s="104"/>
      <c r="Z39" s="104"/>
      <c r="AA39" s="121" t="str">
        <f>CONCATENATE("Prestação de Serviço e Transpor. Escolar Gratuito - TEG n. ",A39," - DRE - " &amp;'BASE C'!$C$2)</f>
        <v>Prestação de Serviço e Transpor. Escolar Gratuito - TEG n. 2023/0030044 - DRE - G</v>
      </c>
      <c r="AB39" s="184" t="str">
        <f t="shared" si="13"/>
        <v>PAULO SERGIO DO NASCIMENTO</v>
      </c>
      <c r="AC39" s="185"/>
      <c r="AD39" s="186"/>
      <c r="AE39" s="188"/>
      <c r="AF39" s="88"/>
    </row>
    <row r="40" spans="1:32" s="55" customFormat="1" ht="20.100000000000001" customHeight="1" x14ac:dyDescent="0.25">
      <c r="A40" s="569" t="s">
        <v>3318</v>
      </c>
      <c r="B40" s="105"/>
      <c r="C40" s="106">
        <f t="shared" si="7"/>
        <v>0</v>
      </c>
      <c r="D40" s="107" t="str">
        <f>VLOOKUP(A40,'APONTAMENTO CREDENCIAMENTO'!$D$6:$P$3058,12,0)</f>
        <v>6020.2025/0012259-2</v>
      </c>
      <c r="E40" s="108"/>
      <c r="F40" s="109" t="e">
        <f>SUMIF('APONTAMENTO CREDENCIAMENTO'!$D$6:$D$3058,'ATESTE-LIQ'!A40,'APONTAMENTO CREDENCIAMENTO'!#REF!)</f>
        <v>#REF!</v>
      </c>
      <c r="G40" s="255" t="str">
        <f>VLOOKUP(A40,'APONTAMENTO CREDENCIAMENTO'!$D$6:$G$3058,3,0)</f>
        <v>01/04/2026</v>
      </c>
      <c r="H40" s="255" t="str">
        <f>VLOOKUP(A40,'APONTAMENTO CREDENCIAMENTO'!$D$6:$G$3058,4,0)</f>
        <v>30/04/2026</v>
      </c>
      <c r="I40" s="110" t="str">
        <f t="shared" si="8"/>
        <v>PE - Pagto. Doc(s):  - Contrato nº 2025/0012259</v>
      </c>
      <c r="J40" s="111" t="e">
        <f t="shared" si="9"/>
        <v>#REF!</v>
      </c>
      <c r="K40" s="111">
        <v>0</v>
      </c>
      <c r="L40" s="112" t="str">
        <f>VLOOKUP(A40,'APONTAMENTO CREDENCIAMENTO'!$D$6:$P$3058,5,0)</f>
        <v>RENATO CROZARA DA SILVA</v>
      </c>
      <c r="M40" s="113"/>
      <c r="N40" s="114"/>
      <c r="O40" s="115"/>
      <c r="P40" s="116"/>
      <c r="Q40" s="116"/>
      <c r="R40" s="116"/>
      <c r="S40" s="117"/>
      <c r="T40" s="118" t="str">
        <f t="shared" si="10"/>
        <v>6020.2025/0012259-2</v>
      </c>
      <c r="U40" s="119" t="e">
        <f t="shared" si="11"/>
        <v>#REF!</v>
      </c>
      <c r="V40" s="120" t="e">
        <f t="shared" si="12"/>
        <v>#REF!</v>
      </c>
      <c r="W40" s="104"/>
      <c r="X40" s="104"/>
      <c r="Y40" s="104"/>
      <c r="Z40" s="104"/>
      <c r="AA40" s="121" t="str">
        <f>CONCATENATE("Prestação de Serviço e Transpor. Escolar Gratuito - TEG n. ",A40," - DRE - " &amp;'BASE C'!$C$2)</f>
        <v>Prestação de Serviço e Transpor. Escolar Gratuito - TEG n. 2025/0012259 - DRE - G</v>
      </c>
      <c r="AB40" s="184" t="str">
        <f t="shared" si="13"/>
        <v>RENATO CROZARA DA SILVA</v>
      </c>
      <c r="AC40" s="185"/>
      <c r="AD40" s="186"/>
      <c r="AE40" s="188"/>
      <c r="AF40" s="88"/>
    </row>
    <row r="42" spans="1:32" ht="20.25" customHeight="1" x14ac:dyDescent="0.2">
      <c r="A42" s="183"/>
      <c r="F42" s="58" t="e">
        <f>SUM(F2:F41)</f>
        <v>#REF!</v>
      </c>
      <c r="J42" s="58" t="e">
        <f>SUM(J2:J41)</f>
        <v>#REF!</v>
      </c>
    </row>
    <row r="43" spans="1:32" ht="20.25" customHeight="1" x14ac:dyDescent="0.2">
      <c r="A43" s="183"/>
    </row>
    <row r="44" spans="1:32" ht="20.25" customHeight="1" x14ac:dyDescent="0.2">
      <c r="A44" s="183"/>
    </row>
    <row r="45" spans="1:32" ht="20.25" customHeight="1" x14ac:dyDescent="0.2">
      <c r="A45" s="183"/>
    </row>
    <row r="46" spans="1:32" ht="20.25" customHeight="1" x14ac:dyDescent="0.2">
      <c r="A46" s="183"/>
    </row>
    <row r="47" spans="1:32" ht="20.25" customHeight="1" x14ac:dyDescent="0.2">
      <c r="A47" s="183"/>
    </row>
    <row r="48" spans="1:32" ht="20.25" customHeight="1" x14ac:dyDescent="0.2">
      <c r="A48" s="183"/>
    </row>
    <row r="49" spans="1:1" ht="20.25" customHeight="1" x14ac:dyDescent="0.2">
      <c r="A49" s="183"/>
    </row>
    <row r="50" spans="1:1" ht="20.25" customHeight="1" x14ac:dyDescent="0.2">
      <c r="A50" s="183"/>
    </row>
    <row r="51" spans="1:1" ht="20.25" customHeight="1" x14ac:dyDescent="0.2">
      <c r="A51" s="183"/>
    </row>
    <row r="52" spans="1:1" ht="20.25" customHeight="1" x14ac:dyDescent="0.2">
      <c r="A52" s="183"/>
    </row>
    <row r="53" spans="1:1" ht="20.25" customHeight="1" x14ac:dyDescent="0.2">
      <c r="A53" s="183"/>
    </row>
    <row r="54" spans="1:1" ht="20.25" customHeight="1" x14ac:dyDescent="0.2">
      <c r="A54" s="183"/>
    </row>
    <row r="55" spans="1:1" ht="20.25" customHeight="1" x14ac:dyDescent="0.2">
      <c r="A55" s="183"/>
    </row>
    <row r="56" spans="1:1" ht="20.25" customHeight="1" x14ac:dyDescent="0.2">
      <c r="A56" s="183"/>
    </row>
    <row r="57" spans="1:1" ht="20.25" customHeight="1" x14ac:dyDescent="0.2">
      <c r="A57" s="183"/>
    </row>
    <row r="58" spans="1:1" ht="20.25" customHeight="1" x14ac:dyDescent="0.2">
      <c r="A58" s="183"/>
    </row>
    <row r="59" spans="1:1" ht="20.25" customHeight="1" x14ac:dyDescent="0.2">
      <c r="A59" s="183"/>
    </row>
    <row r="60" spans="1:1" ht="20.25" customHeight="1" x14ac:dyDescent="0.2">
      <c r="A60" s="183"/>
    </row>
    <row r="61" spans="1:1" ht="20.25" customHeight="1" x14ac:dyDescent="0.2">
      <c r="A61" s="183"/>
    </row>
  </sheetData>
  <sheetProtection formatCells="0" formatColumns="0" formatRows="0" selectLockedCells="1"/>
  <sortState xmlns:xlrd2="http://schemas.microsoft.com/office/spreadsheetml/2017/richdata2" ref="B41:B73">
    <sortCondition ref="B41:B73"/>
  </sortState>
  <conditionalFormatting sqref="A1:A40">
    <cfRule type="duplicateValues" dxfId="144" priority="164366"/>
  </conditionalFormatting>
  <conditionalFormatting sqref="B2:B40">
    <cfRule type="duplicateValues" dxfId="143" priority="164367"/>
    <cfRule type="duplicateValues" dxfId="142" priority="164368"/>
    <cfRule type="duplicateValues" dxfId="141" priority="164369"/>
    <cfRule type="duplicateValues" dxfId="140" priority="164370"/>
    <cfRule type="duplicateValues" dxfId="139" priority="164371"/>
  </conditionalFormatting>
  <conditionalFormatting sqref="C1 E1:AE1">
    <cfRule type="duplicateValues" dxfId="138" priority="48"/>
  </conditionalFormatting>
  <conditionalFormatting sqref="C2:C40">
    <cfRule type="duplicateValues" dxfId="137" priority="164372"/>
  </conditionalFormatting>
  <conditionalFormatting sqref="D2:D40">
    <cfRule type="expression" dxfId="136" priority="143" stopIfTrue="1">
      <formula>AND(COUNTIF($D:$D,D2)&gt;1,NOT(ISBLANK(D2)))</formula>
    </cfRule>
  </conditionalFormatting>
  <conditionalFormatting sqref="S2:S40">
    <cfRule type="expression" dxfId="135" priority="2499" stopIfTrue="1">
      <formula>AND(COUNTIF($S$2:$S$2,S2)&gt;1,NOT(ISBLANK(S2)))</formula>
    </cfRule>
  </conditionalFormatting>
  <conditionalFormatting sqref="S42:S1048576 S2:S40">
    <cfRule type="duplicateValues" dxfId="134" priority="2503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4" customWidth="1"/>
    <col min="2" max="2" width="10.140625" style="251" bestFit="1" customWidth="1"/>
    <col min="3" max="3" width="10.140625" style="54" bestFit="1" customWidth="1"/>
    <col min="4" max="9" width="9.140625" style="54"/>
    <col min="10" max="10" width="13.85546875" style="54" bestFit="1" customWidth="1"/>
    <col min="11" max="16384" width="9.140625" style="54"/>
  </cols>
  <sheetData>
    <row r="1" spans="1:13" x14ac:dyDescent="0.2">
      <c r="A1" s="207" t="s">
        <v>74</v>
      </c>
      <c r="B1" s="247" t="s">
        <v>146</v>
      </c>
      <c r="D1" s="203" t="s">
        <v>149</v>
      </c>
      <c r="E1" s="203"/>
      <c r="F1" s="203" t="s">
        <v>150</v>
      </c>
      <c r="J1" s="441">
        <v>2428.8000000000002</v>
      </c>
      <c r="K1" s="440">
        <v>0</v>
      </c>
      <c r="L1"/>
      <c r="M1" s="440" t="s">
        <v>3082</v>
      </c>
    </row>
    <row r="2" spans="1:13" x14ac:dyDescent="0.2">
      <c r="A2" s="284" t="s">
        <v>151</v>
      </c>
      <c r="B2" s="248">
        <v>385.23</v>
      </c>
      <c r="D2" s="204">
        <v>350.21</v>
      </c>
      <c r="E2" s="203"/>
      <c r="F2" s="203">
        <v>333.82</v>
      </c>
      <c r="J2" s="441">
        <v>2826.65</v>
      </c>
      <c r="K2" s="440">
        <v>7.4999999999999997E-2</v>
      </c>
      <c r="L2" s="440">
        <v>182.16</v>
      </c>
      <c r="M2" s="440" t="s">
        <v>3083</v>
      </c>
    </row>
    <row r="3" spans="1:13" x14ac:dyDescent="0.2">
      <c r="A3" s="284" t="s">
        <v>19</v>
      </c>
      <c r="B3" s="248">
        <v>7492.52</v>
      </c>
      <c r="D3" s="203">
        <v>6811.38</v>
      </c>
      <c r="E3" s="203"/>
      <c r="F3" s="203">
        <v>6492.53</v>
      </c>
      <c r="J3" s="441">
        <v>3751.05</v>
      </c>
      <c r="K3" s="440">
        <v>0.15</v>
      </c>
      <c r="L3" s="440">
        <v>394.16</v>
      </c>
      <c r="M3" s="440" t="s">
        <v>3084</v>
      </c>
    </row>
    <row r="4" spans="1:13" x14ac:dyDescent="0.2">
      <c r="A4" s="284" t="s">
        <v>139</v>
      </c>
      <c r="B4" s="248">
        <v>2043.65</v>
      </c>
      <c r="D4" s="203">
        <v>2043.65</v>
      </c>
      <c r="E4" s="203"/>
      <c r="F4" s="203">
        <v>1947.98</v>
      </c>
      <c r="J4" s="441">
        <v>4664.68</v>
      </c>
      <c r="K4" s="440">
        <v>0.22500000000000001</v>
      </c>
      <c r="L4" s="440">
        <v>675.49</v>
      </c>
      <c r="M4" s="440" t="s">
        <v>3085</v>
      </c>
    </row>
    <row r="5" spans="1:13" x14ac:dyDescent="0.2">
      <c r="A5" s="284" t="s">
        <v>152</v>
      </c>
      <c r="B5" s="248">
        <v>621.14</v>
      </c>
      <c r="D5" s="203">
        <v>564.66999999999996</v>
      </c>
      <c r="E5" s="203"/>
      <c r="F5" s="203">
        <v>538.24</v>
      </c>
      <c r="J5" s="441">
        <v>999999999</v>
      </c>
      <c r="K5" s="440">
        <v>0.27500000000000002</v>
      </c>
      <c r="L5" s="440">
        <v>908.73</v>
      </c>
      <c r="M5" s="440" t="s">
        <v>3086</v>
      </c>
    </row>
    <row r="6" spans="1:13" x14ac:dyDescent="0.2">
      <c r="A6" s="284" t="s">
        <v>153</v>
      </c>
      <c r="B6" s="248">
        <v>11465.63</v>
      </c>
      <c r="D6" s="203">
        <v>10423.299999999999</v>
      </c>
      <c r="E6" s="203"/>
      <c r="F6" s="203">
        <v>9935.3700000000008</v>
      </c>
      <c r="J6" s="440">
        <v>5000</v>
      </c>
      <c r="K6" s="54">
        <v>7350</v>
      </c>
      <c r="L6" s="54">
        <v>978.62</v>
      </c>
      <c r="M6" s="440">
        <v>0.13314500000000001</v>
      </c>
    </row>
    <row r="7" spans="1:13" x14ac:dyDescent="0.2">
      <c r="A7" s="284" t="s">
        <v>147</v>
      </c>
      <c r="B7" s="248">
        <v>1.28</v>
      </c>
      <c r="D7" s="203">
        <v>1.1599999999999999</v>
      </c>
      <c r="E7" s="203"/>
      <c r="F7" s="203">
        <v>1.08</v>
      </c>
    </row>
    <row r="8" spans="1:13" x14ac:dyDescent="0.2">
      <c r="A8" s="284" t="s">
        <v>148</v>
      </c>
      <c r="B8" s="249">
        <v>9.64</v>
      </c>
      <c r="D8" s="205">
        <v>8.7552500000000002</v>
      </c>
      <c r="E8" s="203"/>
      <c r="F8" s="206">
        <v>8.35</v>
      </c>
      <c r="G8" s="202"/>
      <c r="J8" s="741" t="s">
        <v>3087</v>
      </c>
      <c r="K8" s="741"/>
      <c r="L8" s="741"/>
      <c r="M8" s="741"/>
    </row>
    <row r="9" spans="1:13" x14ac:dyDescent="0.2">
      <c r="A9" s="284" t="s">
        <v>154</v>
      </c>
      <c r="B9" s="249">
        <v>56.200375000000001</v>
      </c>
      <c r="D9" s="205">
        <v>51.091250000000002</v>
      </c>
      <c r="E9" s="203"/>
      <c r="F9" s="206">
        <v>48.7</v>
      </c>
      <c r="G9" s="202"/>
    </row>
    <row r="10" spans="1:13" x14ac:dyDescent="0.2">
      <c r="A10" s="203"/>
      <c r="B10" s="250"/>
      <c r="C10" s="203"/>
      <c r="D10" s="203"/>
      <c r="E10" s="203"/>
      <c r="F10" s="203"/>
    </row>
    <row r="11" spans="1:13" x14ac:dyDescent="0.2">
      <c r="A11" s="279" t="s">
        <v>200</v>
      </c>
      <c r="B11" s="282">
        <v>46113</v>
      </c>
      <c r="C11" s="283">
        <v>46142</v>
      </c>
    </row>
    <row r="13" spans="1:13" x14ac:dyDescent="0.2">
      <c r="A13" s="279" t="s">
        <v>39</v>
      </c>
      <c r="B13" s="279">
        <f>VLOOKUP(B11,A24:B34,2)</f>
        <v>19</v>
      </c>
    </row>
    <row r="16" spans="1:13" x14ac:dyDescent="0.2">
      <c r="A16" s="279" t="s">
        <v>158</v>
      </c>
      <c r="B16" s="279"/>
    </row>
    <row r="17" spans="1:5" x14ac:dyDescent="0.2">
      <c r="A17" s="284" t="s">
        <v>159</v>
      </c>
      <c r="B17" s="252">
        <v>1.4999999999999999E-2</v>
      </c>
      <c r="D17" s="281"/>
      <c r="E17" s="85" t="s">
        <v>201</v>
      </c>
    </row>
    <row r="18" spans="1:5" x14ac:dyDescent="0.2">
      <c r="A18" s="284" t="s">
        <v>160</v>
      </c>
      <c r="B18" s="252">
        <v>2.4E-2</v>
      </c>
    </row>
    <row r="22" spans="1:5" x14ac:dyDescent="0.2">
      <c r="A22" s="279" t="s">
        <v>199</v>
      </c>
      <c r="B22" s="279"/>
    </row>
    <row r="23" spans="1:5" x14ac:dyDescent="0.2">
      <c r="A23" s="280">
        <v>46023</v>
      </c>
      <c r="B23" s="281">
        <v>0</v>
      </c>
    </row>
    <row r="24" spans="1:5" x14ac:dyDescent="0.2">
      <c r="A24" s="280">
        <v>46054</v>
      </c>
      <c r="B24" s="281">
        <v>16</v>
      </c>
    </row>
    <row r="25" spans="1:5" x14ac:dyDescent="0.2">
      <c r="A25" s="280">
        <v>46082</v>
      </c>
      <c r="B25" s="281">
        <v>22</v>
      </c>
    </row>
    <row r="26" spans="1:5" x14ac:dyDescent="0.2">
      <c r="A26" s="280">
        <v>46113</v>
      </c>
      <c r="B26" s="281">
        <v>19</v>
      </c>
    </row>
    <row r="27" spans="1:5" x14ac:dyDescent="0.2">
      <c r="A27" s="280">
        <v>46143</v>
      </c>
      <c r="B27" s="281">
        <v>20</v>
      </c>
    </row>
    <row r="28" spans="1:5" x14ac:dyDescent="0.2">
      <c r="A28" s="280">
        <v>46174</v>
      </c>
      <c r="B28" s="281">
        <v>20</v>
      </c>
    </row>
    <row r="29" spans="1:5" x14ac:dyDescent="0.2">
      <c r="A29" s="280">
        <v>46204</v>
      </c>
      <c r="B29" s="281"/>
    </row>
    <row r="30" spans="1:5" x14ac:dyDescent="0.2">
      <c r="A30" s="280">
        <v>46235</v>
      </c>
      <c r="B30" s="281"/>
    </row>
    <row r="31" spans="1:5" x14ac:dyDescent="0.2">
      <c r="A31" s="280">
        <v>46266</v>
      </c>
      <c r="B31" s="281"/>
    </row>
    <row r="32" spans="1:5" x14ac:dyDescent="0.2">
      <c r="A32" s="280">
        <v>46296</v>
      </c>
      <c r="B32" s="281"/>
    </row>
    <row r="33" spans="1:2" x14ac:dyDescent="0.2">
      <c r="A33" s="280">
        <v>46327</v>
      </c>
      <c r="B33" s="281"/>
    </row>
    <row r="34" spans="1:2" x14ac:dyDescent="0.2">
      <c r="A34" s="280">
        <v>46357</v>
      </c>
      <c r="B34" s="281"/>
    </row>
    <row r="37" spans="1:2" x14ac:dyDescent="0.2">
      <c r="A37" s="317" t="s">
        <v>244</v>
      </c>
      <c r="B37" s="282">
        <v>46171</v>
      </c>
    </row>
    <row r="40" spans="1:2" x14ac:dyDescent="0.2">
      <c r="A40" s="54" t="s">
        <v>281</v>
      </c>
    </row>
    <row r="41" spans="1:2" x14ac:dyDescent="0.2">
      <c r="A41" s="54" t="s">
        <v>282</v>
      </c>
      <c r="B41" s="428">
        <v>0.2</v>
      </c>
    </row>
    <row r="42" spans="1:2" x14ac:dyDescent="0.2">
      <c r="A42" s="54" t="s">
        <v>283</v>
      </c>
      <c r="B42" s="428">
        <v>0.11</v>
      </c>
    </row>
    <row r="44" spans="1:2" x14ac:dyDescent="0.2">
      <c r="A44" s="54" t="s">
        <v>284</v>
      </c>
    </row>
    <row r="45" spans="1:2" x14ac:dyDescent="0.2">
      <c r="A45" s="54" t="s">
        <v>282</v>
      </c>
      <c r="B45" s="428">
        <v>0.2</v>
      </c>
    </row>
    <row r="46" spans="1:2" x14ac:dyDescent="0.2">
      <c r="A46" s="54" t="s">
        <v>283</v>
      </c>
      <c r="B46" s="428">
        <v>2.5000000000000001E-2</v>
      </c>
    </row>
    <row r="50" spans="1:6" x14ac:dyDescent="0.2">
      <c r="A50" s="54" t="s">
        <v>285</v>
      </c>
      <c r="B50" s="428">
        <v>0.6</v>
      </c>
    </row>
    <row r="54" spans="1:6" x14ac:dyDescent="0.2">
      <c r="A54" s="745" t="s">
        <v>260</v>
      </c>
      <c r="B54" s="746"/>
      <c r="C54" s="747"/>
      <c r="D54" s="748" t="s">
        <v>74</v>
      </c>
      <c r="E54" s="749"/>
      <c r="F54" s="750"/>
    </row>
    <row r="55" spans="1:6" x14ac:dyDescent="0.2">
      <c r="A55" s="327" t="s">
        <v>259</v>
      </c>
      <c r="B55" s="327" t="s">
        <v>258</v>
      </c>
      <c r="C55" s="327" t="s">
        <v>257</v>
      </c>
      <c r="D55" s="751"/>
      <c r="E55" s="752"/>
      <c r="F55" s="753"/>
    </row>
    <row r="56" spans="1:6" x14ac:dyDescent="0.2">
      <c r="A56" s="326">
        <v>2428.8000000000002</v>
      </c>
      <c r="B56" s="324">
        <v>0</v>
      </c>
      <c r="C56" s="323">
        <v>0</v>
      </c>
      <c r="D56" s="754" t="s">
        <v>256</v>
      </c>
      <c r="E56" s="755"/>
      <c r="F56" s="756"/>
    </row>
    <row r="57" spans="1:6" x14ac:dyDescent="0.2">
      <c r="A57" s="325">
        <v>2826.65</v>
      </c>
      <c r="B57" s="324">
        <v>7.4999999999999997E-2</v>
      </c>
      <c r="C57" s="323">
        <v>182.16</v>
      </c>
      <c r="D57" s="742" t="s">
        <v>255</v>
      </c>
      <c r="E57" s="743"/>
      <c r="F57" s="744"/>
    </row>
    <row r="58" spans="1:6" x14ac:dyDescent="0.2">
      <c r="A58" s="325">
        <v>3751.05</v>
      </c>
      <c r="B58" s="324">
        <v>0.15</v>
      </c>
      <c r="C58" s="323">
        <v>394.16</v>
      </c>
      <c r="D58" s="742" t="s">
        <v>254</v>
      </c>
      <c r="E58" s="743"/>
      <c r="F58" s="744"/>
    </row>
    <row r="59" spans="1:6" x14ac:dyDescent="0.2">
      <c r="A59" s="325">
        <v>4664.68</v>
      </c>
      <c r="B59" s="324">
        <v>0.22500000000000001</v>
      </c>
      <c r="C59" s="323">
        <v>675.49</v>
      </c>
      <c r="D59" s="742" t="s">
        <v>253</v>
      </c>
      <c r="E59" s="743"/>
      <c r="F59" s="744"/>
    </row>
    <row r="60" spans="1:6" x14ac:dyDescent="0.2">
      <c r="A60" s="325">
        <v>4664.6899999999996</v>
      </c>
      <c r="B60" s="324">
        <v>0.27500000000000002</v>
      </c>
      <c r="C60" s="323">
        <v>908.73</v>
      </c>
      <c r="D60" s="742" t="s">
        <v>252</v>
      </c>
      <c r="E60" s="743"/>
      <c r="F60" s="744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172</v>
      </c>
      <c r="B1" t="s">
        <v>173</v>
      </c>
    </row>
    <row r="2" spans="1:2" x14ac:dyDescent="0.2">
      <c r="A2" t="s">
        <v>174</v>
      </c>
      <c r="B2" t="s">
        <v>175</v>
      </c>
    </row>
    <row r="3" spans="1:2" x14ac:dyDescent="0.2">
      <c r="B3" t="s">
        <v>176</v>
      </c>
    </row>
    <row r="4" spans="1:2" x14ac:dyDescent="0.2">
      <c r="B4" t="s">
        <v>177</v>
      </c>
    </row>
    <row r="6" spans="1:2" x14ac:dyDescent="0.2">
      <c r="A6" t="s">
        <v>194</v>
      </c>
      <c r="B6" t="s">
        <v>195</v>
      </c>
    </row>
    <row r="8" spans="1:2" x14ac:dyDescent="0.2">
      <c r="A8" t="s">
        <v>198</v>
      </c>
      <c r="B8" t="s">
        <v>196</v>
      </c>
    </row>
    <row r="9" spans="1:2" x14ac:dyDescent="0.2">
      <c r="B9" s="278" t="s">
        <v>197</v>
      </c>
    </row>
    <row r="11" spans="1:2" x14ac:dyDescent="0.2">
      <c r="A11" s="438">
        <v>45978</v>
      </c>
      <c r="B11" t="s">
        <v>3078</v>
      </c>
    </row>
    <row r="13" spans="1:2" x14ac:dyDescent="0.2">
      <c r="A13" t="s">
        <v>3080</v>
      </c>
    </row>
    <row r="14" spans="1:2" x14ac:dyDescent="0.2">
      <c r="A14" s="438">
        <v>45993</v>
      </c>
      <c r="B14" t="s">
        <v>3079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439"/>
    </row>
    <row r="2" spans="1:2" x14ac:dyDescent="0.2">
      <c r="A2" s="440"/>
    </row>
    <row r="3" spans="1:2" x14ac:dyDescent="0.2">
      <c r="A3" s="440"/>
    </row>
    <row r="4" spans="1:2" x14ac:dyDescent="0.2">
      <c r="A4" s="440"/>
    </row>
    <row r="5" spans="1:2" x14ac:dyDescent="0.2">
      <c r="A5" s="440"/>
    </row>
    <row r="6" spans="1:2" x14ac:dyDescent="0.2">
      <c r="A6" s="440"/>
      <c r="B6" s="440"/>
    </row>
    <row r="7" spans="1:2" x14ac:dyDescent="0.2">
      <c r="A7" s="440"/>
      <c r="B7" s="440"/>
    </row>
    <row r="8" spans="1:2" x14ac:dyDescent="0.2">
      <c r="A8" s="440"/>
      <c r="B8" s="440"/>
    </row>
    <row r="9" spans="1:2" x14ac:dyDescent="0.2">
      <c r="A9" s="440"/>
      <c r="B9" s="440"/>
    </row>
    <row r="10" spans="1:2" x14ac:dyDescent="0.2">
      <c r="A10" s="440"/>
      <c r="B10" s="440"/>
    </row>
    <row r="11" spans="1:2" x14ac:dyDescent="0.2">
      <c r="A11" s="440"/>
      <c r="B11" s="440"/>
    </row>
    <row r="12" spans="1:2" x14ac:dyDescent="0.2">
      <c r="A12" s="440"/>
      <c r="B12" s="440"/>
    </row>
    <row r="13" spans="1:2" x14ac:dyDescent="0.2">
      <c r="A13" s="440"/>
      <c r="B13" s="440"/>
    </row>
    <row r="14" spans="1:2" x14ac:dyDescent="0.2">
      <c r="A14" s="440"/>
      <c r="B14" s="440"/>
    </row>
    <row r="15" spans="1:2" x14ac:dyDescent="0.2">
      <c r="A15" s="440"/>
      <c r="B15" s="440"/>
    </row>
    <row r="16" spans="1:2" x14ac:dyDescent="0.2">
      <c r="A16" s="440"/>
      <c r="B16" s="440"/>
    </row>
    <row r="17" spans="1:2" x14ac:dyDescent="0.2">
      <c r="A17" s="440"/>
      <c r="B17" s="440"/>
    </row>
    <row r="18" spans="1:2" x14ac:dyDescent="0.2">
      <c r="A18" s="440"/>
      <c r="B18" s="440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442" customWidth="1"/>
    <col min="2" max="2" width="2.5703125" style="442" customWidth="1"/>
    <col min="3" max="3" width="35.85546875" style="442" customWidth="1"/>
    <col min="4" max="4" width="22.140625" style="443" customWidth="1"/>
    <col min="5" max="5" width="45.7109375" style="443" customWidth="1"/>
    <col min="6" max="6" width="23.140625" style="442" customWidth="1"/>
    <col min="7" max="7" width="3" style="442" customWidth="1"/>
    <col min="8" max="8" width="29.42578125" style="443" customWidth="1"/>
    <col min="9" max="9" width="55.5703125" style="442" customWidth="1"/>
    <col min="10" max="16384" width="9.140625" style="442"/>
  </cols>
  <sheetData>
    <row r="1" spans="2:8" ht="13.5" customHeight="1" x14ac:dyDescent="0.25"/>
    <row r="2" spans="2:8" ht="105.95" customHeight="1" x14ac:dyDescent="0.25">
      <c r="B2" s="758" t="s">
        <v>3088</v>
      </c>
      <c r="C2" s="758"/>
      <c r="D2" s="758"/>
      <c r="E2" s="758"/>
      <c r="F2" s="758"/>
      <c r="G2" s="758"/>
    </row>
    <row r="3" spans="2:8" ht="11.1" customHeight="1" thickBot="1" x14ac:dyDescent="0.3"/>
    <row r="4" spans="2:8" x14ac:dyDescent="0.25">
      <c r="B4" s="444"/>
      <c r="C4" s="445"/>
      <c r="D4" s="446"/>
      <c r="E4" s="446"/>
      <c r="F4" s="445"/>
      <c r="G4" s="447"/>
    </row>
    <row r="5" spans="2:8" ht="18.600000000000001" customHeight="1" x14ac:dyDescent="0.3">
      <c r="B5" s="448"/>
      <c r="C5" s="759" t="s">
        <v>3089</v>
      </c>
      <c r="D5" s="759"/>
      <c r="E5" s="759"/>
      <c r="F5" s="759"/>
      <c r="G5" s="449"/>
    </row>
    <row r="6" spans="2:8" x14ac:dyDescent="0.25">
      <c r="B6" s="448"/>
      <c r="C6" s="760" t="s">
        <v>3090</v>
      </c>
      <c r="D6" s="760"/>
      <c r="E6" s="760"/>
      <c r="F6" s="760"/>
      <c r="G6" s="449"/>
      <c r="H6" s="443" t="s">
        <v>4</v>
      </c>
    </row>
    <row r="7" spans="2:8" ht="14.45" customHeight="1" x14ac:dyDescent="0.25">
      <c r="B7" s="448"/>
      <c r="C7" s="450"/>
      <c r="D7" s="451"/>
      <c r="E7" s="451"/>
      <c r="G7" s="449"/>
    </row>
    <row r="8" spans="2:8" ht="21.95" customHeight="1" x14ac:dyDescent="0.25">
      <c r="B8" s="448"/>
      <c r="C8" s="761" t="s">
        <v>3091</v>
      </c>
      <c r="D8" s="761"/>
      <c r="E8" s="451"/>
      <c r="G8" s="449"/>
      <c r="H8" s="443" t="str">
        <f>'BASE C'!B3</f>
        <v>2025/0012259</v>
      </c>
    </row>
    <row r="9" spans="2:8" ht="9.6" customHeight="1" thickBot="1" x14ac:dyDescent="0.3">
      <c r="B9" s="448"/>
      <c r="C9" s="451"/>
      <c r="D9" s="451"/>
      <c r="E9" s="451"/>
      <c r="G9" s="449"/>
    </row>
    <row r="10" spans="2:8" ht="24.95" customHeight="1" thickBot="1" x14ac:dyDescent="0.3">
      <c r="B10" s="448"/>
      <c r="C10" s="762" t="s">
        <v>3092</v>
      </c>
      <c r="D10" s="763"/>
      <c r="E10" s="451"/>
      <c r="G10" s="449"/>
    </row>
    <row r="11" spans="2:8" ht="24.95" customHeight="1" thickBot="1" x14ac:dyDescent="0.3">
      <c r="B11" s="448"/>
      <c r="C11" s="452" t="s">
        <v>3093</v>
      </c>
      <c r="D11" s="453" t="e">
        <f>VLOOKUP(H8,'ATESTE-LIQ-FIS'!A:D,4,0)*60%</f>
        <v>#REF!</v>
      </c>
      <c r="E11" s="454"/>
      <c r="F11" s="454"/>
      <c r="G11" s="449"/>
    </row>
    <row r="12" spans="2:8" ht="24.95" customHeight="1" thickTop="1" thickBot="1" x14ac:dyDescent="0.3">
      <c r="B12" s="448"/>
      <c r="C12" s="455" t="s">
        <v>3094</v>
      </c>
      <c r="D12" s="456"/>
      <c r="E12" s="454"/>
      <c r="F12" s="454"/>
      <c r="G12" s="449"/>
    </row>
    <row r="13" spans="2:8" ht="24.95" customHeight="1" thickBot="1" x14ac:dyDescent="0.3">
      <c r="B13" s="448"/>
      <c r="C13" s="457" t="s">
        <v>3095</v>
      </c>
      <c r="D13" s="458" t="e">
        <f>SUM(D11:D12)</f>
        <v>#REF!</v>
      </c>
      <c r="E13" s="454"/>
      <c r="F13" s="454"/>
      <c r="G13" s="449"/>
    </row>
    <row r="14" spans="2:8" ht="10.5" customHeight="1" thickBot="1" x14ac:dyDescent="0.3">
      <c r="B14" s="448"/>
      <c r="C14" s="459"/>
      <c r="D14" s="460"/>
      <c r="E14" s="454"/>
      <c r="F14" s="454"/>
      <c r="G14" s="449"/>
    </row>
    <row r="15" spans="2:8" ht="24.95" customHeight="1" thickBot="1" x14ac:dyDescent="0.3">
      <c r="B15" s="448"/>
      <c r="C15" s="764" t="s">
        <v>3096</v>
      </c>
      <c r="D15" s="765"/>
      <c r="E15" s="454"/>
      <c r="F15" s="454"/>
      <c r="G15" s="449"/>
    </row>
    <row r="16" spans="2:8" ht="15" customHeight="1" thickBot="1" x14ac:dyDescent="0.3">
      <c r="B16" s="448"/>
      <c r="C16" s="461"/>
      <c r="D16" s="461"/>
      <c r="E16" s="454"/>
      <c r="F16" s="454"/>
      <c r="G16" s="449"/>
    </row>
    <row r="17" spans="2:8" ht="24.95" customHeight="1" thickBot="1" x14ac:dyDescent="0.3">
      <c r="B17" s="448"/>
      <c r="C17" s="766" t="s">
        <v>3097</v>
      </c>
      <c r="D17" s="767"/>
      <c r="E17" s="454"/>
      <c r="F17" s="454"/>
      <c r="G17" s="449"/>
    </row>
    <row r="18" spans="2:8" ht="24.95" customHeight="1" thickBot="1" x14ac:dyDescent="0.3">
      <c r="B18" s="448"/>
      <c r="C18" s="455" t="s">
        <v>3098</v>
      </c>
      <c r="D18" s="462"/>
      <c r="E18" s="454"/>
      <c r="F18" s="454"/>
      <c r="G18" s="449"/>
    </row>
    <row r="19" spans="2:8" ht="15" customHeight="1" thickBot="1" x14ac:dyDescent="0.3">
      <c r="B19" s="448"/>
      <c r="D19" s="451"/>
      <c r="E19" s="451"/>
      <c r="G19" s="449"/>
    </row>
    <row r="20" spans="2:8" ht="24.95" customHeight="1" thickBot="1" x14ac:dyDescent="0.3">
      <c r="B20" s="448"/>
      <c r="C20" s="762" t="s">
        <v>3099</v>
      </c>
      <c r="D20" s="763"/>
      <c r="E20" s="463"/>
      <c r="G20" s="464"/>
      <c r="H20" s="463"/>
    </row>
    <row r="21" spans="2:8" ht="15" customHeight="1" thickBot="1" x14ac:dyDescent="0.3">
      <c r="B21" s="448"/>
      <c r="C21" s="465"/>
      <c r="D21" s="466"/>
      <c r="E21" s="463"/>
      <c r="G21" s="464"/>
      <c r="H21" s="463"/>
    </row>
    <row r="22" spans="2:8" ht="24.95" customHeight="1" thickBot="1" x14ac:dyDescent="0.3">
      <c r="B22" s="448"/>
      <c r="C22" s="467" t="s">
        <v>3100</v>
      </c>
      <c r="D22" s="466"/>
      <c r="E22" s="463"/>
      <c r="G22" s="464"/>
      <c r="H22" s="463"/>
    </row>
    <row r="23" spans="2:8" ht="24.95" customHeight="1" thickBot="1" x14ac:dyDescent="0.3">
      <c r="B23" s="448"/>
      <c r="C23" s="452" t="s">
        <v>3101</v>
      </c>
      <c r="D23" s="468" t="e">
        <f>VLOOKUP(H8,'ATESTE-LIQ-FIS'!A:E,5,0)</f>
        <v>#REF!</v>
      </c>
      <c r="E23" s="451"/>
      <c r="G23" s="449"/>
    </row>
    <row r="24" spans="2:8" ht="24.95" customHeight="1" thickBot="1" x14ac:dyDescent="0.3">
      <c r="B24" s="448"/>
      <c r="C24" s="452" t="s">
        <v>3102</v>
      </c>
      <c r="D24" s="469">
        <v>0</v>
      </c>
      <c r="E24" s="451"/>
      <c r="G24" s="470"/>
    </row>
    <row r="25" spans="2:8" ht="24.95" customHeight="1" thickBot="1" x14ac:dyDescent="0.3">
      <c r="B25" s="448"/>
      <c r="C25" s="452"/>
      <c r="D25" s="471">
        <f>D24*189.59</f>
        <v>0</v>
      </c>
      <c r="E25" s="451"/>
      <c r="G25" s="470"/>
    </row>
    <row r="26" spans="2:8" ht="24.95" customHeight="1" thickBot="1" x14ac:dyDescent="0.3">
      <c r="B26" s="448"/>
      <c r="C26" s="455" t="s">
        <v>3103</v>
      </c>
      <c r="D26" s="468">
        <v>0</v>
      </c>
      <c r="E26" s="451"/>
      <c r="G26" s="470"/>
    </row>
    <row r="27" spans="2:8" ht="44.1" customHeight="1" thickBot="1" x14ac:dyDescent="0.3">
      <c r="B27" s="448"/>
      <c r="C27" s="472" t="s">
        <v>3104</v>
      </c>
      <c r="D27" s="468">
        <v>0</v>
      </c>
      <c r="E27" s="473"/>
      <c r="F27" s="474"/>
      <c r="G27" s="475"/>
    </row>
    <row r="28" spans="2:8" ht="15" customHeight="1" thickBot="1" x14ac:dyDescent="0.3">
      <c r="B28" s="448"/>
      <c r="C28" s="476"/>
      <c r="D28" s="477"/>
      <c r="E28" s="473"/>
      <c r="F28" s="474"/>
      <c r="G28" s="475"/>
    </row>
    <row r="29" spans="2:8" ht="24.95" customHeight="1" thickBot="1" x14ac:dyDescent="0.3">
      <c r="B29" s="448"/>
      <c r="C29" s="478" t="s">
        <v>3105</v>
      </c>
      <c r="D29" s="471">
        <v>607.20000000000005</v>
      </c>
      <c r="E29" s="451"/>
      <c r="F29" s="474"/>
      <c r="G29" s="475"/>
    </row>
    <row r="30" spans="2:8" ht="15" customHeight="1" thickBot="1" x14ac:dyDescent="0.3">
      <c r="B30" s="448"/>
      <c r="D30" s="451"/>
      <c r="E30" s="451"/>
      <c r="G30" s="449"/>
    </row>
    <row r="31" spans="2:8" ht="24.95" customHeight="1" thickBot="1" x14ac:dyDescent="0.3">
      <c r="B31" s="448"/>
      <c r="C31" s="768" t="s">
        <v>3106</v>
      </c>
      <c r="D31" s="768"/>
      <c r="E31" s="769" t="s">
        <v>3107</v>
      </c>
      <c r="F31" s="769"/>
      <c r="G31" s="449"/>
    </row>
    <row r="32" spans="2:8" ht="24.95" customHeight="1" thickBot="1" x14ac:dyDescent="0.3">
      <c r="B32" s="448"/>
      <c r="C32" s="479" t="s">
        <v>3108</v>
      </c>
      <c r="D32" s="480" t="e">
        <f>'IR Deduções Legais-Maio.2025'!F30</f>
        <v>#REF!</v>
      </c>
      <c r="E32" s="479" t="s">
        <v>3108</v>
      </c>
      <c r="F32" s="480" t="e">
        <f>'IR Desc. Simplificado-Maio.2025'!F30</f>
        <v>#REF!</v>
      </c>
      <c r="G32" s="449"/>
    </row>
    <row r="33" spans="2:8" ht="24.95" customHeight="1" thickBot="1" x14ac:dyDescent="0.3">
      <c r="B33" s="448"/>
      <c r="C33" s="479" t="s">
        <v>3109</v>
      </c>
      <c r="D33" s="480" t="e">
        <f>D32-D18</f>
        <v>#REF!</v>
      </c>
      <c r="E33" s="479" t="s">
        <v>3109</v>
      </c>
      <c r="F33" s="480" t="e">
        <f>F32-D18</f>
        <v>#REF!</v>
      </c>
      <c r="G33" s="449"/>
    </row>
    <row r="34" spans="2:8" ht="15" customHeight="1" thickBot="1" x14ac:dyDescent="0.3">
      <c r="B34" s="448"/>
      <c r="D34" s="451"/>
      <c r="E34" s="451"/>
      <c r="G34" s="449"/>
    </row>
    <row r="35" spans="2:8" ht="24.95" customHeight="1" thickBot="1" x14ac:dyDescent="0.3">
      <c r="B35" s="448"/>
      <c r="C35" s="770" t="s">
        <v>3110</v>
      </c>
      <c r="D35" s="771"/>
      <c r="E35" s="451"/>
      <c r="G35" s="449"/>
    </row>
    <row r="36" spans="2:8" ht="24.95" customHeight="1" thickBot="1" x14ac:dyDescent="0.3">
      <c r="B36" s="448"/>
      <c r="C36" s="481" t="e">
        <f>IF(D32&lt;F32,"Deduções Legais","Desconto Simplificado")</f>
        <v>#REF!</v>
      </c>
      <c r="D36" s="482" t="e">
        <f>TRUNC(SMALL(D32:F32,1),2)</f>
        <v>#REF!</v>
      </c>
      <c r="E36" s="451"/>
      <c r="G36" s="449"/>
    </row>
    <row r="37" spans="2:8" ht="24.95" customHeight="1" thickTop="1" thickBot="1" x14ac:dyDescent="0.3">
      <c r="B37" s="448"/>
      <c r="C37" s="483" t="s">
        <v>3109</v>
      </c>
      <c r="D37" s="484" t="e">
        <f>TRUNC(IF(F32&lt;=D32,F33,D33),2)</f>
        <v>#REF!</v>
      </c>
      <c r="E37" s="451"/>
      <c r="F37" s="485"/>
      <c r="G37" s="449"/>
    </row>
    <row r="38" spans="2:8" ht="19.5" customHeight="1" thickBot="1" x14ac:dyDescent="0.3">
      <c r="B38" s="486"/>
      <c r="C38" s="487"/>
      <c r="D38" s="488"/>
      <c r="E38" s="488"/>
      <c r="F38" s="487"/>
      <c r="G38" s="489"/>
    </row>
    <row r="39" spans="2:8" ht="24.95" customHeight="1" x14ac:dyDescent="0.25">
      <c r="B39" s="444"/>
      <c r="C39" s="490" t="s">
        <v>3111</v>
      </c>
      <c r="D39" s="491"/>
      <c r="E39" s="491"/>
      <c r="F39" s="491"/>
      <c r="G39" s="492"/>
    </row>
    <row r="40" spans="2:8" ht="9.9499999999999993" customHeight="1" x14ac:dyDescent="0.25">
      <c r="B40" s="448"/>
      <c r="C40" s="493"/>
      <c r="D40" s="494"/>
      <c r="E40" s="494"/>
      <c r="F40" s="494"/>
      <c r="G40" s="495"/>
    </row>
    <row r="41" spans="2:8" ht="30.95" customHeight="1" x14ac:dyDescent="0.25">
      <c r="B41" s="448"/>
      <c r="C41" s="757" t="s">
        <v>3112</v>
      </c>
      <c r="D41" s="757"/>
      <c r="E41" s="757"/>
      <c r="F41" s="757"/>
      <c r="G41" s="496"/>
    </row>
    <row r="42" spans="2:8" ht="27.95" customHeight="1" x14ac:dyDescent="0.25">
      <c r="B42" s="497"/>
      <c r="C42" s="757" t="s">
        <v>3113</v>
      </c>
      <c r="D42" s="757"/>
      <c r="E42" s="757"/>
      <c r="F42" s="757"/>
      <c r="G42" s="498"/>
    </row>
    <row r="43" spans="2:8" ht="15" customHeight="1" x14ac:dyDescent="0.25">
      <c r="B43" s="497"/>
      <c r="C43" s="499"/>
      <c r="D43" s="499"/>
      <c r="E43" s="499"/>
      <c r="F43" s="499"/>
      <c r="G43" s="498"/>
    </row>
    <row r="44" spans="2:8" ht="30.6" customHeight="1" x14ac:dyDescent="0.25">
      <c r="B44" s="448"/>
      <c r="C44" s="777" t="s">
        <v>3114</v>
      </c>
      <c r="D44" s="778"/>
      <c r="E44" s="779" t="s">
        <v>3115</v>
      </c>
      <c r="F44" s="779"/>
      <c r="G44" s="501"/>
      <c r="H44" s="451"/>
    </row>
    <row r="45" spans="2:8" ht="25.5" customHeight="1" x14ac:dyDescent="0.25">
      <c r="B45" s="448"/>
      <c r="C45" s="500" t="s">
        <v>3116</v>
      </c>
      <c r="D45" s="502" t="s">
        <v>3117</v>
      </c>
      <c r="E45" s="779" t="s">
        <v>3118</v>
      </c>
      <c r="F45" s="779"/>
      <c r="G45" s="501"/>
      <c r="H45" s="451"/>
    </row>
    <row r="46" spans="2:8" ht="35.1" customHeight="1" x14ac:dyDescent="0.25">
      <c r="B46" s="448"/>
      <c r="C46" s="503">
        <v>0</v>
      </c>
      <c r="D46" s="503">
        <v>5000</v>
      </c>
      <c r="E46" s="780" t="s">
        <v>3119</v>
      </c>
      <c r="F46" s="780"/>
      <c r="G46" s="504"/>
      <c r="H46" s="451"/>
    </row>
    <row r="47" spans="2:8" ht="54" customHeight="1" x14ac:dyDescent="0.25">
      <c r="B47" s="448"/>
      <c r="C47" s="503">
        <v>5000.01</v>
      </c>
      <c r="D47" s="503">
        <v>7350</v>
      </c>
      <c r="E47" s="780" t="s">
        <v>3120</v>
      </c>
      <c r="F47" s="780"/>
      <c r="G47" s="504"/>
      <c r="H47" s="451"/>
    </row>
    <row r="48" spans="2:8" x14ac:dyDescent="0.25">
      <c r="B48" s="448"/>
      <c r="C48" s="772" t="s">
        <v>3121</v>
      </c>
      <c r="D48" s="772"/>
      <c r="E48" s="772"/>
      <c r="F48" s="772"/>
      <c r="G48" s="504"/>
      <c r="H48" s="451"/>
    </row>
    <row r="49" spans="2:8" x14ac:dyDescent="0.25">
      <c r="B49" s="448"/>
      <c r="C49" s="505"/>
      <c r="D49" s="505"/>
      <c r="E49" s="505"/>
      <c r="F49" s="505"/>
      <c r="G49" s="504"/>
      <c r="H49" s="451"/>
    </row>
    <row r="50" spans="2:8" x14ac:dyDescent="0.25">
      <c r="B50" s="448"/>
      <c r="C50" s="773" t="s">
        <v>3122</v>
      </c>
      <c r="D50" s="774"/>
      <c r="E50" s="774"/>
      <c r="F50" s="775"/>
      <c r="G50" s="504"/>
      <c r="H50" s="451"/>
    </row>
    <row r="51" spans="2:8" x14ac:dyDescent="0.25">
      <c r="B51" s="448"/>
      <c r="C51" s="506"/>
      <c r="D51" s="506"/>
      <c r="E51" s="506"/>
      <c r="F51" s="506"/>
      <c r="G51" s="504"/>
      <c r="H51" s="507"/>
    </row>
    <row r="52" spans="2:8" ht="16.5" thickBot="1" x14ac:dyDescent="0.3">
      <c r="B52" s="448"/>
      <c r="C52" s="508" t="s">
        <v>3123</v>
      </c>
      <c r="D52" s="509"/>
      <c r="E52" s="510"/>
      <c r="F52" s="510"/>
      <c r="G52" s="504"/>
      <c r="H52" s="451"/>
    </row>
    <row r="53" spans="2:8" ht="16.5" thickBot="1" x14ac:dyDescent="0.3">
      <c r="B53" s="448"/>
      <c r="C53" s="511" t="s">
        <v>3124</v>
      </c>
      <c r="D53" s="511" t="s">
        <v>3125</v>
      </c>
      <c r="E53" s="511" t="s">
        <v>3126</v>
      </c>
      <c r="F53" s="510"/>
      <c r="G53" s="504"/>
      <c r="H53" s="451"/>
    </row>
    <row r="54" spans="2:8" ht="16.5" thickBot="1" x14ac:dyDescent="0.3">
      <c r="B54" s="448"/>
      <c r="C54" s="512" t="s">
        <v>3127</v>
      </c>
      <c r="D54" s="513">
        <v>0</v>
      </c>
      <c r="E54" s="513">
        <v>0</v>
      </c>
      <c r="F54" s="510"/>
      <c r="G54" s="504"/>
      <c r="H54" s="451"/>
    </row>
    <row r="55" spans="2:8" ht="16.5" thickBot="1" x14ac:dyDescent="0.3">
      <c r="B55" s="448"/>
      <c r="C55" s="514" t="s">
        <v>3128</v>
      </c>
      <c r="D55" s="515">
        <v>7.5</v>
      </c>
      <c r="E55" s="515">
        <v>182.16</v>
      </c>
      <c r="F55" s="510"/>
      <c r="G55" s="504"/>
      <c r="H55" s="451"/>
    </row>
    <row r="56" spans="2:8" ht="16.5" thickBot="1" x14ac:dyDescent="0.3">
      <c r="B56" s="448"/>
      <c r="C56" s="512" t="s">
        <v>3129</v>
      </c>
      <c r="D56" s="513">
        <v>15</v>
      </c>
      <c r="E56" s="513">
        <v>394.16</v>
      </c>
      <c r="F56" s="510"/>
      <c r="G56" s="504"/>
      <c r="H56" s="451"/>
    </row>
    <row r="57" spans="2:8" ht="16.5" thickBot="1" x14ac:dyDescent="0.3">
      <c r="B57" s="448"/>
      <c r="C57" s="514" t="s">
        <v>3130</v>
      </c>
      <c r="D57" s="515">
        <v>22.5</v>
      </c>
      <c r="E57" s="515">
        <v>675.49</v>
      </c>
      <c r="F57" s="510"/>
      <c r="G57" s="504"/>
      <c r="H57" s="451"/>
    </row>
    <row r="58" spans="2:8" ht="16.5" thickBot="1" x14ac:dyDescent="0.3">
      <c r="B58" s="448"/>
      <c r="C58" s="512" t="s">
        <v>3131</v>
      </c>
      <c r="D58" s="513">
        <v>27.5</v>
      </c>
      <c r="E58" s="513">
        <v>908.73</v>
      </c>
      <c r="F58" s="510"/>
      <c r="G58" s="504"/>
      <c r="H58" s="451"/>
    </row>
    <row r="59" spans="2:8" x14ac:dyDescent="0.25">
      <c r="B59" s="448"/>
      <c r="C59" s="776" t="s">
        <v>3132</v>
      </c>
      <c r="D59" s="776"/>
      <c r="E59" s="776"/>
      <c r="F59" s="510"/>
      <c r="G59" s="504"/>
      <c r="H59" s="451"/>
    </row>
    <row r="60" spans="2:8" ht="15.75" thickBot="1" x14ac:dyDescent="0.3">
      <c r="B60" s="486"/>
      <c r="C60" s="516"/>
      <c r="D60" s="516"/>
      <c r="E60" s="517"/>
      <c r="F60" s="517"/>
      <c r="G60" s="518"/>
      <c r="H60" s="451"/>
    </row>
  </sheetData>
  <sheetProtection selectLockedCells="1"/>
  <mergeCells count="21"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</mergeCells>
  <conditionalFormatting sqref="C32:C33">
    <cfRule type="cellIs" dxfId="133" priority="8" operator="lessThan">
      <formula>$F$32</formula>
    </cfRule>
  </conditionalFormatting>
  <conditionalFormatting sqref="C37">
    <cfRule type="cellIs" dxfId="132" priority="1" operator="lessThan">
      <formula>$F$32</formula>
    </cfRule>
  </conditionalFormatting>
  <conditionalFormatting sqref="D32:D33">
    <cfRule type="cellIs" dxfId="131" priority="6" operator="lessThan">
      <formula>$F$32</formula>
    </cfRule>
  </conditionalFormatting>
  <conditionalFormatting sqref="E32:E33">
    <cfRule type="cellIs" dxfId="130" priority="5" operator="lessThan">
      <formula>$F$32</formula>
    </cfRule>
  </conditionalFormatting>
  <conditionalFormatting sqref="F32:F33">
    <cfRule type="cellIs" dxfId="129" priority="7" operator="lessThan">
      <formula>$D$32</formula>
    </cfRule>
  </conditionalFormatting>
  <conditionalFormatting sqref="F33">
    <cfRule type="cellIs" dxfId="128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442"/>
    <col min="2" max="2" width="24.42578125" style="442" customWidth="1"/>
    <col min="3" max="3" width="17.5703125" style="442" customWidth="1"/>
    <col min="4" max="4" width="14.140625" style="442" customWidth="1"/>
    <col min="5" max="5" width="12.140625" style="442" bestFit="1" customWidth="1"/>
    <col min="6" max="6" width="15.5703125" style="442" customWidth="1"/>
    <col min="7" max="7" width="14.7109375" style="442" bestFit="1" customWidth="1"/>
    <col min="8" max="8" width="17.7109375" style="442" bestFit="1" customWidth="1"/>
    <col min="9" max="9" width="13" style="442" customWidth="1"/>
    <col min="10" max="16384" width="9.140625" style="442"/>
  </cols>
  <sheetData>
    <row r="2" spans="2:9" x14ac:dyDescent="0.25">
      <c r="B2" s="781" t="s">
        <v>3133</v>
      </c>
      <c r="C2" s="781"/>
      <c r="D2" s="781"/>
      <c r="E2" s="781"/>
      <c r="F2" s="781"/>
    </row>
    <row r="3" spans="2:9" x14ac:dyDescent="0.25">
      <c r="B3" s="782" t="e">
        <f>'Cálculo IRRF -Jan.2026'!D13</f>
        <v>#REF!</v>
      </c>
      <c r="C3" s="782"/>
      <c r="D3" s="782"/>
      <c r="E3" s="782"/>
      <c r="F3" s="782"/>
      <c r="G3" s="520"/>
      <c r="H3" s="521"/>
    </row>
    <row r="4" spans="2:9" x14ac:dyDescent="0.25">
      <c r="G4" s="520"/>
    </row>
    <row r="5" spans="2:9" x14ac:dyDescent="0.25">
      <c r="B5" s="522"/>
      <c r="C5" s="522"/>
      <c r="D5" s="522"/>
      <c r="E5" s="522"/>
      <c r="F5" s="522"/>
    </row>
    <row r="6" spans="2:9" x14ac:dyDescent="0.25">
      <c r="B6" s="523"/>
      <c r="C6" s="523"/>
      <c r="D6" s="524"/>
      <c r="E6" s="523"/>
      <c r="F6" s="523"/>
    </row>
    <row r="7" spans="2:9" x14ac:dyDescent="0.25">
      <c r="B7" s="523"/>
      <c r="C7" s="523"/>
      <c r="D7" s="524"/>
      <c r="E7" s="523"/>
      <c r="F7" s="523"/>
      <c r="H7" s="783"/>
      <c r="I7" s="783"/>
    </row>
    <row r="8" spans="2:9" x14ac:dyDescent="0.25">
      <c r="B8" s="523"/>
      <c r="C8" s="523"/>
      <c r="D8" s="524"/>
      <c r="E8" s="523"/>
      <c r="F8" s="523"/>
    </row>
    <row r="9" spans="2:9" x14ac:dyDescent="0.25">
      <c r="B9" s="523"/>
      <c r="C9" s="523"/>
      <c r="D9" s="524"/>
      <c r="E9" s="523"/>
      <c r="F9" s="523"/>
    </row>
    <row r="10" spans="2:9" x14ac:dyDescent="0.25">
      <c r="B10" s="784" t="s">
        <v>3134</v>
      </c>
      <c r="C10" s="784"/>
      <c r="D10" s="784"/>
      <c r="E10" s="784"/>
      <c r="F10" s="525" t="e">
        <f>'Cálculo IRRF -Jan.2026'!D23</f>
        <v>#REF!</v>
      </c>
      <c r="G10" s="520"/>
      <c r="I10" s="463"/>
    </row>
    <row r="11" spans="2:9" x14ac:dyDescent="0.25">
      <c r="B11" s="784"/>
      <c r="C11" s="784"/>
      <c r="D11" s="784"/>
      <c r="E11" s="784"/>
      <c r="F11" s="526"/>
      <c r="G11" s="520"/>
      <c r="I11" s="527"/>
    </row>
    <row r="12" spans="2:9" x14ac:dyDescent="0.25">
      <c r="I12" s="527"/>
    </row>
    <row r="13" spans="2:9" x14ac:dyDescent="0.25">
      <c r="B13" s="781" t="s">
        <v>3135</v>
      </c>
      <c r="C13" s="781"/>
      <c r="D13" s="781"/>
      <c r="E13" s="781"/>
      <c r="F13" s="781"/>
      <c r="I13" s="527"/>
    </row>
    <row r="14" spans="2:9" x14ac:dyDescent="0.25">
      <c r="B14" s="786" t="s">
        <v>3136</v>
      </c>
      <c r="C14" s="786"/>
      <c r="D14" s="786"/>
      <c r="E14" s="787">
        <f>'Cálculo IRRF -Jan.2026'!D24</f>
        <v>0</v>
      </c>
      <c r="F14" s="788"/>
    </row>
    <row r="15" spans="2:9" x14ac:dyDescent="0.25">
      <c r="B15" s="786" t="s">
        <v>3137</v>
      </c>
      <c r="C15" s="786"/>
      <c r="D15" s="786"/>
      <c r="E15" s="789">
        <v>189.59</v>
      </c>
      <c r="F15" s="789"/>
      <c r="H15" s="528" t="s">
        <v>3138</v>
      </c>
      <c r="I15" s="523" t="e">
        <f>F10+I17+I18+(E14*E15)</f>
        <v>#REF!</v>
      </c>
    </row>
    <row r="16" spans="2:9" x14ac:dyDescent="0.25">
      <c r="B16" s="786" t="s">
        <v>3139</v>
      </c>
      <c r="C16" s="786"/>
      <c r="D16" s="786"/>
      <c r="E16" s="790" t="e">
        <f>B3-I17-I18-F10-(E14*E15)</f>
        <v>#REF!</v>
      </c>
      <c r="F16" s="791"/>
      <c r="H16" s="529"/>
      <c r="I16" s="529"/>
    </row>
    <row r="17" spans="2:9" x14ac:dyDescent="0.25">
      <c r="H17" s="528" t="s">
        <v>3140</v>
      </c>
      <c r="I17" s="530">
        <f>'Cálculo IRRF -Jan.2026'!D26</f>
        <v>0</v>
      </c>
    </row>
    <row r="18" spans="2:9" x14ac:dyDescent="0.25">
      <c r="B18" s="522" t="s">
        <v>3141</v>
      </c>
      <c r="C18" s="522" t="s">
        <v>3142</v>
      </c>
      <c r="D18" s="522" t="s">
        <v>3143</v>
      </c>
      <c r="E18" s="522" t="s">
        <v>3144</v>
      </c>
      <c r="F18" s="522" t="s">
        <v>3145</v>
      </c>
      <c r="H18" s="528" t="s">
        <v>3146</v>
      </c>
      <c r="I18" s="530">
        <f>'Cálculo IRRF -Jan.2026'!D27</f>
        <v>0</v>
      </c>
    </row>
    <row r="19" spans="2:9" x14ac:dyDescent="0.25">
      <c r="B19" s="523">
        <v>0</v>
      </c>
      <c r="C19" s="523">
        <v>2428.8000000000002</v>
      </c>
      <c r="D19" s="531">
        <v>0</v>
      </c>
      <c r="E19" s="532">
        <v>0</v>
      </c>
      <c r="F19" s="519">
        <v>0</v>
      </c>
    </row>
    <row r="20" spans="2:9" x14ac:dyDescent="0.25">
      <c r="B20" s="523">
        <v>2428.81</v>
      </c>
      <c r="C20" s="523">
        <v>2826.65</v>
      </c>
      <c r="D20" s="531">
        <v>7.4999999999999997E-2</v>
      </c>
      <c r="E20" s="532">
        <v>182.16</v>
      </c>
      <c r="F20" s="519" t="e">
        <f>TRUNC(IF(AND($E$16&gt;B20,$E$16&lt;C20),$E$16*D20-E20,0),2)</f>
        <v>#REF!</v>
      </c>
    </row>
    <row r="21" spans="2:9" x14ac:dyDescent="0.25">
      <c r="B21" s="523">
        <v>2826.66</v>
      </c>
      <c r="C21" s="523">
        <v>3751.05</v>
      </c>
      <c r="D21" s="531">
        <v>0.15</v>
      </c>
      <c r="E21" s="532">
        <v>394.16</v>
      </c>
      <c r="F21" s="519" t="e">
        <f t="shared" ref="F21:F23" si="0">TRUNC(IF(AND($E$16&gt;B21,$E$16&lt;C21),$E$16*D21-E21,0),2)</f>
        <v>#REF!</v>
      </c>
    </row>
    <row r="22" spans="2:9" x14ac:dyDescent="0.25">
      <c r="B22" s="523">
        <v>3751.06</v>
      </c>
      <c r="C22" s="523">
        <v>4664.68</v>
      </c>
      <c r="D22" s="531">
        <v>0.22500000000000001</v>
      </c>
      <c r="E22" s="532">
        <v>675.49</v>
      </c>
      <c r="F22" s="519" t="e">
        <f t="shared" si="0"/>
        <v>#REF!</v>
      </c>
      <c r="H22" s="533"/>
      <c r="I22" s="485"/>
    </row>
    <row r="23" spans="2:9" ht="15.75" thickBot="1" x14ac:dyDescent="0.3">
      <c r="B23" s="523">
        <v>4664.6899999999996</v>
      </c>
      <c r="C23" s="523">
        <v>9999999</v>
      </c>
      <c r="D23" s="531">
        <v>0.27500000000000002</v>
      </c>
      <c r="E23" s="532">
        <v>908.73</v>
      </c>
      <c r="F23" s="534" t="e">
        <f t="shared" si="0"/>
        <v>#REF!</v>
      </c>
      <c r="I23" s="485"/>
    </row>
    <row r="24" spans="2:9" ht="16.5" thickTop="1" thickBot="1" x14ac:dyDescent="0.3">
      <c r="B24" s="784" t="s">
        <v>3147</v>
      </c>
      <c r="C24" s="784"/>
      <c r="D24" s="784"/>
      <c r="E24" s="792"/>
      <c r="F24" s="535" t="e">
        <f>SUM(F19:F23)</f>
        <v>#REF!</v>
      </c>
    </row>
    <row r="25" spans="2:9" ht="16.5" thickTop="1" thickBot="1" x14ac:dyDescent="0.3">
      <c r="F25" s="463"/>
    </row>
    <row r="26" spans="2:9" ht="16.5" thickTop="1" thickBot="1" x14ac:dyDescent="0.3">
      <c r="B26" s="793" t="s">
        <v>3148</v>
      </c>
      <c r="C26" s="793"/>
      <c r="D26" s="793"/>
      <c r="E26" s="793"/>
      <c r="F26" s="536" t="e">
        <f>IF(B3&lt;=C50,0,F24)</f>
        <v>#REF!</v>
      </c>
    </row>
    <row r="27" spans="2:9" ht="16.5" thickTop="1" thickBot="1" x14ac:dyDescent="0.3">
      <c r="B27" s="794"/>
      <c r="C27" s="794"/>
      <c r="D27" s="794"/>
      <c r="E27" s="794"/>
      <c r="F27" s="794"/>
    </row>
    <row r="28" spans="2:9" ht="27.95" customHeight="1" thickBot="1" x14ac:dyDescent="0.3">
      <c r="B28" s="795" t="s">
        <v>3149</v>
      </c>
      <c r="C28" s="795"/>
      <c r="D28" s="795"/>
      <c r="E28" s="795"/>
      <c r="F28" s="538" t="e">
        <f>IF(AND($B$3&gt;C50,$B$3&lt;=C51),F24-E39,IF($B$3&lt;=C50,F26,F24))</f>
        <v>#REF!</v>
      </c>
    </row>
    <row r="29" spans="2:9" x14ac:dyDescent="0.25">
      <c r="B29" s="537"/>
      <c r="C29" s="537"/>
      <c r="D29" s="537"/>
      <c r="E29" s="537"/>
      <c r="F29" s="537"/>
    </row>
    <row r="30" spans="2:9" x14ac:dyDescent="0.25">
      <c r="B30" s="796" t="s">
        <v>3150</v>
      </c>
      <c r="C30" s="796"/>
      <c r="D30" s="796"/>
      <c r="E30" s="796"/>
      <c r="F30" s="539" t="e">
        <f>MIN(F24,F26,F28)</f>
        <v>#REF!</v>
      </c>
    </row>
    <row r="31" spans="2:9" x14ac:dyDescent="0.25">
      <c r="B31" s="537"/>
      <c r="C31" s="537"/>
      <c r="D31" s="537"/>
      <c r="E31" s="537"/>
      <c r="F31" s="537"/>
    </row>
    <row r="32" spans="2:9" ht="33.6" customHeight="1" x14ac:dyDescent="0.25">
      <c r="B32" s="785" t="s">
        <v>3151</v>
      </c>
      <c r="C32" s="785"/>
    </row>
    <row r="33" spans="2:6" ht="23.45" customHeight="1" x14ac:dyDescent="0.25">
      <c r="B33" s="540"/>
      <c r="C33" s="540"/>
    </row>
    <row r="34" spans="2:6" ht="30" x14ac:dyDescent="0.25">
      <c r="B34" s="541" t="s">
        <v>3152</v>
      </c>
      <c r="C34" s="542" t="e">
        <f>IF(B3&gt;7350,7350,B3)</f>
        <v>#REF!</v>
      </c>
    </row>
    <row r="35" spans="2:6" ht="30" x14ac:dyDescent="0.25">
      <c r="B35" s="541" t="s">
        <v>3153</v>
      </c>
      <c r="C35" s="543">
        <v>0.13314500000000001</v>
      </c>
    </row>
    <row r="36" spans="2:6" ht="28.5" customHeight="1" x14ac:dyDescent="0.25">
      <c r="B36" s="544" t="s">
        <v>3154</v>
      </c>
      <c r="C36" s="542">
        <v>978.62</v>
      </c>
    </row>
    <row r="38" spans="2:6" ht="75" x14ac:dyDescent="0.25">
      <c r="B38" s="545" t="s">
        <v>3154</v>
      </c>
      <c r="C38" s="541" t="s">
        <v>3155</v>
      </c>
      <c r="D38" s="546" t="s">
        <v>3156</v>
      </c>
      <c r="E38" s="546" t="s">
        <v>3157</v>
      </c>
    </row>
    <row r="39" spans="2:6" x14ac:dyDescent="0.25">
      <c r="B39" s="530">
        <v>978.62</v>
      </c>
      <c r="C39" s="530" t="e">
        <f>C34</f>
        <v>#REF!</v>
      </c>
      <c r="D39" s="529">
        <v>0.13314500000000001</v>
      </c>
      <c r="E39" s="547" t="e">
        <f>TRUNC(B39-(C39*D39),2)</f>
        <v>#REF!</v>
      </c>
    </row>
    <row r="42" spans="2:6" ht="30" x14ac:dyDescent="0.25">
      <c r="B42" s="548" t="s">
        <v>3158</v>
      </c>
      <c r="C42" s="549" t="e">
        <f>F24</f>
        <v>#REF!</v>
      </c>
    </row>
    <row r="43" spans="2:6" x14ac:dyDescent="0.25">
      <c r="B43" s="548" t="s">
        <v>3159</v>
      </c>
      <c r="C43" s="550" t="e">
        <f>E39</f>
        <v>#REF!</v>
      </c>
    </row>
    <row r="44" spans="2:6" ht="51.6" customHeight="1" x14ac:dyDescent="0.25">
      <c r="B44" s="551" t="s">
        <v>3160</v>
      </c>
      <c r="C44" s="552" t="e">
        <f>C42-C43</f>
        <v>#REF!</v>
      </c>
    </row>
    <row r="46" spans="2:6" x14ac:dyDescent="0.25">
      <c r="F46" s="553"/>
    </row>
    <row r="47" spans="2:6" x14ac:dyDescent="0.25">
      <c r="B47" s="554" t="s">
        <v>3161</v>
      </c>
      <c r="D47" s="499"/>
      <c r="E47" s="499"/>
    </row>
    <row r="48" spans="2:6" ht="27.95" customHeight="1" x14ac:dyDescent="0.25">
      <c r="B48" s="779" t="s">
        <v>3114</v>
      </c>
      <c r="C48" s="779"/>
      <c r="D48" s="779" t="s">
        <v>3115</v>
      </c>
      <c r="E48" s="779"/>
      <c r="F48" s="779"/>
    </row>
    <row r="49" spans="2:6" x14ac:dyDescent="0.25">
      <c r="B49" s="500" t="s">
        <v>3116</v>
      </c>
      <c r="C49" s="555" t="s">
        <v>3117</v>
      </c>
      <c r="D49" s="777" t="s">
        <v>3118</v>
      </c>
      <c r="E49" s="797"/>
      <c r="F49" s="778"/>
    </row>
    <row r="50" spans="2:6" ht="29.45" customHeight="1" x14ac:dyDescent="0.25">
      <c r="B50" s="556">
        <v>0</v>
      </c>
      <c r="C50" s="542">
        <v>5000</v>
      </c>
      <c r="D50" s="780" t="s">
        <v>3119</v>
      </c>
      <c r="E50" s="780"/>
      <c r="F50" s="780"/>
    </row>
    <row r="51" spans="2:6" ht="67.5" customHeight="1" x14ac:dyDescent="0.25">
      <c r="B51" s="556">
        <v>5000.01</v>
      </c>
      <c r="C51" s="542">
        <v>7350</v>
      </c>
      <c r="D51" s="780" t="s">
        <v>3120</v>
      </c>
      <c r="E51" s="780"/>
      <c r="F51" s="780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442"/>
    <col min="2" max="2" width="20.140625" style="442" customWidth="1"/>
    <col min="3" max="3" width="16" style="442" bestFit="1" customWidth="1"/>
    <col min="4" max="4" width="8.5703125" style="442" bestFit="1" customWidth="1"/>
    <col min="5" max="5" width="12.140625" style="442" bestFit="1" customWidth="1"/>
    <col min="6" max="6" width="20.85546875" style="442" customWidth="1"/>
    <col min="7" max="7" width="12.140625" style="442" bestFit="1" customWidth="1"/>
    <col min="8" max="8" width="9.5703125" style="442" customWidth="1"/>
    <col min="9" max="9" width="13" style="442" customWidth="1"/>
    <col min="10" max="10" width="11.5703125" style="442" bestFit="1" customWidth="1"/>
    <col min="11" max="16384" width="9.140625" style="442"/>
  </cols>
  <sheetData>
    <row r="2" spans="2:10" x14ac:dyDescent="0.25">
      <c r="B2" s="781" t="s">
        <v>3133</v>
      </c>
      <c r="C2" s="781"/>
      <c r="D2" s="781"/>
      <c r="E2" s="781"/>
      <c r="F2" s="781"/>
    </row>
    <row r="3" spans="2:10" x14ac:dyDescent="0.25">
      <c r="B3" s="782" t="e">
        <f>'Cálculo IRRF -Jan.2026'!D13</f>
        <v>#REF!</v>
      </c>
      <c r="C3" s="782"/>
      <c r="D3" s="782"/>
      <c r="E3" s="782"/>
      <c r="F3" s="782"/>
      <c r="G3" s="520"/>
      <c r="H3" s="521"/>
    </row>
    <row r="4" spans="2:10" x14ac:dyDescent="0.25">
      <c r="G4" s="520"/>
    </row>
    <row r="5" spans="2:10" x14ac:dyDescent="0.25">
      <c r="B5" s="522"/>
      <c r="C5" s="522"/>
      <c r="D5" s="522"/>
      <c r="E5" s="522"/>
      <c r="F5" s="522"/>
    </row>
    <row r="6" spans="2:10" x14ac:dyDescent="0.25">
      <c r="B6" s="523"/>
      <c r="C6" s="523"/>
      <c r="D6" s="524"/>
      <c r="E6" s="523"/>
      <c r="F6" s="523"/>
    </row>
    <row r="7" spans="2:10" x14ac:dyDescent="0.25">
      <c r="B7" s="523"/>
      <c r="C7" s="523"/>
      <c r="D7" s="524"/>
      <c r="E7" s="523"/>
      <c r="F7" s="523"/>
      <c r="H7" s="783"/>
      <c r="I7" s="783"/>
    </row>
    <row r="8" spans="2:10" x14ac:dyDescent="0.25">
      <c r="B8" s="523"/>
      <c r="C8" s="523"/>
      <c r="D8" s="524"/>
      <c r="E8" s="523"/>
      <c r="F8" s="523"/>
    </row>
    <row r="9" spans="2:10" x14ac:dyDescent="0.25">
      <c r="B9" s="523"/>
      <c r="C9" s="523"/>
      <c r="D9" s="524"/>
      <c r="E9" s="523"/>
      <c r="F9" s="523"/>
    </row>
    <row r="10" spans="2:10" x14ac:dyDescent="0.25">
      <c r="B10" s="784" t="s">
        <v>3134</v>
      </c>
      <c r="C10" s="784"/>
      <c r="D10" s="784"/>
      <c r="E10" s="784"/>
      <c r="F10" s="525" t="e">
        <f>'Cálculo IRRF -Jan.2026'!D23</f>
        <v>#REF!</v>
      </c>
      <c r="G10" s="520"/>
      <c r="J10" s="520"/>
    </row>
    <row r="11" spans="2:10" x14ac:dyDescent="0.25">
      <c r="B11" s="784"/>
      <c r="C11" s="784"/>
      <c r="D11" s="784"/>
      <c r="E11" s="784"/>
      <c r="F11" s="526"/>
      <c r="G11" s="520"/>
      <c r="I11" s="463"/>
      <c r="J11" s="520"/>
    </row>
    <row r="12" spans="2:10" x14ac:dyDescent="0.25">
      <c r="I12" s="527"/>
      <c r="J12" s="557"/>
    </row>
    <row r="13" spans="2:10" x14ac:dyDescent="0.25">
      <c r="B13" s="781" t="s">
        <v>3162</v>
      </c>
      <c r="C13" s="781"/>
      <c r="D13" s="781"/>
      <c r="E13" s="781"/>
      <c r="F13" s="781"/>
      <c r="I13" s="527"/>
      <c r="J13" s="520"/>
    </row>
    <row r="14" spans="2:10" x14ac:dyDescent="0.25">
      <c r="B14" s="786" t="s">
        <v>3163</v>
      </c>
      <c r="C14" s="786"/>
      <c r="D14" s="786"/>
      <c r="E14" s="798" t="e">
        <f>B3</f>
        <v>#REF!</v>
      </c>
      <c r="F14" s="799"/>
      <c r="I14" s="527"/>
    </row>
    <row r="15" spans="2:10" x14ac:dyDescent="0.25">
      <c r="B15" s="786" t="s">
        <v>3164</v>
      </c>
      <c r="C15" s="786"/>
      <c r="D15" s="786"/>
      <c r="E15" s="800">
        <v>607.20000000000005</v>
      </c>
      <c r="F15" s="800"/>
    </row>
    <row r="16" spans="2:10" x14ac:dyDescent="0.25">
      <c r="B16" s="786" t="s">
        <v>3139</v>
      </c>
      <c r="C16" s="786"/>
      <c r="D16" s="786"/>
      <c r="E16" s="801" t="e">
        <f>'Cálculo IRRF -Jan.2026'!D13-'Cálculo IRRF -Jan.2026'!D29</f>
        <v>#REF!</v>
      </c>
      <c r="F16" s="802"/>
    </row>
    <row r="18" spans="2:6" x14ac:dyDescent="0.25">
      <c r="B18" s="522" t="s">
        <v>3141</v>
      </c>
      <c r="C18" s="522" t="s">
        <v>3142</v>
      </c>
      <c r="D18" s="522" t="s">
        <v>3143</v>
      </c>
      <c r="E18" s="522" t="s">
        <v>3144</v>
      </c>
      <c r="F18" s="522" t="s">
        <v>3145</v>
      </c>
    </row>
    <row r="19" spans="2:6" x14ac:dyDescent="0.25">
      <c r="B19" s="523">
        <v>0</v>
      </c>
      <c r="C19" s="523">
        <v>2428.8000000000002</v>
      </c>
      <c r="D19" s="531">
        <v>0</v>
      </c>
      <c r="E19" s="532">
        <v>0</v>
      </c>
      <c r="F19" s="519">
        <v>0</v>
      </c>
    </row>
    <row r="20" spans="2:6" x14ac:dyDescent="0.25">
      <c r="B20" s="523">
        <v>2428.81</v>
      </c>
      <c r="C20" s="523">
        <v>2826.65</v>
      </c>
      <c r="D20" s="531">
        <v>7.4999999999999997E-2</v>
      </c>
      <c r="E20" s="532">
        <v>182.16</v>
      </c>
      <c r="F20" s="519" t="e">
        <f>IF(AND($E$16&gt;B20,$E$16&lt;C20),TRUNC($E$16*D20,2)-E20,0)</f>
        <v>#REF!</v>
      </c>
    </row>
    <row r="21" spans="2:6" x14ac:dyDescent="0.25">
      <c r="B21" s="523">
        <v>2826.66</v>
      </c>
      <c r="C21" s="523">
        <v>3751.05</v>
      </c>
      <c r="D21" s="531">
        <v>0.15</v>
      </c>
      <c r="E21" s="532">
        <v>394.16</v>
      </c>
      <c r="F21" s="519" t="e">
        <f>IF(AND($E$16&gt;B21,$E$16&lt;C21),TRUNC($E$16*D21,2)-E21,0)</f>
        <v>#REF!</v>
      </c>
    </row>
    <row r="22" spans="2:6" x14ac:dyDescent="0.25">
      <c r="B22" s="523">
        <v>3751.06</v>
      </c>
      <c r="C22" s="523">
        <v>4664.68</v>
      </c>
      <c r="D22" s="531">
        <v>0.22500000000000001</v>
      </c>
      <c r="E22" s="532">
        <v>675.49</v>
      </c>
      <c r="F22" s="558" t="e">
        <f>IF(AND($E$16&gt;B22,$E$16&lt;C22),TRUNC($E$16*D22,2)-E22,0)</f>
        <v>#REF!</v>
      </c>
    </row>
    <row r="23" spans="2:6" x14ac:dyDescent="0.25">
      <c r="B23" s="523">
        <v>4664.6899999999996</v>
      </c>
      <c r="C23" s="523">
        <v>9999999</v>
      </c>
      <c r="D23" s="531">
        <v>0.27500000000000002</v>
      </c>
      <c r="E23" s="532">
        <v>908.73</v>
      </c>
      <c r="F23" s="519" t="e">
        <f>IF(AND($E$16&gt;B23,$E$16&lt;C23),TRUNC($E$16*D23,2)-E23,0)</f>
        <v>#REF!</v>
      </c>
    </row>
    <row r="24" spans="2:6" x14ac:dyDescent="0.25">
      <c r="B24" s="784" t="s">
        <v>3147</v>
      </c>
      <c r="C24" s="784"/>
      <c r="D24" s="784"/>
      <c r="E24" s="784"/>
      <c r="F24" s="559" t="e">
        <f>SUM(F19:F23)</f>
        <v>#REF!</v>
      </c>
    </row>
    <row r="25" spans="2:6" ht="15.75" thickBot="1" x14ac:dyDescent="0.3"/>
    <row r="26" spans="2:6" ht="16.5" thickTop="1" thickBot="1" x14ac:dyDescent="0.3">
      <c r="B26" s="793" t="s">
        <v>3148</v>
      </c>
      <c r="C26" s="793"/>
      <c r="D26" s="793"/>
      <c r="E26" s="793"/>
      <c r="F26" s="536" t="e">
        <f>IF($B$3&lt;=$C$50,0,$F$24)</f>
        <v>#REF!</v>
      </c>
    </row>
    <row r="27" spans="2:6" ht="16.5" thickTop="1" thickBot="1" x14ac:dyDescent="0.3">
      <c r="B27" s="794"/>
      <c r="C27" s="794"/>
      <c r="D27" s="794"/>
      <c r="E27" s="794"/>
      <c r="F27" s="794"/>
    </row>
    <row r="28" spans="2:6" ht="15.75" thickBot="1" x14ac:dyDescent="0.3">
      <c r="B28" s="795" t="s">
        <v>3149</v>
      </c>
      <c r="C28" s="795"/>
      <c r="D28" s="795"/>
      <c r="E28" s="795"/>
      <c r="F28" s="560" t="e">
        <f>IF(AND($B$3&gt;C50,$B$3&lt;=C51),F24-E39,IF($B$3&lt;=C50,F26,F24))</f>
        <v>#REF!</v>
      </c>
    </row>
    <row r="29" spans="2:6" x14ac:dyDescent="0.25">
      <c r="B29" s="561"/>
      <c r="C29" s="561"/>
      <c r="D29" s="561"/>
      <c r="E29" s="561"/>
      <c r="F29" s="537"/>
    </row>
    <row r="30" spans="2:6" x14ac:dyDescent="0.25">
      <c r="B30" s="796" t="s">
        <v>3150</v>
      </c>
      <c r="C30" s="796"/>
      <c r="D30" s="796"/>
      <c r="E30" s="796"/>
      <c r="F30" s="539" t="e">
        <f>MIN(F24,F26,F28)</f>
        <v>#REF!</v>
      </c>
    </row>
    <row r="32" spans="2:6" ht="29.1" customHeight="1" x14ac:dyDescent="0.25">
      <c r="B32" s="785" t="s">
        <v>3151</v>
      </c>
      <c r="C32" s="785"/>
    </row>
    <row r="33" spans="2:6" x14ac:dyDescent="0.25">
      <c r="B33" s="540"/>
      <c r="C33" s="540"/>
    </row>
    <row r="34" spans="2:6" ht="30" x14ac:dyDescent="0.25">
      <c r="B34" s="541" t="s">
        <v>3152</v>
      </c>
      <c r="C34" s="542" t="e">
        <f>IF($B$3&gt;7350,7350,$B$3)</f>
        <v>#REF!</v>
      </c>
    </row>
    <row r="35" spans="2:6" ht="45" x14ac:dyDescent="0.25">
      <c r="B35" s="541" t="s">
        <v>3153</v>
      </c>
      <c r="C35" s="543">
        <v>0.13314500000000001</v>
      </c>
    </row>
    <row r="36" spans="2:6" ht="30" x14ac:dyDescent="0.25">
      <c r="B36" s="544" t="s">
        <v>3154</v>
      </c>
      <c r="C36" s="542">
        <v>978.62</v>
      </c>
    </row>
    <row r="38" spans="2:6" ht="75" x14ac:dyDescent="0.25">
      <c r="B38" s="545" t="s">
        <v>3154</v>
      </c>
      <c r="C38" s="541" t="s">
        <v>3155</v>
      </c>
      <c r="D38" s="546" t="s">
        <v>3156</v>
      </c>
      <c r="E38" s="546" t="s">
        <v>3157</v>
      </c>
    </row>
    <row r="39" spans="2:6" ht="20.100000000000001" customHeight="1" x14ac:dyDescent="0.25">
      <c r="B39" s="530">
        <v>978.62</v>
      </c>
      <c r="C39" s="530" t="e">
        <f>$B$3</f>
        <v>#REF!</v>
      </c>
      <c r="D39" s="529">
        <v>0.13314500000000001</v>
      </c>
      <c r="E39" s="562" t="e">
        <f>TRUNC($B$39-($C$39*$D$39),2)</f>
        <v>#REF!</v>
      </c>
    </row>
    <row r="42" spans="2:6" ht="30" x14ac:dyDescent="0.25">
      <c r="B42" s="548" t="s">
        <v>3158</v>
      </c>
      <c r="C42" s="549" t="e">
        <f>$F$24</f>
        <v>#REF!</v>
      </c>
    </row>
    <row r="43" spans="2:6" ht="30" x14ac:dyDescent="0.25">
      <c r="B43" s="548" t="s">
        <v>3159</v>
      </c>
      <c r="C43" s="550" t="e">
        <f>$E$39</f>
        <v>#REF!</v>
      </c>
    </row>
    <row r="44" spans="2:6" ht="60" x14ac:dyDescent="0.25">
      <c r="B44" s="551" t="s">
        <v>3160</v>
      </c>
      <c r="C44" s="552" t="e">
        <f>$C$42-$C$43</f>
        <v>#REF!</v>
      </c>
    </row>
    <row r="46" spans="2:6" x14ac:dyDescent="0.25">
      <c r="F46" s="553"/>
    </row>
    <row r="47" spans="2:6" x14ac:dyDescent="0.25">
      <c r="B47" s="554" t="s">
        <v>3161</v>
      </c>
      <c r="D47" s="499"/>
      <c r="E47" s="499"/>
    </row>
    <row r="48" spans="2:6" ht="29.1" customHeight="1" x14ac:dyDescent="0.25">
      <c r="B48" s="779" t="s">
        <v>3114</v>
      </c>
      <c r="C48" s="779"/>
      <c r="D48" s="779" t="s">
        <v>3115</v>
      </c>
      <c r="E48" s="779"/>
      <c r="F48" s="779"/>
    </row>
    <row r="49" spans="2:6" x14ac:dyDescent="0.25">
      <c r="B49" s="500" t="s">
        <v>3116</v>
      </c>
      <c r="C49" s="555" t="s">
        <v>3117</v>
      </c>
      <c r="D49" s="777" t="s">
        <v>3118</v>
      </c>
      <c r="E49" s="797"/>
      <c r="F49" s="778"/>
    </row>
    <row r="50" spans="2:6" ht="35.450000000000003" customHeight="1" x14ac:dyDescent="0.25">
      <c r="B50" s="556">
        <v>0</v>
      </c>
      <c r="C50" s="542">
        <v>5000</v>
      </c>
      <c r="D50" s="780" t="s">
        <v>3119</v>
      </c>
      <c r="E50" s="780"/>
      <c r="F50" s="780"/>
    </row>
    <row r="51" spans="2:6" ht="37.5" customHeight="1" x14ac:dyDescent="0.25">
      <c r="B51" s="556">
        <v>5000.01</v>
      </c>
      <c r="C51" s="542">
        <v>7350</v>
      </c>
      <c r="D51" s="780" t="s">
        <v>3120</v>
      </c>
      <c r="E51" s="780"/>
      <c r="F51" s="780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41</vt:i4>
      </vt:variant>
    </vt:vector>
  </HeadingPairs>
  <TitlesOfParts>
    <vt:vector size="6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Cadeirante</vt:lpstr>
      <vt:lpstr>Cadeirantee</vt:lpstr>
      <vt:lpstr>CopiaDados</vt:lpstr>
      <vt:lpstr>CopiaDadosC</vt:lpstr>
      <vt:lpstr>CopiaFormulaA1</vt:lpstr>
      <vt:lpstr>CopiaFormulaC</vt:lpstr>
      <vt:lpstr>CopiaSomaA</vt:lpstr>
      <vt:lpstr>CopiaSomaC</vt:lpstr>
      <vt:lpstr>Crechee</vt:lpstr>
      <vt:lpstr>DataF</vt:lpstr>
      <vt:lpstr>DataFinal</vt:lpstr>
      <vt:lpstr>DataI</vt:lpstr>
      <vt:lpstr>Datainicial</vt:lpstr>
      <vt:lpstr>DiasMesC</vt:lpstr>
      <vt:lpstr>DRE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Percapita</vt:lpstr>
      <vt:lpstr>PontoA</vt:lpstr>
      <vt:lpstr>PontoC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2026-05-12T17:48:48Z</cp:lastPrinted>
  <dcterms:created xsi:type="dcterms:W3CDTF">2019-02-08T16:49:11Z</dcterms:created>
  <dcterms:modified xsi:type="dcterms:W3CDTF">2026-05-15T16:49:10Z</dcterms:modified>
</cp:coreProperties>
</file>